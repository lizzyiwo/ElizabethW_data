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6" documentId="13_ncr:1_{BE8F7AEB-7D1E-455B-9777-276DCAA5F38F}" xr6:coauthVersionLast="47" xr6:coauthVersionMax="47" xr10:uidLastSave="{DE029322-3BB1-424D-9963-FC65880DD648}"/>
  <bookViews>
    <workbookView xWindow="-110" yWindow="-110" windowWidth="19420" windowHeight="10300" firstSheet="5" activeTab="9" xr2:uid="{00000000-000D-0000-FFFF-FFFF00000000}"/>
  </bookViews>
  <sheets>
    <sheet name="README" sheetId="1" r:id="rId1"/>
    <sheet name="tbl_Bank" sheetId="5" r:id="rId2"/>
    <sheet name="tbl_Accounts" sheetId="2" r:id="rId3"/>
    <sheet name="tbl_FX" sheetId="3" r:id="rId4"/>
    <sheet name="tbl_Ledger" sheetId="4" r:id="rId5"/>
    <sheet name="Issues_Log" sheetId="9" r:id="rId6"/>
    <sheet name="tbl_Cleaned" sheetId="6" r:id="rId7"/>
    <sheet name="PL_By_Brand_Month" sheetId="7" r:id="rId8"/>
    <sheet name="Reconciliation" sheetId="8" r:id="rId9"/>
    <sheet name="CEO_Summary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9" l="1"/>
  <c r="E7" i="9"/>
  <c r="B5" i="8"/>
  <c r="B13" i="10"/>
  <c r="B21" i="10"/>
  <c r="B20" i="10"/>
  <c r="B19" i="10"/>
  <c r="B18" i="10"/>
  <c r="B17" i="10"/>
  <c r="E13" i="10"/>
  <c r="D13" i="10"/>
  <c r="C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B9" i="10"/>
  <c r="E9" i="10"/>
  <c r="D9" i="10"/>
  <c r="C9" i="10"/>
  <c r="E8" i="8"/>
  <c r="C5" i="8"/>
  <c r="B8" i="8"/>
  <c r="B4" i="8"/>
  <c r="E6" i="8"/>
  <c r="E7" i="8"/>
  <c r="E3" i="8"/>
  <c r="E2" i="8"/>
  <c r="C8" i="8"/>
  <c r="C4" i="8"/>
  <c r="C3" i="8"/>
  <c r="D3" i="8" s="1"/>
  <c r="C2" i="8"/>
  <c r="D2" i="8" s="1"/>
  <c r="D6" i="8"/>
  <c r="D7" i="8"/>
  <c r="B7" i="8"/>
  <c r="B6" i="8"/>
  <c r="B3" i="8"/>
  <c r="B2" i="8"/>
  <c r="D26" i="7"/>
  <c r="E26" i="7" s="1"/>
  <c r="C26" i="7"/>
  <c r="B26" i="7"/>
  <c r="D25" i="7"/>
  <c r="C25" i="7"/>
  <c r="B25" i="7"/>
  <c r="D24" i="7"/>
  <c r="C24" i="7"/>
  <c r="B24" i="7"/>
  <c r="E24" i="7" s="1"/>
  <c r="D23" i="7"/>
  <c r="C23" i="7"/>
  <c r="B23" i="7"/>
  <c r="D22" i="7"/>
  <c r="C22" i="7"/>
  <c r="B22" i="7"/>
  <c r="E22" i="7" s="1"/>
  <c r="D21" i="7"/>
  <c r="D27" i="7" s="1"/>
  <c r="D29" i="7" s="1"/>
  <c r="C21" i="7"/>
  <c r="C27" i="7" s="1"/>
  <c r="C29" i="7" s="1"/>
  <c r="B21" i="7"/>
  <c r="E21" i="7" s="1"/>
  <c r="D20" i="7"/>
  <c r="C20" i="7"/>
  <c r="B20" i="7"/>
  <c r="E15" i="7"/>
  <c r="E16" i="7"/>
  <c r="E17" i="7"/>
  <c r="E18" i="7"/>
  <c r="E19" i="7"/>
  <c r="E23" i="7"/>
  <c r="E25" i="7"/>
  <c r="E28" i="7"/>
  <c r="E4" i="7"/>
  <c r="E5" i="7"/>
  <c r="E6" i="7"/>
  <c r="E7" i="7"/>
  <c r="E8" i="7"/>
  <c r="E9" i="7"/>
  <c r="E10" i="7"/>
  <c r="E11" i="7"/>
  <c r="E12" i="7"/>
  <c r="E13" i="7"/>
  <c r="E14" i="7"/>
  <c r="E3" i="7"/>
  <c r="B19" i="7"/>
  <c r="C17" i="7"/>
  <c r="D17" i="7"/>
  <c r="B17" i="7"/>
  <c r="C15" i="7"/>
  <c r="D15" i="7"/>
  <c r="B15" i="7"/>
  <c r="C6" i="7"/>
  <c r="D6" i="7"/>
  <c r="B6" i="7"/>
  <c r="B3" i="7"/>
  <c r="D14" i="7"/>
  <c r="C14" i="7"/>
  <c r="B14" i="7"/>
  <c r="D13" i="7"/>
  <c r="C13" i="7"/>
  <c r="B13" i="7"/>
  <c r="D12" i="7"/>
  <c r="C12" i="7"/>
  <c r="B12" i="7"/>
  <c r="D11" i="7"/>
  <c r="C11" i="7"/>
  <c r="B11" i="7"/>
  <c r="D10" i="7"/>
  <c r="C10" i="7"/>
  <c r="B10" i="7"/>
  <c r="D9" i="7"/>
  <c r="C9" i="7"/>
  <c r="B9" i="7"/>
  <c r="D8" i="7"/>
  <c r="C8" i="7"/>
  <c r="B8" i="7"/>
  <c r="D7" i="7"/>
  <c r="C7" i="7"/>
  <c r="B7" i="7"/>
  <c r="D5" i="7"/>
  <c r="C5" i="7"/>
  <c r="B5" i="7"/>
  <c r="D4" i="7"/>
  <c r="C4" i="7"/>
  <c r="B4" i="7"/>
  <c r="D3" i="7"/>
  <c r="C3" i="7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T132" i="6"/>
  <c r="T133" i="6"/>
  <c r="T134" i="6"/>
  <c r="T135" i="6"/>
  <c r="T136" i="6"/>
  <c r="T137" i="6"/>
  <c r="T138" i="6"/>
  <c r="T139" i="6"/>
  <c r="T140" i="6"/>
  <c r="T141" i="6"/>
  <c r="T142" i="6"/>
  <c r="T143" i="6"/>
  <c r="T144" i="6"/>
  <c r="T145" i="6"/>
  <c r="T146" i="6"/>
  <c r="T147" i="6"/>
  <c r="T148" i="6"/>
  <c r="T149" i="6"/>
  <c r="T150" i="6"/>
  <c r="T151" i="6"/>
  <c r="T152" i="6"/>
  <c r="T153" i="6"/>
  <c r="T154" i="6"/>
  <c r="T155" i="6"/>
  <c r="T156" i="6"/>
  <c r="T157" i="6"/>
  <c r="T158" i="6"/>
  <c r="T159" i="6"/>
  <c r="T160" i="6"/>
  <c r="T161" i="6"/>
  <c r="T162" i="6"/>
  <c r="T163" i="6"/>
  <c r="T164" i="6"/>
  <c r="T165" i="6"/>
  <c r="T166" i="6"/>
  <c r="T167" i="6"/>
  <c r="T168" i="6"/>
  <c r="T169" i="6"/>
  <c r="T170" i="6"/>
  <c r="T171" i="6"/>
  <c r="T172" i="6"/>
  <c r="T173" i="6"/>
  <c r="T174" i="6"/>
  <c r="T175" i="6"/>
  <c r="T176" i="6"/>
  <c r="T177" i="6"/>
  <c r="T178" i="6"/>
  <c r="T179" i="6"/>
  <c r="T180" i="6"/>
  <c r="T181" i="6"/>
  <c r="T182" i="6"/>
  <c r="T183" i="6"/>
  <c r="T184" i="6"/>
  <c r="T185" i="6"/>
  <c r="T186" i="6"/>
  <c r="T187" i="6"/>
  <c r="T188" i="6"/>
  <c r="T189" i="6"/>
  <c r="T190" i="6"/>
  <c r="T191" i="6"/>
  <c r="T192" i="6"/>
  <c r="T193" i="6"/>
  <c r="T194" i="6"/>
  <c r="T195" i="6"/>
  <c r="T196" i="6"/>
  <c r="T197" i="6"/>
  <c r="T198" i="6"/>
  <c r="T199" i="6"/>
  <c r="T200" i="6"/>
  <c r="T201" i="6"/>
  <c r="T202" i="6"/>
  <c r="T203" i="6"/>
  <c r="T204" i="6"/>
  <c r="T205" i="6"/>
  <c r="T206" i="6"/>
  <c r="T207" i="6"/>
  <c r="T208" i="6"/>
  <c r="T209" i="6"/>
  <c r="T210" i="6"/>
  <c r="T211" i="6"/>
  <c r="T212" i="6"/>
  <c r="T213" i="6"/>
  <c r="T214" i="6"/>
  <c r="T215" i="6"/>
  <c r="T216" i="6"/>
  <c r="T217" i="6"/>
  <c r="T218" i="6"/>
  <c r="T219" i="6"/>
  <c r="T220" i="6"/>
  <c r="T221" i="6"/>
  <c r="T222" i="6"/>
  <c r="T223" i="6"/>
  <c r="T224" i="6"/>
  <c r="T225" i="6"/>
  <c r="T226" i="6"/>
  <c r="T227" i="6"/>
  <c r="T228" i="6"/>
  <c r="T229" i="6"/>
  <c r="T230" i="6"/>
  <c r="T231" i="6"/>
  <c r="T232" i="6"/>
  <c r="T233" i="6"/>
  <c r="T234" i="6"/>
  <c r="T235" i="6"/>
  <c r="T236" i="6"/>
  <c r="T237" i="6"/>
  <c r="T238" i="6"/>
  <c r="T239" i="6"/>
  <c r="T240" i="6"/>
  <c r="T241" i="6"/>
  <c r="T242" i="6"/>
  <c r="T243" i="6"/>
  <c r="T244" i="6"/>
  <c r="T245" i="6"/>
  <c r="T246" i="6"/>
  <c r="T247" i="6"/>
  <c r="T248" i="6"/>
  <c r="T249" i="6"/>
  <c r="T250" i="6"/>
  <c r="T251" i="6"/>
  <c r="T252" i="6"/>
  <c r="T253" i="6"/>
  <c r="T254" i="6"/>
  <c r="T255" i="6"/>
  <c r="T256" i="6"/>
  <c r="T257" i="6"/>
  <c r="T258" i="6"/>
  <c r="T259" i="6"/>
  <c r="T260" i="6"/>
  <c r="T261" i="6"/>
  <c r="T262" i="6"/>
  <c r="T263" i="6"/>
  <c r="T264" i="6"/>
  <c r="T265" i="6"/>
  <c r="T266" i="6"/>
  <c r="T267" i="6"/>
  <c r="T268" i="6"/>
  <c r="T269" i="6"/>
  <c r="T270" i="6"/>
  <c r="T271" i="6"/>
  <c r="T272" i="6"/>
  <c r="T273" i="6"/>
  <c r="T274" i="6"/>
  <c r="T275" i="6"/>
  <c r="T276" i="6"/>
  <c r="T277" i="6"/>
  <c r="T278" i="6"/>
  <c r="T279" i="6"/>
  <c r="T280" i="6"/>
  <c r="T281" i="6"/>
  <c r="T282" i="6"/>
  <c r="T283" i="6"/>
  <c r="T284" i="6"/>
  <c r="T285" i="6"/>
  <c r="T286" i="6"/>
  <c r="T287" i="6"/>
  <c r="T288" i="6"/>
  <c r="T289" i="6"/>
  <c r="T290" i="6"/>
  <c r="T291" i="6"/>
  <c r="T292" i="6"/>
  <c r="T293" i="6"/>
  <c r="T294" i="6"/>
  <c r="T295" i="6"/>
  <c r="T296" i="6"/>
  <c r="T297" i="6"/>
  <c r="T298" i="6"/>
  <c r="T299" i="6"/>
  <c r="T300" i="6"/>
  <c r="T301" i="6"/>
  <c r="T302" i="6"/>
  <c r="T303" i="6"/>
  <c r="T304" i="6"/>
  <c r="T305" i="6"/>
  <c r="T306" i="6"/>
  <c r="T307" i="6"/>
  <c r="T308" i="6"/>
  <c r="T309" i="6"/>
  <c r="T310" i="6"/>
  <c r="T311" i="6"/>
  <c r="T312" i="6"/>
  <c r="T313" i="6"/>
  <c r="T314" i="6"/>
  <c r="T315" i="6"/>
  <c r="T316" i="6"/>
  <c r="T317" i="6"/>
  <c r="T318" i="6"/>
  <c r="T319" i="6"/>
  <c r="T320" i="6"/>
  <c r="T321" i="6"/>
  <c r="T322" i="6"/>
  <c r="T323" i="6"/>
  <c r="T324" i="6"/>
  <c r="T325" i="6"/>
  <c r="T326" i="6"/>
  <c r="T327" i="6"/>
  <c r="T328" i="6"/>
  <c r="T329" i="6"/>
  <c r="T330" i="6"/>
  <c r="T331" i="6"/>
  <c r="T332" i="6"/>
  <c r="T333" i="6"/>
  <c r="T334" i="6"/>
  <c r="T335" i="6"/>
  <c r="T336" i="6"/>
  <c r="T337" i="6"/>
  <c r="T338" i="6"/>
  <c r="T339" i="6"/>
  <c r="T340" i="6"/>
  <c r="T341" i="6"/>
  <c r="T342" i="6"/>
  <c r="T343" i="6"/>
  <c r="T344" i="6"/>
  <c r="T345" i="6"/>
  <c r="T346" i="6"/>
  <c r="T347" i="6"/>
  <c r="T348" i="6"/>
  <c r="T349" i="6"/>
  <c r="T350" i="6"/>
  <c r="T351" i="6"/>
  <c r="T352" i="6"/>
  <c r="T353" i="6"/>
  <c r="T354" i="6"/>
  <c r="T355" i="6"/>
  <c r="T356" i="6"/>
  <c r="T357" i="6"/>
  <c r="T358" i="6"/>
  <c r="T359" i="6"/>
  <c r="T360" i="6"/>
  <c r="T361" i="6"/>
  <c r="T362" i="6"/>
  <c r="T363" i="6"/>
  <c r="T364" i="6"/>
  <c r="T365" i="6"/>
  <c r="T366" i="6"/>
  <c r="T367" i="6"/>
  <c r="T368" i="6"/>
  <c r="T369" i="6"/>
  <c r="T370" i="6"/>
  <c r="T371" i="6"/>
  <c r="T372" i="6"/>
  <c r="T373" i="6"/>
  <c r="T374" i="6"/>
  <c r="T375" i="6"/>
  <c r="T376" i="6"/>
  <c r="T377" i="6"/>
  <c r="T378" i="6"/>
  <c r="T379" i="6"/>
  <c r="T380" i="6"/>
  <c r="T381" i="6"/>
  <c r="T382" i="6"/>
  <c r="T383" i="6"/>
  <c r="T384" i="6"/>
  <c r="T385" i="6"/>
  <c r="T386" i="6"/>
  <c r="T387" i="6"/>
  <c r="T388" i="6"/>
  <c r="T389" i="6"/>
  <c r="T390" i="6"/>
  <c r="T391" i="6"/>
  <c r="T392" i="6"/>
  <c r="T393" i="6"/>
  <c r="T394" i="6"/>
  <c r="T395" i="6"/>
  <c r="T396" i="6"/>
  <c r="T397" i="6"/>
  <c r="T398" i="6"/>
  <c r="T399" i="6"/>
  <c r="T400" i="6"/>
  <c r="T401" i="6"/>
  <c r="T402" i="6"/>
  <c r="T403" i="6"/>
  <c r="T404" i="6"/>
  <c r="T405" i="6"/>
  <c r="T406" i="6"/>
  <c r="T407" i="6"/>
  <c r="T408" i="6"/>
  <c r="T409" i="6"/>
  <c r="T410" i="6"/>
  <c r="T411" i="6"/>
  <c r="T412" i="6"/>
  <c r="T413" i="6"/>
  <c r="T414" i="6"/>
  <c r="T415" i="6"/>
  <c r="T416" i="6"/>
  <c r="T417" i="6"/>
  <c r="T418" i="6"/>
  <c r="T419" i="6"/>
  <c r="T420" i="6"/>
  <c r="T421" i="6"/>
  <c r="T422" i="6"/>
  <c r="T423" i="6"/>
  <c r="T424" i="6"/>
  <c r="T425" i="6"/>
  <c r="T426" i="6"/>
  <c r="T427" i="6"/>
  <c r="T428" i="6"/>
  <c r="T429" i="6"/>
  <c r="T430" i="6"/>
  <c r="T431" i="6"/>
  <c r="T432" i="6"/>
  <c r="T433" i="6"/>
  <c r="T434" i="6"/>
  <c r="T435" i="6"/>
  <c r="T436" i="6"/>
  <c r="T437" i="6"/>
  <c r="T438" i="6"/>
  <c r="T439" i="6"/>
  <c r="T440" i="6"/>
  <c r="T441" i="6"/>
  <c r="T442" i="6"/>
  <c r="T443" i="6"/>
  <c r="T444" i="6"/>
  <c r="T445" i="6"/>
  <c r="T446" i="6"/>
  <c r="T447" i="6"/>
  <c r="T448" i="6"/>
  <c r="T449" i="6"/>
  <c r="T450" i="6"/>
  <c r="T451" i="6"/>
  <c r="T452" i="6"/>
  <c r="T453" i="6"/>
  <c r="T454" i="6"/>
  <c r="T455" i="6"/>
  <c r="T456" i="6"/>
  <c r="T457" i="6"/>
  <c r="T458" i="6"/>
  <c r="T459" i="6"/>
  <c r="T460" i="6"/>
  <c r="T461" i="6"/>
  <c r="T462" i="6"/>
  <c r="T463" i="6"/>
  <c r="T464" i="6"/>
  <c r="T465" i="6"/>
  <c r="T466" i="6"/>
  <c r="T467" i="6"/>
  <c r="T468" i="6"/>
  <c r="T469" i="6"/>
  <c r="T470" i="6"/>
  <c r="T471" i="6"/>
  <c r="T472" i="6"/>
  <c r="T473" i="6"/>
  <c r="T474" i="6"/>
  <c r="T475" i="6"/>
  <c r="T476" i="6"/>
  <c r="T477" i="6"/>
  <c r="T478" i="6"/>
  <c r="T479" i="6"/>
  <c r="T480" i="6"/>
  <c r="T481" i="6"/>
  <c r="T482" i="6"/>
  <c r="T483" i="6"/>
  <c r="T484" i="6"/>
  <c r="T485" i="6"/>
  <c r="T486" i="6"/>
  <c r="T487" i="6"/>
  <c r="T488" i="6"/>
  <c r="T489" i="6"/>
  <c r="T490" i="6"/>
  <c r="T491" i="6"/>
  <c r="T492" i="6"/>
  <c r="T493" i="6"/>
  <c r="T494" i="6"/>
  <c r="T495" i="6"/>
  <c r="T496" i="6"/>
  <c r="T497" i="6"/>
  <c r="T498" i="6"/>
  <c r="T499" i="6"/>
  <c r="T500" i="6"/>
  <c r="T501" i="6"/>
  <c r="T502" i="6"/>
  <c r="T503" i="6"/>
  <c r="T504" i="6"/>
  <c r="T505" i="6"/>
  <c r="T506" i="6"/>
  <c r="T507" i="6"/>
  <c r="T508" i="6"/>
  <c r="T509" i="6"/>
  <c r="T510" i="6"/>
  <c r="T511" i="6"/>
  <c r="T512" i="6"/>
  <c r="T513" i="6"/>
  <c r="T514" i="6"/>
  <c r="T515" i="6"/>
  <c r="T516" i="6"/>
  <c r="T517" i="6"/>
  <c r="T518" i="6"/>
  <c r="T519" i="6"/>
  <c r="T520" i="6"/>
  <c r="T521" i="6"/>
  <c r="T522" i="6"/>
  <c r="T523" i="6"/>
  <c r="T524" i="6"/>
  <c r="T525" i="6"/>
  <c r="T526" i="6"/>
  <c r="T527" i="6"/>
  <c r="T528" i="6"/>
  <c r="T529" i="6"/>
  <c r="T530" i="6"/>
  <c r="T531" i="6"/>
  <c r="T532" i="6"/>
  <c r="T533" i="6"/>
  <c r="T534" i="6"/>
  <c r="T535" i="6"/>
  <c r="T536" i="6"/>
  <c r="T537" i="6"/>
  <c r="T538" i="6"/>
  <c r="T539" i="6"/>
  <c r="T540" i="6"/>
  <c r="T541" i="6"/>
  <c r="T542" i="6"/>
  <c r="T543" i="6"/>
  <c r="T544" i="6"/>
  <c r="T545" i="6"/>
  <c r="T546" i="6"/>
  <c r="T547" i="6"/>
  <c r="T548" i="6"/>
  <c r="T549" i="6"/>
  <c r="T550" i="6"/>
  <c r="T551" i="6"/>
  <c r="T552" i="6"/>
  <c r="T553" i="6"/>
  <c r="T554" i="6"/>
  <c r="T555" i="6"/>
  <c r="T556" i="6"/>
  <c r="T557" i="6"/>
  <c r="T558" i="6"/>
  <c r="T559" i="6"/>
  <c r="T560" i="6"/>
  <c r="T561" i="6"/>
  <c r="T562" i="6"/>
  <c r="T563" i="6"/>
  <c r="T564" i="6"/>
  <c r="T565" i="6"/>
  <c r="T566" i="6"/>
  <c r="T567" i="6"/>
  <c r="T568" i="6"/>
  <c r="T569" i="6"/>
  <c r="T570" i="6"/>
  <c r="T571" i="6"/>
  <c r="T572" i="6"/>
  <c r="T573" i="6"/>
  <c r="T574" i="6"/>
  <c r="T575" i="6"/>
  <c r="T576" i="6"/>
  <c r="T577" i="6"/>
  <c r="T578" i="6"/>
  <c r="T579" i="6"/>
  <c r="T580" i="6"/>
  <c r="T581" i="6"/>
  <c r="T582" i="6"/>
  <c r="T583" i="6"/>
  <c r="T584" i="6"/>
  <c r="T585" i="6"/>
  <c r="T586" i="6"/>
  <c r="T587" i="6"/>
  <c r="T588" i="6"/>
  <c r="T589" i="6"/>
  <c r="T590" i="6"/>
  <c r="T591" i="6"/>
  <c r="T592" i="6"/>
  <c r="T593" i="6"/>
  <c r="T594" i="6"/>
  <c r="T595" i="6"/>
  <c r="T596" i="6"/>
  <c r="T597" i="6"/>
  <c r="T598" i="6"/>
  <c r="T599" i="6"/>
  <c r="T600" i="6"/>
  <c r="T601" i="6"/>
  <c r="T602" i="6"/>
  <c r="T603" i="6"/>
  <c r="T604" i="6"/>
  <c r="T605" i="6"/>
  <c r="T606" i="6"/>
  <c r="T607" i="6"/>
  <c r="T608" i="6"/>
  <c r="T609" i="6"/>
  <c r="T610" i="6"/>
  <c r="T611" i="6"/>
  <c r="T612" i="6"/>
  <c r="T613" i="6"/>
  <c r="T614" i="6"/>
  <c r="T615" i="6"/>
  <c r="T616" i="6"/>
  <c r="T617" i="6"/>
  <c r="T618" i="6"/>
  <c r="T619" i="6"/>
  <c r="T620" i="6"/>
  <c r="T621" i="6"/>
  <c r="T622" i="6"/>
  <c r="T623" i="6"/>
  <c r="T624" i="6"/>
  <c r="T625" i="6"/>
  <c r="T626" i="6"/>
  <c r="T627" i="6"/>
  <c r="T628" i="6"/>
  <c r="T629" i="6"/>
  <c r="T630" i="6"/>
  <c r="T631" i="6"/>
  <c r="T632" i="6"/>
  <c r="T633" i="6"/>
  <c r="T634" i="6"/>
  <c r="T635" i="6"/>
  <c r="T636" i="6"/>
  <c r="T637" i="6"/>
  <c r="T638" i="6"/>
  <c r="T639" i="6"/>
  <c r="T640" i="6"/>
  <c r="T641" i="6"/>
  <c r="T642" i="6"/>
  <c r="T643" i="6"/>
  <c r="T644" i="6"/>
  <c r="T645" i="6"/>
  <c r="T646" i="6"/>
  <c r="T647" i="6"/>
  <c r="T648" i="6"/>
  <c r="T649" i="6"/>
  <c r="T650" i="6"/>
  <c r="T651" i="6"/>
  <c r="T652" i="6"/>
  <c r="T653" i="6"/>
  <c r="T654" i="6"/>
  <c r="T655" i="6"/>
  <c r="T656" i="6"/>
  <c r="T657" i="6"/>
  <c r="T658" i="6"/>
  <c r="T659" i="6"/>
  <c r="T660" i="6"/>
  <c r="T661" i="6"/>
  <c r="T662" i="6"/>
  <c r="T663" i="6"/>
  <c r="T664" i="6"/>
  <c r="T665" i="6"/>
  <c r="T666" i="6"/>
  <c r="T667" i="6"/>
  <c r="T668" i="6"/>
  <c r="T669" i="6"/>
  <c r="T670" i="6"/>
  <c r="T671" i="6"/>
  <c r="T672" i="6"/>
  <c r="T673" i="6"/>
  <c r="T674" i="6"/>
  <c r="T675" i="6"/>
  <c r="T676" i="6"/>
  <c r="T677" i="6"/>
  <c r="T678" i="6"/>
  <c r="T679" i="6"/>
  <c r="T680" i="6"/>
  <c r="T681" i="6"/>
  <c r="T682" i="6"/>
  <c r="T683" i="6"/>
  <c r="T684" i="6"/>
  <c r="T685" i="6"/>
  <c r="T686" i="6"/>
  <c r="T687" i="6"/>
  <c r="T688" i="6"/>
  <c r="T689" i="6"/>
  <c r="T690" i="6"/>
  <c r="T691" i="6"/>
  <c r="T692" i="6"/>
  <c r="T693" i="6"/>
  <c r="T694" i="6"/>
  <c r="T695" i="6"/>
  <c r="T696" i="6"/>
  <c r="T697" i="6"/>
  <c r="T698" i="6"/>
  <c r="T699" i="6"/>
  <c r="T700" i="6"/>
  <c r="T701" i="6"/>
  <c r="T702" i="6"/>
  <c r="T703" i="6"/>
  <c r="T704" i="6"/>
  <c r="T705" i="6"/>
  <c r="T706" i="6"/>
  <c r="T707" i="6"/>
  <c r="T708" i="6"/>
  <c r="T709" i="6"/>
  <c r="T710" i="6"/>
  <c r="T711" i="6"/>
  <c r="T712" i="6"/>
  <c r="T713" i="6"/>
  <c r="T714" i="6"/>
  <c r="T715" i="6"/>
  <c r="T716" i="6"/>
  <c r="T717" i="6"/>
  <c r="T718" i="6"/>
  <c r="T719" i="6"/>
  <c r="T720" i="6"/>
  <c r="T721" i="6"/>
  <c r="T722" i="6"/>
  <c r="T723" i="6"/>
  <c r="T724" i="6"/>
  <c r="T725" i="6"/>
  <c r="T726" i="6"/>
  <c r="T727" i="6"/>
  <c r="T728" i="6"/>
  <c r="T729" i="6"/>
  <c r="T730" i="6"/>
  <c r="T731" i="6"/>
  <c r="T732" i="6"/>
  <c r="T733" i="6"/>
  <c r="T734" i="6"/>
  <c r="T735" i="6"/>
  <c r="T736" i="6"/>
  <c r="T737" i="6"/>
  <c r="T738" i="6"/>
  <c r="T739" i="6"/>
  <c r="T740" i="6"/>
  <c r="T741" i="6"/>
  <c r="T742" i="6"/>
  <c r="T743" i="6"/>
  <c r="T744" i="6"/>
  <c r="T745" i="6"/>
  <c r="T746" i="6"/>
  <c r="T747" i="6"/>
  <c r="T748" i="6"/>
  <c r="T749" i="6"/>
  <c r="T750" i="6"/>
  <c r="T751" i="6"/>
  <c r="T752" i="6"/>
  <c r="T753" i="6"/>
  <c r="T754" i="6"/>
  <c r="T755" i="6"/>
  <c r="T756" i="6"/>
  <c r="T757" i="6"/>
  <c r="T758" i="6"/>
  <c r="T759" i="6"/>
  <c r="T760" i="6"/>
  <c r="T761" i="6"/>
  <c r="T762" i="6"/>
  <c r="T763" i="6"/>
  <c r="T764" i="6"/>
  <c r="T765" i="6"/>
  <c r="T766" i="6"/>
  <c r="T767" i="6"/>
  <c r="T768" i="6"/>
  <c r="T769" i="6"/>
  <c r="T770" i="6"/>
  <c r="T771" i="6"/>
  <c r="T772" i="6"/>
  <c r="T773" i="6"/>
  <c r="T774" i="6"/>
  <c r="T775" i="6"/>
  <c r="T776" i="6"/>
  <c r="T777" i="6"/>
  <c r="T778" i="6"/>
  <c r="T779" i="6"/>
  <c r="T780" i="6"/>
  <c r="T781" i="6"/>
  <c r="T782" i="6"/>
  <c r="T783" i="6"/>
  <c r="T784" i="6"/>
  <c r="T785" i="6"/>
  <c r="T786" i="6"/>
  <c r="T787" i="6"/>
  <c r="T788" i="6"/>
  <c r="T789" i="6"/>
  <c r="T790" i="6"/>
  <c r="T791" i="6"/>
  <c r="T792" i="6"/>
  <c r="T793" i="6"/>
  <c r="T794" i="6"/>
  <c r="T795" i="6"/>
  <c r="T796" i="6"/>
  <c r="T797" i="6"/>
  <c r="T798" i="6"/>
  <c r="T799" i="6"/>
  <c r="T800" i="6"/>
  <c r="T801" i="6"/>
  <c r="T802" i="6"/>
  <c r="T803" i="6"/>
  <c r="T804" i="6"/>
  <c r="T805" i="6"/>
  <c r="T806" i="6"/>
  <c r="T807" i="6"/>
  <c r="T808" i="6"/>
  <c r="T809" i="6"/>
  <c r="T810" i="6"/>
  <c r="T811" i="6"/>
  <c r="T812" i="6"/>
  <c r="T813" i="6"/>
  <c r="T814" i="6"/>
  <c r="T815" i="6"/>
  <c r="T816" i="6"/>
  <c r="T817" i="6"/>
  <c r="T818" i="6"/>
  <c r="T819" i="6"/>
  <c r="T820" i="6"/>
  <c r="T821" i="6"/>
  <c r="T822" i="6"/>
  <c r="T823" i="6"/>
  <c r="T824" i="6"/>
  <c r="T825" i="6"/>
  <c r="T826" i="6"/>
  <c r="T827" i="6"/>
  <c r="T828" i="6"/>
  <c r="T829" i="6"/>
  <c r="T830" i="6"/>
  <c r="T831" i="6"/>
  <c r="T832" i="6"/>
  <c r="T833" i="6"/>
  <c r="T834" i="6"/>
  <c r="T835" i="6"/>
  <c r="T836" i="6"/>
  <c r="T837" i="6"/>
  <c r="T838" i="6"/>
  <c r="T839" i="6"/>
  <c r="T840" i="6"/>
  <c r="T841" i="6"/>
  <c r="T842" i="6"/>
  <c r="T843" i="6"/>
  <c r="T844" i="6"/>
  <c r="T845" i="6"/>
  <c r="T846" i="6"/>
  <c r="T847" i="6"/>
  <c r="T848" i="6"/>
  <c r="T849" i="6"/>
  <c r="T850" i="6"/>
  <c r="T851" i="6"/>
  <c r="T852" i="6"/>
  <c r="T853" i="6"/>
  <c r="T854" i="6"/>
  <c r="T855" i="6"/>
  <c r="T856" i="6"/>
  <c r="T857" i="6"/>
  <c r="T858" i="6"/>
  <c r="T859" i="6"/>
  <c r="T860" i="6"/>
  <c r="T861" i="6"/>
  <c r="T862" i="6"/>
  <c r="T863" i="6"/>
  <c r="T864" i="6"/>
  <c r="T865" i="6"/>
  <c r="T866" i="6"/>
  <c r="T867" i="6"/>
  <c r="T868" i="6"/>
  <c r="T869" i="6"/>
  <c r="T870" i="6"/>
  <c r="T871" i="6"/>
  <c r="T872" i="6"/>
  <c r="T873" i="6"/>
  <c r="T874" i="6"/>
  <c r="T875" i="6"/>
  <c r="T876" i="6"/>
  <c r="T877" i="6"/>
  <c r="T878" i="6"/>
  <c r="T879" i="6"/>
  <c r="T880" i="6"/>
  <c r="T881" i="6"/>
  <c r="T882" i="6"/>
  <c r="T883" i="6"/>
  <c r="T884" i="6"/>
  <c r="T885" i="6"/>
  <c r="T886" i="6"/>
  <c r="T887" i="6"/>
  <c r="T888" i="6"/>
  <c r="T889" i="6"/>
  <c r="T890" i="6"/>
  <c r="T891" i="6"/>
  <c r="T892" i="6"/>
  <c r="T893" i="6"/>
  <c r="T894" i="6"/>
  <c r="T895" i="6"/>
  <c r="T896" i="6"/>
  <c r="T897" i="6"/>
  <c r="T898" i="6"/>
  <c r="T899" i="6"/>
  <c r="T900" i="6"/>
  <c r="T901" i="6"/>
  <c r="T902" i="6"/>
  <c r="T903" i="6"/>
  <c r="T904" i="6"/>
  <c r="T905" i="6"/>
  <c r="T906" i="6"/>
  <c r="T907" i="6"/>
  <c r="T908" i="6"/>
  <c r="T909" i="6"/>
  <c r="T910" i="6"/>
  <c r="T911" i="6"/>
  <c r="T912" i="6"/>
  <c r="T913" i="6"/>
  <c r="T914" i="6"/>
  <c r="T915" i="6"/>
  <c r="T916" i="6"/>
  <c r="T917" i="6"/>
  <c r="T918" i="6"/>
  <c r="T919" i="6"/>
  <c r="T920" i="6"/>
  <c r="T921" i="6"/>
  <c r="T922" i="6"/>
  <c r="T923" i="6"/>
  <c r="T924" i="6"/>
  <c r="T925" i="6"/>
  <c r="T926" i="6"/>
  <c r="T927" i="6"/>
  <c r="T928" i="6"/>
  <c r="T929" i="6"/>
  <c r="T930" i="6"/>
  <c r="T931" i="6"/>
  <c r="T932" i="6"/>
  <c r="T933" i="6"/>
  <c r="T934" i="6"/>
  <c r="T935" i="6"/>
  <c r="T936" i="6"/>
  <c r="T937" i="6"/>
  <c r="T938" i="6"/>
  <c r="T939" i="6"/>
  <c r="T940" i="6"/>
  <c r="T941" i="6"/>
  <c r="T942" i="6"/>
  <c r="T943" i="6"/>
  <c r="T944" i="6"/>
  <c r="T945" i="6"/>
  <c r="T946" i="6"/>
  <c r="T947" i="6"/>
  <c r="T948" i="6"/>
  <c r="T949" i="6"/>
  <c r="T950" i="6"/>
  <c r="T951" i="6"/>
  <c r="T952" i="6"/>
  <c r="T953" i="6"/>
  <c r="T954" i="6"/>
  <c r="T955" i="6"/>
  <c r="T956" i="6"/>
  <c r="T957" i="6"/>
  <c r="T958" i="6"/>
  <c r="T959" i="6"/>
  <c r="T960" i="6"/>
  <c r="T961" i="6"/>
  <c r="T962" i="6"/>
  <c r="T963" i="6"/>
  <c r="T964" i="6"/>
  <c r="T965" i="6"/>
  <c r="T966" i="6"/>
  <c r="T967" i="6"/>
  <c r="T968" i="6"/>
  <c r="T969" i="6"/>
  <c r="T970" i="6"/>
  <c r="T971" i="6"/>
  <c r="T972" i="6"/>
  <c r="T973" i="6"/>
  <c r="T974" i="6"/>
  <c r="T975" i="6"/>
  <c r="T976" i="6"/>
  <c r="T977" i="6"/>
  <c r="T978" i="6"/>
  <c r="T979" i="6"/>
  <c r="T980" i="6"/>
  <c r="T981" i="6"/>
  <c r="T982" i="6"/>
  <c r="T983" i="6"/>
  <c r="T984" i="6"/>
  <c r="T985" i="6"/>
  <c r="T986" i="6"/>
  <c r="T987" i="6"/>
  <c r="T988" i="6"/>
  <c r="T989" i="6"/>
  <c r="T990" i="6"/>
  <c r="T991" i="6"/>
  <c r="T992" i="6"/>
  <c r="T993" i="6"/>
  <c r="T994" i="6"/>
  <c r="T995" i="6"/>
  <c r="T996" i="6"/>
  <c r="T997" i="6"/>
  <c r="T998" i="6"/>
  <c r="T999" i="6"/>
  <c r="T1000" i="6"/>
  <c r="T1001" i="6"/>
  <c r="T1002" i="6"/>
  <c r="T1003" i="6"/>
  <c r="T1004" i="6"/>
  <c r="T1005" i="6"/>
  <c r="T1006" i="6"/>
  <c r="T1007" i="6"/>
  <c r="T1008" i="6"/>
  <c r="T1009" i="6"/>
  <c r="T1010" i="6"/>
  <c r="T1011" i="6"/>
  <c r="T1012" i="6"/>
  <c r="T1013" i="6"/>
  <c r="T1014" i="6"/>
  <c r="T1015" i="6"/>
  <c r="T1016" i="6"/>
  <c r="T1017" i="6"/>
  <c r="T1018" i="6"/>
  <c r="T1019" i="6"/>
  <c r="T1020" i="6"/>
  <c r="T1021" i="6"/>
  <c r="T1022" i="6"/>
  <c r="T1023" i="6"/>
  <c r="T1024" i="6"/>
  <c r="T1025" i="6"/>
  <c r="T1026" i="6"/>
  <c r="T1027" i="6"/>
  <c r="T1028" i="6"/>
  <c r="T1029" i="6"/>
  <c r="T1030" i="6"/>
  <c r="T1031" i="6"/>
  <c r="T1032" i="6"/>
  <c r="T1033" i="6"/>
  <c r="T1034" i="6"/>
  <c r="T1035" i="6"/>
  <c r="T1036" i="6"/>
  <c r="T1037" i="6"/>
  <c r="T1038" i="6"/>
  <c r="T1039" i="6"/>
  <c r="T1040" i="6"/>
  <c r="T1041" i="6"/>
  <c r="T1042" i="6"/>
  <c r="T1043" i="6"/>
  <c r="T1044" i="6"/>
  <c r="T1045" i="6"/>
  <c r="T1046" i="6"/>
  <c r="T1047" i="6"/>
  <c r="T1048" i="6"/>
  <c r="T1049" i="6"/>
  <c r="T1050" i="6"/>
  <c r="T1051" i="6"/>
  <c r="T1052" i="6"/>
  <c r="T1053" i="6"/>
  <c r="T1054" i="6"/>
  <c r="T1055" i="6"/>
  <c r="T1056" i="6"/>
  <c r="T1057" i="6"/>
  <c r="T1058" i="6"/>
  <c r="T1059" i="6"/>
  <c r="T1060" i="6"/>
  <c r="T1061" i="6"/>
  <c r="T1062" i="6"/>
  <c r="T1063" i="6"/>
  <c r="T1064" i="6"/>
  <c r="T1065" i="6"/>
  <c r="T1066" i="6"/>
  <c r="T1067" i="6"/>
  <c r="T1068" i="6"/>
  <c r="T1069" i="6"/>
  <c r="T1070" i="6"/>
  <c r="T1071" i="6"/>
  <c r="T1072" i="6"/>
  <c r="T1073" i="6"/>
  <c r="T1074" i="6"/>
  <c r="T1075" i="6"/>
  <c r="T1076" i="6"/>
  <c r="T1077" i="6"/>
  <c r="T1078" i="6"/>
  <c r="T1079" i="6"/>
  <c r="T1080" i="6"/>
  <c r="T1081" i="6"/>
  <c r="T1082" i="6"/>
  <c r="T1083" i="6"/>
  <c r="T1084" i="6"/>
  <c r="T1085" i="6"/>
  <c r="T1086" i="6"/>
  <c r="T1087" i="6"/>
  <c r="T1088" i="6"/>
  <c r="T1089" i="6"/>
  <c r="T1090" i="6"/>
  <c r="T1091" i="6"/>
  <c r="T1092" i="6"/>
  <c r="T1093" i="6"/>
  <c r="T1094" i="6"/>
  <c r="T1095" i="6"/>
  <c r="T1096" i="6"/>
  <c r="T1097" i="6"/>
  <c r="T1098" i="6"/>
  <c r="T1099" i="6"/>
  <c r="T1100" i="6"/>
  <c r="T1101" i="6"/>
  <c r="T1102" i="6"/>
  <c r="T1103" i="6"/>
  <c r="T1104" i="6"/>
  <c r="T1105" i="6"/>
  <c r="T1106" i="6"/>
  <c r="T1107" i="6"/>
  <c r="T1108" i="6"/>
  <c r="T1109" i="6"/>
  <c r="T1110" i="6"/>
  <c r="T1111" i="6"/>
  <c r="T1112" i="6"/>
  <c r="T1113" i="6"/>
  <c r="T1114" i="6"/>
  <c r="T1115" i="6"/>
  <c r="T1116" i="6"/>
  <c r="T1117" i="6"/>
  <c r="T1118" i="6"/>
  <c r="T1119" i="6"/>
  <c r="T1120" i="6"/>
  <c r="T1121" i="6"/>
  <c r="T1122" i="6"/>
  <c r="T1123" i="6"/>
  <c r="T1124" i="6"/>
  <c r="T1125" i="6"/>
  <c r="T1126" i="6"/>
  <c r="T1127" i="6"/>
  <c r="T1128" i="6"/>
  <c r="T1129" i="6"/>
  <c r="T1130" i="6"/>
  <c r="T1131" i="6"/>
  <c r="T1132" i="6"/>
  <c r="T1133" i="6"/>
  <c r="T1134" i="6"/>
  <c r="T1135" i="6"/>
  <c r="T1136" i="6"/>
  <c r="T1137" i="6"/>
  <c r="T1138" i="6"/>
  <c r="T1139" i="6"/>
  <c r="T1140" i="6"/>
  <c r="T1141" i="6"/>
  <c r="T1142" i="6"/>
  <c r="T1143" i="6"/>
  <c r="T1144" i="6"/>
  <c r="T1145" i="6"/>
  <c r="T1146" i="6"/>
  <c r="T1147" i="6"/>
  <c r="T1148" i="6"/>
  <c r="T1149" i="6"/>
  <c r="T1150" i="6"/>
  <c r="T1151" i="6"/>
  <c r="T1152" i="6"/>
  <c r="T1153" i="6"/>
  <c r="T1154" i="6"/>
  <c r="T1155" i="6"/>
  <c r="T1156" i="6"/>
  <c r="T1157" i="6"/>
  <c r="T1158" i="6"/>
  <c r="T1159" i="6"/>
  <c r="T1160" i="6"/>
  <c r="T1161" i="6"/>
  <c r="T1162" i="6"/>
  <c r="T1163" i="6"/>
  <c r="T1164" i="6"/>
  <c r="T1165" i="6"/>
  <c r="T1166" i="6"/>
  <c r="T1167" i="6"/>
  <c r="T1168" i="6"/>
  <c r="T1169" i="6"/>
  <c r="T1170" i="6"/>
  <c r="T1171" i="6"/>
  <c r="T1172" i="6"/>
  <c r="T1173" i="6"/>
  <c r="T1174" i="6"/>
  <c r="T1175" i="6"/>
  <c r="T1176" i="6"/>
  <c r="T1177" i="6"/>
  <c r="T1178" i="6"/>
  <c r="T1179" i="6"/>
  <c r="T1180" i="6"/>
  <c r="T1181" i="6"/>
  <c r="T1182" i="6"/>
  <c r="T1183" i="6"/>
  <c r="T1184" i="6"/>
  <c r="T1185" i="6"/>
  <c r="T1186" i="6"/>
  <c r="T1187" i="6"/>
  <c r="T1188" i="6"/>
  <c r="T1189" i="6"/>
  <c r="T1190" i="6"/>
  <c r="T1191" i="6"/>
  <c r="T1192" i="6"/>
  <c r="T1193" i="6"/>
  <c r="T1194" i="6"/>
  <c r="T1195" i="6"/>
  <c r="T1196" i="6"/>
  <c r="T1197" i="6"/>
  <c r="T1198" i="6"/>
  <c r="T1199" i="6"/>
  <c r="T1200" i="6"/>
  <c r="T1201" i="6"/>
  <c r="T1202" i="6"/>
  <c r="T1203" i="6"/>
  <c r="T1204" i="6"/>
  <c r="T1205" i="6"/>
  <c r="T1206" i="6"/>
  <c r="T1207" i="6"/>
  <c r="T1208" i="6"/>
  <c r="T1209" i="6"/>
  <c r="T1210" i="6"/>
  <c r="T1211" i="6"/>
  <c r="T1212" i="6"/>
  <c r="T1213" i="6"/>
  <c r="T1214" i="6"/>
  <c r="T1215" i="6"/>
  <c r="T1216" i="6"/>
  <c r="T1217" i="6"/>
  <c r="T1218" i="6"/>
  <c r="T1219" i="6"/>
  <c r="T1220" i="6"/>
  <c r="T1221" i="6"/>
  <c r="T1222" i="6"/>
  <c r="T1223" i="6"/>
  <c r="T1224" i="6"/>
  <c r="T1225" i="6"/>
  <c r="T1226" i="6"/>
  <c r="T1227" i="6"/>
  <c r="T1228" i="6"/>
  <c r="T1229" i="6"/>
  <c r="T1230" i="6"/>
  <c r="T1231" i="6"/>
  <c r="T1232" i="6"/>
  <c r="T1233" i="6"/>
  <c r="T1234" i="6"/>
  <c r="T1235" i="6"/>
  <c r="T1236" i="6"/>
  <c r="T1237" i="6"/>
  <c r="T1238" i="6"/>
  <c r="T1239" i="6"/>
  <c r="T1240" i="6"/>
  <c r="T1241" i="6"/>
  <c r="T1242" i="6"/>
  <c r="T1243" i="6"/>
  <c r="T1244" i="6"/>
  <c r="T1245" i="6"/>
  <c r="T1246" i="6"/>
  <c r="T1247" i="6"/>
  <c r="T1248" i="6"/>
  <c r="T1249" i="6"/>
  <c r="T1250" i="6"/>
  <c r="T1251" i="6"/>
  <c r="T1252" i="6"/>
  <c r="T1253" i="6"/>
  <c r="T1254" i="6"/>
  <c r="T1255" i="6"/>
  <c r="T1256" i="6"/>
  <c r="T1257" i="6"/>
  <c r="T1258" i="6"/>
  <c r="T1259" i="6"/>
  <c r="T1260" i="6"/>
  <c r="T1261" i="6"/>
  <c r="T1262" i="6"/>
  <c r="T1263" i="6"/>
  <c r="T1264" i="6"/>
  <c r="T1265" i="6"/>
  <c r="T1266" i="6"/>
  <c r="T1267" i="6"/>
  <c r="T1268" i="6"/>
  <c r="T1269" i="6"/>
  <c r="T1270" i="6"/>
  <c r="T1271" i="6"/>
  <c r="T1272" i="6"/>
  <c r="T1273" i="6"/>
  <c r="T1274" i="6"/>
  <c r="T1275" i="6"/>
  <c r="T1276" i="6"/>
  <c r="T1277" i="6"/>
  <c r="T1278" i="6"/>
  <c r="T1279" i="6"/>
  <c r="T1280" i="6"/>
  <c r="T1281" i="6"/>
  <c r="T1282" i="6"/>
  <c r="T1283" i="6"/>
  <c r="T1284" i="6"/>
  <c r="T1285" i="6"/>
  <c r="T1286" i="6"/>
  <c r="T1287" i="6"/>
  <c r="T1288" i="6"/>
  <c r="T1289" i="6"/>
  <c r="T1290" i="6"/>
  <c r="T1291" i="6"/>
  <c r="T1292" i="6"/>
  <c r="T1293" i="6"/>
  <c r="T1294" i="6"/>
  <c r="T1295" i="6"/>
  <c r="T1296" i="6"/>
  <c r="T1297" i="6"/>
  <c r="T1298" i="6"/>
  <c r="T1299" i="6"/>
  <c r="T1300" i="6"/>
  <c r="T1301" i="6"/>
  <c r="T1302" i="6"/>
  <c r="T1303" i="6"/>
  <c r="T1304" i="6"/>
  <c r="T1305" i="6"/>
  <c r="T1306" i="6"/>
  <c r="T1307" i="6"/>
  <c r="T1308" i="6"/>
  <c r="T1309" i="6"/>
  <c r="T1310" i="6"/>
  <c r="T1311" i="6"/>
  <c r="T1312" i="6"/>
  <c r="T1313" i="6"/>
  <c r="T1314" i="6"/>
  <c r="T1315" i="6"/>
  <c r="T1316" i="6"/>
  <c r="T1317" i="6"/>
  <c r="T1318" i="6"/>
  <c r="T1319" i="6"/>
  <c r="T1320" i="6"/>
  <c r="T1321" i="6"/>
  <c r="T1322" i="6"/>
  <c r="T1323" i="6"/>
  <c r="T1324" i="6"/>
  <c r="T1325" i="6"/>
  <c r="T1326" i="6"/>
  <c r="T1327" i="6"/>
  <c r="T1328" i="6"/>
  <c r="T1329" i="6"/>
  <c r="T1330" i="6"/>
  <c r="T1331" i="6"/>
  <c r="T1332" i="6"/>
  <c r="T1333" i="6"/>
  <c r="T1334" i="6"/>
  <c r="T1335" i="6"/>
  <c r="T1336" i="6"/>
  <c r="T1337" i="6"/>
  <c r="T1338" i="6"/>
  <c r="T1339" i="6"/>
  <c r="T1340" i="6"/>
  <c r="T1341" i="6"/>
  <c r="T1342" i="6"/>
  <c r="T1343" i="6"/>
  <c r="T1344" i="6"/>
  <c r="T1345" i="6"/>
  <c r="T1346" i="6"/>
  <c r="T1347" i="6"/>
  <c r="T1348" i="6"/>
  <c r="T1349" i="6"/>
  <c r="T1350" i="6"/>
  <c r="T1351" i="6"/>
  <c r="T1352" i="6"/>
  <c r="T1353" i="6"/>
  <c r="T1354" i="6"/>
  <c r="T1355" i="6"/>
  <c r="T1356" i="6"/>
  <c r="T1357" i="6"/>
  <c r="T1358" i="6"/>
  <c r="T1359" i="6"/>
  <c r="T1360" i="6"/>
  <c r="T1361" i="6"/>
  <c r="T1362" i="6"/>
  <c r="T1363" i="6"/>
  <c r="T1364" i="6"/>
  <c r="T1365" i="6"/>
  <c r="T1366" i="6"/>
  <c r="T1367" i="6"/>
  <c r="T1368" i="6"/>
  <c r="T1369" i="6"/>
  <c r="T1370" i="6"/>
  <c r="T1371" i="6"/>
  <c r="T1372" i="6"/>
  <c r="T1373" i="6"/>
  <c r="T1374" i="6"/>
  <c r="T1375" i="6"/>
  <c r="T1376" i="6"/>
  <c r="T1377" i="6"/>
  <c r="T1378" i="6"/>
  <c r="T1379" i="6"/>
  <c r="T1380" i="6"/>
  <c r="T1381" i="6"/>
  <c r="T1382" i="6"/>
  <c r="T1383" i="6"/>
  <c r="T1384" i="6"/>
  <c r="T1385" i="6"/>
  <c r="T1386" i="6"/>
  <c r="T1387" i="6"/>
  <c r="T1388" i="6"/>
  <c r="T1389" i="6"/>
  <c r="T1390" i="6"/>
  <c r="T1391" i="6"/>
  <c r="T1392" i="6"/>
  <c r="T1393" i="6"/>
  <c r="T1394" i="6"/>
  <c r="T1395" i="6"/>
  <c r="T1396" i="6"/>
  <c r="T1397" i="6"/>
  <c r="T1398" i="6"/>
  <c r="T1399" i="6"/>
  <c r="T1400" i="6"/>
  <c r="T1401" i="6"/>
  <c r="T1402" i="6"/>
  <c r="T1403" i="6"/>
  <c r="T1404" i="6"/>
  <c r="T1405" i="6"/>
  <c r="T1406" i="6"/>
  <c r="T1407" i="6"/>
  <c r="T1408" i="6"/>
  <c r="T1409" i="6"/>
  <c r="T1410" i="6"/>
  <c r="T1411" i="6"/>
  <c r="T1412" i="6"/>
  <c r="T1413" i="6"/>
  <c r="T1414" i="6"/>
  <c r="T1415" i="6"/>
  <c r="T1416" i="6"/>
  <c r="T1417" i="6"/>
  <c r="T1418" i="6"/>
  <c r="T1419" i="6"/>
  <c r="T1420" i="6"/>
  <c r="T1421" i="6"/>
  <c r="T1422" i="6"/>
  <c r="T1423" i="6"/>
  <c r="T1424" i="6"/>
  <c r="T1425" i="6"/>
  <c r="T1426" i="6"/>
  <c r="T1427" i="6"/>
  <c r="T1428" i="6"/>
  <c r="T1429" i="6"/>
  <c r="T1430" i="6"/>
  <c r="T1431" i="6"/>
  <c r="T1432" i="6"/>
  <c r="T2" i="6"/>
  <c r="R12" i="4"/>
  <c r="R2" i="4"/>
  <c r="R3" i="4"/>
  <c r="R4" i="4"/>
  <c r="R5" i="4"/>
  <c r="R6" i="4"/>
  <c r="R7" i="4"/>
  <c r="R8" i="4"/>
  <c r="R9" i="4"/>
  <c r="R10" i="4"/>
  <c r="R11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R702" i="4"/>
  <c r="R703" i="4"/>
  <c r="R704" i="4"/>
  <c r="R705" i="4"/>
  <c r="R706" i="4"/>
  <c r="R707" i="4"/>
  <c r="R708" i="4"/>
  <c r="R709" i="4"/>
  <c r="R710" i="4"/>
  <c r="R711" i="4"/>
  <c r="R712" i="4"/>
  <c r="R713" i="4"/>
  <c r="R714" i="4"/>
  <c r="R715" i="4"/>
  <c r="R716" i="4"/>
  <c r="R717" i="4"/>
  <c r="R718" i="4"/>
  <c r="R719" i="4"/>
  <c r="R720" i="4"/>
  <c r="R721" i="4"/>
  <c r="R722" i="4"/>
  <c r="R723" i="4"/>
  <c r="R724" i="4"/>
  <c r="R725" i="4"/>
  <c r="R726" i="4"/>
  <c r="R727" i="4"/>
  <c r="R728" i="4"/>
  <c r="R729" i="4"/>
  <c r="R730" i="4"/>
  <c r="R731" i="4"/>
  <c r="R732" i="4"/>
  <c r="R733" i="4"/>
  <c r="R734" i="4"/>
  <c r="R735" i="4"/>
  <c r="R736" i="4"/>
  <c r="R737" i="4"/>
  <c r="R738" i="4"/>
  <c r="R739" i="4"/>
  <c r="R740" i="4"/>
  <c r="R741" i="4"/>
  <c r="R742" i="4"/>
  <c r="R743" i="4"/>
  <c r="R744" i="4"/>
  <c r="R745" i="4"/>
  <c r="R746" i="4"/>
  <c r="R747" i="4"/>
  <c r="R748" i="4"/>
  <c r="R749" i="4"/>
  <c r="R750" i="4"/>
  <c r="R751" i="4"/>
  <c r="R752" i="4"/>
  <c r="R753" i="4"/>
  <c r="R754" i="4"/>
  <c r="R755" i="4"/>
  <c r="R756" i="4"/>
  <c r="R757" i="4"/>
  <c r="R758" i="4"/>
  <c r="R759" i="4"/>
  <c r="R760" i="4"/>
  <c r="R761" i="4"/>
  <c r="R762" i="4"/>
  <c r="R763" i="4"/>
  <c r="R764" i="4"/>
  <c r="R765" i="4"/>
  <c r="R766" i="4"/>
  <c r="R767" i="4"/>
  <c r="R768" i="4"/>
  <c r="R769" i="4"/>
  <c r="R770" i="4"/>
  <c r="R771" i="4"/>
  <c r="R772" i="4"/>
  <c r="R773" i="4"/>
  <c r="R774" i="4"/>
  <c r="R775" i="4"/>
  <c r="R776" i="4"/>
  <c r="R777" i="4"/>
  <c r="R778" i="4"/>
  <c r="R779" i="4"/>
  <c r="R780" i="4"/>
  <c r="R781" i="4"/>
  <c r="R782" i="4"/>
  <c r="R783" i="4"/>
  <c r="R784" i="4"/>
  <c r="R785" i="4"/>
  <c r="R786" i="4"/>
  <c r="R787" i="4"/>
  <c r="R788" i="4"/>
  <c r="R789" i="4"/>
  <c r="R790" i="4"/>
  <c r="R791" i="4"/>
  <c r="R792" i="4"/>
  <c r="R793" i="4"/>
  <c r="R794" i="4"/>
  <c r="R795" i="4"/>
  <c r="R796" i="4"/>
  <c r="R797" i="4"/>
  <c r="R798" i="4"/>
  <c r="R799" i="4"/>
  <c r="R800" i="4"/>
  <c r="R801" i="4"/>
  <c r="R802" i="4"/>
  <c r="R803" i="4"/>
  <c r="R804" i="4"/>
  <c r="R805" i="4"/>
  <c r="R806" i="4"/>
  <c r="R807" i="4"/>
  <c r="R808" i="4"/>
  <c r="R809" i="4"/>
  <c r="R810" i="4"/>
  <c r="R811" i="4"/>
  <c r="R812" i="4"/>
  <c r="R813" i="4"/>
  <c r="R814" i="4"/>
  <c r="R815" i="4"/>
  <c r="R816" i="4"/>
  <c r="R817" i="4"/>
  <c r="R818" i="4"/>
  <c r="R819" i="4"/>
  <c r="R820" i="4"/>
  <c r="R821" i="4"/>
  <c r="R822" i="4"/>
  <c r="R823" i="4"/>
  <c r="R824" i="4"/>
  <c r="R825" i="4"/>
  <c r="R826" i="4"/>
  <c r="R827" i="4"/>
  <c r="R828" i="4"/>
  <c r="R829" i="4"/>
  <c r="R830" i="4"/>
  <c r="R831" i="4"/>
  <c r="R832" i="4"/>
  <c r="R833" i="4"/>
  <c r="R834" i="4"/>
  <c r="R835" i="4"/>
  <c r="R836" i="4"/>
  <c r="R837" i="4"/>
  <c r="R838" i="4"/>
  <c r="R839" i="4"/>
  <c r="R840" i="4"/>
  <c r="R841" i="4"/>
  <c r="R842" i="4"/>
  <c r="R843" i="4"/>
  <c r="R844" i="4"/>
  <c r="R845" i="4"/>
  <c r="R846" i="4"/>
  <c r="R847" i="4"/>
  <c r="R848" i="4"/>
  <c r="R849" i="4"/>
  <c r="R850" i="4"/>
  <c r="R851" i="4"/>
  <c r="R852" i="4"/>
  <c r="R853" i="4"/>
  <c r="R854" i="4"/>
  <c r="R855" i="4"/>
  <c r="R856" i="4"/>
  <c r="R857" i="4"/>
  <c r="R858" i="4"/>
  <c r="R859" i="4"/>
  <c r="R860" i="4"/>
  <c r="R861" i="4"/>
  <c r="R862" i="4"/>
  <c r="R863" i="4"/>
  <c r="R864" i="4"/>
  <c r="R865" i="4"/>
  <c r="R866" i="4"/>
  <c r="R867" i="4"/>
  <c r="R868" i="4"/>
  <c r="R869" i="4"/>
  <c r="R870" i="4"/>
  <c r="R871" i="4"/>
  <c r="R872" i="4"/>
  <c r="R873" i="4"/>
  <c r="R874" i="4"/>
  <c r="R875" i="4"/>
  <c r="R876" i="4"/>
  <c r="R877" i="4"/>
  <c r="R878" i="4"/>
  <c r="R879" i="4"/>
  <c r="R880" i="4"/>
  <c r="R881" i="4"/>
  <c r="R882" i="4"/>
  <c r="R883" i="4"/>
  <c r="R884" i="4"/>
  <c r="R885" i="4"/>
  <c r="R886" i="4"/>
  <c r="R887" i="4"/>
  <c r="R888" i="4"/>
  <c r="R889" i="4"/>
  <c r="R890" i="4"/>
  <c r="R891" i="4"/>
  <c r="R892" i="4"/>
  <c r="R893" i="4"/>
  <c r="R894" i="4"/>
  <c r="R895" i="4"/>
  <c r="R896" i="4"/>
  <c r="R897" i="4"/>
  <c r="R898" i="4"/>
  <c r="R899" i="4"/>
  <c r="R900" i="4"/>
  <c r="R901" i="4"/>
  <c r="R902" i="4"/>
  <c r="R903" i="4"/>
  <c r="R904" i="4"/>
  <c r="R905" i="4"/>
  <c r="R906" i="4"/>
  <c r="R907" i="4"/>
  <c r="R908" i="4"/>
  <c r="R909" i="4"/>
  <c r="R910" i="4"/>
  <c r="R911" i="4"/>
  <c r="R912" i="4"/>
  <c r="R913" i="4"/>
  <c r="R914" i="4"/>
  <c r="R915" i="4"/>
  <c r="R916" i="4"/>
  <c r="R917" i="4"/>
  <c r="R918" i="4"/>
  <c r="R919" i="4"/>
  <c r="R920" i="4"/>
  <c r="R921" i="4"/>
  <c r="R922" i="4"/>
  <c r="R923" i="4"/>
  <c r="R924" i="4"/>
  <c r="R925" i="4"/>
  <c r="R926" i="4"/>
  <c r="R927" i="4"/>
  <c r="R928" i="4"/>
  <c r="R929" i="4"/>
  <c r="R930" i="4"/>
  <c r="R931" i="4"/>
  <c r="R932" i="4"/>
  <c r="R933" i="4"/>
  <c r="R934" i="4"/>
  <c r="R935" i="4"/>
  <c r="R936" i="4"/>
  <c r="R937" i="4"/>
  <c r="R938" i="4"/>
  <c r="R939" i="4"/>
  <c r="R940" i="4"/>
  <c r="R941" i="4"/>
  <c r="R942" i="4"/>
  <c r="R943" i="4"/>
  <c r="R944" i="4"/>
  <c r="R945" i="4"/>
  <c r="R946" i="4"/>
  <c r="R947" i="4"/>
  <c r="R948" i="4"/>
  <c r="R949" i="4"/>
  <c r="R950" i="4"/>
  <c r="R951" i="4"/>
  <c r="R952" i="4"/>
  <c r="R953" i="4"/>
  <c r="R954" i="4"/>
  <c r="R955" i="4"/>
  <c r="R956" i="4"/>
  <c r="R957" i="4"/>
  <c r="R958" i="4"/>
  <c r="R959" i="4"/>
  <c r="R960" i="4"/>
  <c r="R961" i="4"/>
  <c r="R962" i="4"/>
  <c r="R963" i="4"/>
  <c r="R964" i="4"/>
  <c r="R965" i="4"/>
  <c r="R966" i="4"/>
  <c r="R967" i="4"/>
  <c r="R968" i="4"/>
  <c r="R969" i="4"/>
  <c r="R970" i="4"/>
  <c r="R971" i="4"/>
  <c r="R972" i="4"/>
  <c r="R973" i="4"/>
  <c r="R974" i="4"/>
  <c r="R975" i="4"/>
  <c r="R976" i="4"/>
  <c r="R977" i="4"/>
  <c r="R978" i="4"/>
  <c r="R979" i="4"/>
  <c r="R980" i="4"/>
  <c r="R981" i="4"/>
  <c r="R982" i="4"/>
  <c r="R983" i="4"/>
  <c r="R984" i="4"/>
  <c r="R985" i="4"/>
  <c r="R986" i="4"/>
  <c r="R987" i="4"/>
  <c r="R988" i="4"/>
  <c r="R989" i="4"/>
  <c r="R990" i="4"/>
  <c r="R991" i="4"/>
  <c r="R992" i="4"/>
  <c r="R993" i="4"/>
  <c r="R994" i="4"/>
  <c r="R995" i="4"/>
  <c r="R996" i="4"/>
  <c r="R997" i="4"/>
  <c r="R998" i="4"/>
  <c r="R999" i="4"/>
  <c r="R1000" i="4"/>
  <c r="R1001" i="4"/>
  <c r="R1002" i="4"/>
  <c r="R1003" i="4"/>
  <c r="R1004" i="4"/>
  <c r="R1005" i="4"/>
  <c r="R1006" i="4"/>
  <c r="R1007" i="4"/>
  <c r="R1008" i="4"/>
  <c r="R1009" i="4"/>
  <c r="R1010" i="4"/>
  <c r="R1011" i="4"/>
  <c r="R1012" i="4"/>
  <c r="R1013" i="4"/>
  <c r="R1014" i="4"/>
  <c r="R1015" i="4"/>
  <c r="R1016" i="4"/>
  <c r="R1017" i="4"/>
  <c r="R1018" i="4"/>
  <c r="R1019" i="4"/>
  <c r="R1020" i="4"/>
  <c r="R1021" i="4"/>
  <c r="R1022" i="4"/>
  <c r="R1023" i="4"/>
  <c r="R1024" i="4"/>
  <c r="R1025" i="4"/>
  <c r="R1026" i="4"/>
  <c r="R1027" i="4"/>
  <c r="R1028" i="4"/>
  <c r="R1029" i="4"/>
  <c r="R1030" i="4"/>
  <c r="R1031" i="4"/>
  <c r="R1032" i="4"/>
  <c r="R1033" i="4"/>
  <c r="R1034" i="4"/>
  <c r="R1035" i="4"/>
  <c r="R1036" i="4"/>
  <c r="R1037" i="4"/>
  <c r="R1038" i="4"/>
  <c r="R1039" i="4"/>
  <c r="R1040" i="4"/>
  <c r="R1041" i="4"/>
  <c r="R1042" i="4"/>
  <c r="R1043" i="4"/>
  <c r="R1044" i="4"/>
  <c r="R1045" i="4"/>
  <c r="R1046" i="4"/>
  <c r="R1047" i="4"/>
  <c r="R1048" i="4"/>
  <c r="R1049" i="4"/>
  <c r="R1050" i="4"/>
  <c r="R1051" i="4"/>
  <c r="R1052" i="4"/>
  <c r="R1053" i="4"/>
  <c r="R1054" i="4"/>
  <c r="R1055" i="4"/>
  <c r="R1056" i="4"/>
  <c r="R1057" i="4"/>
  <c r="R1058" i="4"/>
  <c r="R1059" i="4"/>
  <c r="R1060" i="4"/>
  <c r="R1061" i="4"/>
  <c r="R1062" i="4"/>
  <c r="R1063" i="4"/>
  <c r="R1064" i="4"/>
  <c r="R1065" i="4"/>
  <c r="R1066" i="4"/>
  <c r="R1067" i="4"/>
  <c r="R1068" i="4"/>
  <c r="R1069" i="4"/>
  <c r="R1070" i="4"/>
  <c r="R1071" i="4"/>
  <c r="R1072" i="4"/>
  <c r="R1073" i="4"/>
  <c r="R1074" i="4"/>
  <c r="R1075" i="4"/>
  <c r="R1076" i="4"/>
  <c r="R1077" i="4"/>
  <c r="R1078" i="4"/>
  <c r="R1079" i="4"/>
  <c r="R1080" i="4"/>
  <c r="R1081" i="4"/>
  <c r="R1082" i="4"/>
  <c r="R1083" i="4"/>
  <c r="R1084" i="4"/>
  <c r="R1085" i="4"/>
  <c r="R1086" i="4"/>
  <c r="R1087" i="4"/>
  <c r="R1088" i="4"/>
  <c r="R1089" i="4"/>
  <c r="R1090" i="4"/>
  <c r="R1091" i="4"/>
  <c r="R1092" i="4"/>
  <c r="R1093" i="4"/>
  <c r="R1094" i="4"/>
  <c r="R1095" i="4"/>
  <c r="R1096" i="4"/>
  <c r="R1097" i="4"/>
  <c r="R1098" i="4"/>
  <c r="R1099" i="4"/>
  <c r="R1100" i="4"/>
  <c r="R1101" i="4"/>
  <c r="R1102" i="4"/>
  <c r="R1103" i="4"/>
  <c r="R1104" i="4"/>
  <c r="R1105" i="4"/>
  <c r="R1106" i="4"/>
  <c r="R1107" i="4"/>
  <c r="R1108" i="4"/>
  <c r="R1109" i="4"/>
  <c r="R1110" i="4"/>
  <c r="R1111" i="4"/>
  <c r="R1112" i="4"/>
  <c r="R1113" i="4"/>
  <c r="R1114" i="4"/>
  <c r="R1115" i="4"/>
  <c r="R1116" i="4"/>
  <c r="R1117" i="4"/>
  <c r="R1118" i="4"/>
  <c r="R1119" i="4"/>
  <c r="R1120" i="4"/>
  <c r="R1121" i="4"/>
  <c r="R1122" i="4"/>
  <c r="R1123" i="4"/>
  <c r="R1124" i="4"/>
  <c r="R1125" i="4"/>
  <c r="R1126" i="4"/>
  <c r="R1127" i="4"/>
  <c r="R1128" i="4"/>
  <c r="R1129" i="4"/>
  <c r="R1130" i="4"/>
  <c r="R1131" i="4"/>
  <c r="R1132" i="4"/>
  <c r="R1133" i="4"/>
  <c r="R1134" i="4"/>
  <c r="R1135" i="4"/>
  <c r="R1136" i="4"/>
  <c r="R1137" i="4"/>
  <c r="R1138" i="4"/>
  <c r="R1139" i="4"/>
  <c r="R1140" i="4"/>
  <c r="R1141" i="4"/>
  <c r="R1142" i="4"/>
  <c r="R1143" i="4"/>
  <c r="R1144" i="4"/>
  <c r="R1145" i="4"/>
  <c r="R1146" i="4"/>
  <c r="R1147" i="4"/>
  <c r="R1148" i="4"/>
  <c r="R1149" i="4"/>
  <c r="R1150" i="4"/>
  <c r="R1151" i="4"/>
  <c r="R1152" i="4"/>
  <c r="R1153" i="4"/>
  <c r="R1154" i="4"/>
  <c r="R1155" i="4"/>
  <c r="R1156" i="4"/>
  <c r="R1157" i="4"/>
  <c r="R1158" i="4"/>
  <c r="R1159" i="4"/>
  <c r="R1160" i="4"/>
  <c r="R1161" i="4"/>
  <c r="R1162" i="4"/>
  <c r="R1163" i="4"/>
  <c r="R1164" i="4"/>
  <c r="R1165" i="4"/>
  <c r="R1166" i="4"/>
  <c r="R1167" i="4"/>
  <c r="R1168" i="4"/>
  <c r="R1169" i="4"/>
  <c r="R1170" i="4"/>
  <c r="R1171" i="4"/>
  <c r="R1172" i="4"/>
  <c r="R1173" i="4"/>
  <c r="R1174" i="4"/>
  <c r="R1175" i="4"/>
  <c r="R1176" i="4"/>
  <c r="R1177" i="4"/>
  <c r="R1178" i="4"/>
  <c r="R1179" i="4"/>
  <c r="R1180" i="4"/>
  <c r="R1181" i="4"/>
  <c r="R1182" i="4"/>
  <c r="R1183" i="4"/>
  <c r="R1184" i="4"/>
  <c r="R1185" i="4"/>
  <c r="R1186" i="4"/>
  <c r="R1187" i="4"/>
  <c r="R1188" i="4"/>
  <c r="R1189" i="4"/>
  <c r="R1190" i="4"/>
  <c r="R1191" i="4"/>
  <c r="R1192" i="4"/>
  <c r="R1193" i="4"/>
  <c r="R1194" i="4"/>
  <c r="R1195" i="4"/>
  <c r="R1196" i="4"/>
  <c r="R1197" i="4"/>
  <c r="R1198" i="4"/>
  <c r="R1199" i="4"/>
  <c r="R1200" i="4"/>
  <c r="R1201" i="4"/>
  <c r="R1202" i="4"/>
  <c r="R1203" i="4"/>
  <c r="R1204" i="4"/>
  <c r="R1205" i="4"/>
  <c r="R1206" i="4"/>
  <c r="R1207" i="4"/>
  <c r="R1208" i="4"/>
  <c r="R1209" i="4"/>
  <c r="R1210" i="4"/>
  <c r="R1211" i="4"/>
  <c r="R1212" i="4"/>
  <c r="R1213" i="4"/>
  <c r="R1214" i="4"/>
  <c r="R1215" i="4"/>
  <c r="R1216" i="4"/>
  <c r="R1217" i="4"/>
  <c r="R1218" i="4"/>
  <c r="R1219" i="4"/>
  <c r="R1220" i="4"/>
  <c r="R1221" i="4"/>
  <c r="R1222" i="4"/>
  <c r="R1223" i="4"/>
  <c r="R1224" i="4"/>
  <c r="R1225" i="4"/>
  <c r="R1226" i="4"/>
  <c r="R1227" i="4"/>
  <c r="R1228" i="4"/>
  <c r="R1229" i="4"/>
  <c r="R1230" i="4"/>
  <c r="R1231" i="4"/>
  <c r="R1232" i="4"/>
  <c r="R1233" i="4"/>
  <c r="R1234" i="4"/>
  <c r="R1235" i="4"/>
  <c r="R1236" i="4"/>
  <c r="R1237" i="4"/>
  <c r="R1238" i="4"/>
  <c r="R1239" i="4"/>
  <c r="R1240" i="4"/>
  <c r="R1241" i="4"/>
  <c r="R1242" i="4"/>
  <c r="R1243" i="4"/>
  <c r="R1244" i="4"/>
  <c r="R1245" i="4"/>
  <c r="R1246" i="4"/>
  <c r="R1247" i="4"/>
  <c r="R1248" i="4"/>
  <c r="R1249" i="4"/>
  <c r="R1250" i="4"/>
  <c r="R1251" i="4"/>
  <c r="R1252" i="4"/>
  <c r="R1253" i="4"/>
  <c r="R1254" i="4"/>
  <c r="R1255" i="4"/>
  <c r="R1256" i="4"/>
  <c r="R1257" i="4"/>
  <c r="R1258" i="4"/>
  <c r="R1259" i="4"/>
  <c r="R1260" i="4"/>
  <c r="R1261" i="4"/>
  <c r="R1262" i="4"/>
  <c r="R1263" i="4"/>
  <c r="R1264" i="4"/>
  <c r="R1265" i="4"/>
  <c r="R1266" i="4"/>
  <c r="R1267" i="4"/>
  <c r="R1268" i="4"/>
  <c r="R1269" i="4"/>
  <c r="R1270" i="4"/>
  <c r="R1271" i="4"/>
  <c r="R1272" i="4"/>
  <c r="R1273" i="4"/>
  <c r="R1274" i="4"/>
  <c r="R1275" i="4"/>
  <c r="R1276" i="4"/>
  <c r="R1277" i="4"/>
  <c r="R1278" i="4"/>
  <c r="R1279" i="4"/>
  <c r="R1280" i="4"/>
  <c r="R1281" i="4"/>
  <c r="R1282" i="4"/>
  <c r="R1283" i="4"/>
  <c r="R1284" i="4"/>
  <c r="R1285" i="4"/>
  <c r="R1286" i="4"/>
  <c r="R1287" i="4"/>
  <c r="R1288" i="4"/>
  <c r="R1289" i="4"/>
  <c r="R1290" i="4"/>
  <c r="R1291" i="4"/>
  <c r="R1292" i="4"/>
  <c r="R1293" i="4"/>
  <c r="R1294" i="4"/>
  <c r="R1295" i="4"/>
  <c r="R1296" i="4"/>
  <c r="R1297" i="4"/>
  <c r="R1298" i="4"/>
  <c r="R1299" i="4"/>
  <c r="R1300" i="4"/>
  <c r="R1301" i="4"/>
  <c r="R1302" i="4"/>
  <c r="R1303" i="4"/>
  <c r="R1304" i="4"/>
  <c r="R1305" i="4"/>
  <c r="R1306" i="4"/>
  <c r="R1307" i="4"/>
  <c r="R1308" i="4"/>
  <c r="R1309" i="4"/>
  <c r="R1310" i="4"/>
  <c r="R1311" i="4"/>
  <c r="R1312" i="4"/>
  <c r="R1313" i="4"/>
  <c r="R1314" i="4"/>
  <c r="R1315" i="4"/>
  <c r="R1316" i="4"/>
  <c r="R1317" i="4"/>
  <c r="R1318" i="4"/>
  <c r="R1319" i="4"/>
  <c r="R1320" i="4"/>
  <c r="R1321" i="4"/>
  <c r="R1322" i="4"/>
  <c r="R1323" i="4"/>
  <c r="R1324" i="4"/>
  <c r="R1325" i="4"/>
  <c r="R1326" i="4"/>
  <c r="R1327" i="4"/>
  <c r="R1328" i="4"/>
  <c r="R1329" i="4"/>
  <c r="R1330" i="4"/>
  <c r="R1331" i="4"/>
  <c r="R1332" i="4"/>
  <c r="R1333" i="4"/>
  <c r="R1334" i="4"/>
  <c r="R1335" i="4"/>
  <c r="R1336" i="4"/>
  <c r="R1337" i="4"/>
  <c r="R1338" i="4"/>
  <c r="R1339" i="4"/>
  <c r="R1340" i="4"/>
  <c r="R1341" i="4"/>
  <c r="R1342" i="4"/>
  <c r="R1343" i="4"/>
  <c r="R1344" i="4"/>
  <c r="R1345" i="4"/>
  <c r="R1346" i="4"/>
  <c r="R1347" i="4"/>
  <c r="R1348" i="4"/>
  <c r="R1349" i="4"/>
  <c r="R1350" i="4"/>
  <c r="R1351" i="4"/>
  <c r="R1352" i="4"/>
  <c r="R1353" i="4"/>
  <c r="R1354" i="4"/>
  <c r="R1355" i="4"/>
  <c r="R1356" i="4"/>
  <c r="R1357" i="4"/>
  <c r="R1358" i="4"/>
  <c r="R1359" i="4"/>
  <c r="R1360" i="4"/>
  <c r="R1361" i="4"/>
  <c r="R1362" i="4"/>
  <c r="R1363" i="4"/>
  <c r="R1364" i="4"/>
  <c r="R1365" i="4"/>
  <c r="R1366" i="4"/>
  <c r="R1367" i="4"/>
  <c r="R1368" i="4"/>
  <c r="R1369" i="4"/>
  <c r="R1370" i="4"/>
  <c r="R1371" i="4"/>
  <c r="R1372" i="4"/>
  <c r="R1373" i="4"/>
  <c r="R1374" i="4"/>
  <c r="R1375" i="4"/>
  <c r="R1376" i="4"/>
  <c r="R1377" i="4"/>
  <c r="R1378" i="4"/>
  <c r="R1379" i="4"/>
  <c r="R1380" i="4"/>
  <c r="R1381" i="4"/>
  <c r="R1382" i="4"/>
  <c r="R1383" i="4"/>
  <c r="R1384" i="4"/>
  <c r="R1385" i="4"/>
  <c r="R1386" i="4"/>
  <c r="R1387" i="4"/>
  <c r="R1388" i="4"/>
  <c r="R1389" i="4"/>
  <c r="R1390" i="4"/>
  <c r="R1391" i="4"/>
  <c r="R1392" i="4"/>
  <c r="R1393" i="4"/>
  <c r="R1394" i="4"/>
  <c r="R1395" i="4"/>
  <c r="R1396" i="4"/>
  <c r="R1397" i="4"/>
  <c r="R1398" i="4"/>
  <c r="R1399" i="4"/>
  <c r="R1400" i="4"/>
  <c r="R1401" i="4"/>
  <c r="R1402" i="4"/>
  <c r="R1403" i="4"/>
  <c r="R1404" i="4"/>
  <c r="R1405" i="4"/>
  <c r="R1406" i="4"/>
  <c r="R1407" i="4"/>
  <c r="R1408" i="4"/>
  <c r="R1409" i="4"/>
  <c r="R1410" i="4"/>
  <c r="R1411" i="4"/>
  <c r="R1412" i="4"/>
  <c r="R1413" i="4"/>
  <c r="R1414" i="4"/>
  <c r="R1415" i="4"/>
  <c r="R1416" i="4"/>
  <c r="R1417" i="4"/>
  <c r="R1418" i="4"/>
  <c r="R1419" i="4"/>
  <c r="R1420" i="4"/>
  <c r="R1421" i="4"/>
  <c r="R1422" i="4"/>
  <c r="R1423" i="4"/>
  <c r="R1424" i="4"/>
  <c r="R1425" i="4"/>
  <c r="R1426" i="4"/>
  <c r="R1427" i="4"/>
  <c r="R1428" i="4"/>
  <c r="R1429" i="4"/>
  <c r="R1430" i="4"/>
  <c r="R1431" i="4"/>
  <c r="R1432" i="4"/>
  <c r="R1433" i="4"/>
  <c r="R1434" i="4"/>
  <c r="R1435" i="4"/>
  <c r="R1436" i="4"/>
  <c r="N4" i="4"/>
  <c r="O4" i="4"/>
  <c r="P4" i="4" s="1"/>
  <c r="S4" i="4"/>
  <c r="N5" i="4"/>
  <c r="O5" i="4"/>
  <c r="P5" i="4" s="1"/>
  <c r="S5" i="4"/>
  <c r="N6" i="4"/>
  <c r="O6" i="4"/>
  <c r="P6" i="4" s="1"/>
  <c r="S6" i="4"/>
  <c r="N7" i="4"/>
  <c r="O7" i="4"/>
  <c r="P7" i="4" s="1"/>
  <c r="S7" i="4"/>
  <c r="N8" i="4"/>
  <c r="O8" i="4"/>
  <c r="P8" i="4" s="1"/>
  <c r="S8" i="4"/>
  <c r="N9" i="4"/>
  <c r="O9" i="4"/>
  <c r="P9" i="4" s="1"/>
  <c r="S9" i="4"/>
  <c r="N10" i="4"/>
  <c r="O10" i="4"/>
  <c r="P10" i="4" s="1"/>
  <c r="S10" i="4"/>
  <c r="N11" i="4"/>
  <c r="O11" i="4"/>
  <c r="P11" i="4" s="1"/>
  <c r="S11" i="4"/>
  <c r="N12" i="4"/>
  <c r="O12" i="4"/>
  <c r="P12" i="4" s="1"/>
  <c r="S12" i="4"/>
  <c r="N13" i="4"/>
  <c r="O13" i="4"/>
  <c r="P13" i="4" s="1"/>
  <c r="S13" i="4"/>
  <c r="N14" i="4"/>
  <c r="O14" i="4"/>
  <c r="P14" i="4" s="1"/>
  <c r="S14" i="4"/>
  <c r="N15" i="4"/>
  <c r="O15" i="4"/>
  <c r="P15" i="4" s="1"/>
  <c r="Q15" i="4" s="1"/>
  <c r="S15" i="4"/>
  <c r="N16" i="4"/>
  <c r="O16" i="4"/>
  <c r="P16" i="4" s="1"/>
  <c r="S16" i="4"/>
  <c r="N17" i="4"/>
  <c r="O17" i="4"/>
  <c r="P17" i="4" s="1"/>
  <c r="S17" i="4"/>
  <c r="N18" i="4"/>
  <c r="O18" i="4"/>
  <c r="P18" i="4" s="1"/>
  <c r="Q18" i="4" s="1"/>
  <c r="S18" i="4"/>
  <c r="N19" i="4"/>
  <c r="O19" i="4"/>
  <c r="P19" i="4" s="1"/>
  <c r="Q19" i="4" s="1"/>
  <c r="S19" i="4"/>
  <c r="N20" i="4"/>
  <c r="O20" i="4"/>
  <c r="P20" i="4" s="1"/>
  <c r="S20" i="4"/>
  <c r="N21" i="4"/>
  <c r="O21" i="4"/>
  <c r="P21" i="4" s="1"/>
  <c r="S21" i="4"/>
  <c r="N22" i="4"/>
  <c r="O22" i="4"/>
  <c r="P22" i="4" s="1"/>
  <c r="S22" i="4"/>
  <c r="N23" i="4"/>
  <c r="O23" i="4"/>
  <c r="P23" i="4" s="1"/>
  <c r="S23" i="4"/>
  <c r="N24" i="4"/>
  <c r="O24" i="4"/>
  <c r="P24" i="4" s="1"/>
  <c r="S24" i="4"/>
  <c r="N25" i="4"/>
  <c r="O25" i="4"/>
  <c r="P25" i="4" s="1"/>
  <c r="S25" i="4"/>
  <c r="N26" i="4"/>
  <c r="O26" i="4"/>
  <c r="P26" i="4" s="1"/>
  <c r="S26" i="4"/>
  <c r="N27" i="4"/>
  <c r="O27" i="4"/>
  <c r="P27" i="4" s="1"/>
  <c r="Q27" i="4" s="1"/>
  <c r="S27" i="4"/>
  <c r="N28" i="4"/>
  <c r="O28" i="4"/>
  <c r="P28" i="4" s="1"/>
  <c r="S28" i="4"/>
  <c r="N29" i="4"/>
  <c r="O29" i="4"/>
  <c r="P29" i="4" s="1"/>
  <c r="S29" i="4"/>
  <c r="N30" i="4"/>
  <c r="O30" i="4"/>
  <c r="P30" i="4" s="1"/>
  <c r="S30" i="4"/>
  <c r="N31" i="4"/>
  <c r="O31" i="4"/>
  <c r="P31" i="4" s="1"/>
  <c r="S31" i="4"/>
  <c r="N32" i="4"/>
  <c r="O32" i="4"/>
  <c r="P32" i="4" s="1"/>
  <c r="S32" i="4"/>
  <c r="N33" i="4"/>
  <c r="O33" i="4"/>
  <c r="P33" i="4" s="1"/>
  <c r="S33" i="4"/>
  <c r="N34" i="4"/>
  <c r="O34" i="4"/>
  <c r="P34" i="4" s="1"/>
  <c r="S34" i="4"/>
  <c r="N35" i="4"/>
  <c r="O35" i="4"/>
  <c r="P35" i="4" s="1"/>
  <c r="S35" i="4"/>
  <c r="N36" i="4"/>
  <c r="O36" i="4"/>
  <c r="P36" i="4" s="1"/>
  <c r="S36" i="4"/>
  <c r="N37" i="4"/>
  <c r="O37" i="4"/>
  <c r="P37" i="4" s="1"/>
  <c r="S37" i="4"/>
  <c r="N38" i="4"/>
  <c r="O38" i="4"/>
  <c r="P38" i="4" s="1"/>
  <c r="S38" i="4"/>
  <c r="N39" i="4"/>
  <c r="O39" i="4"/>
  <c r="P39" i="4" s="1"/>
  <c r="S39" i="4"/>
  <c r="N40" i="4"/>
  <c r="O40" i="4"/>
  <c r="P40" i="4" s="1"/>
  <c r="S40" i="4"/>
  <c r="N41" i="4"/>
  <c r="O41" i="4"/>
  <c r="P41" i="4" s="1"/>
  <c r="S41" i="4"/>
  <c r="N42" i="4"/>
  <c r="O42" i="4"/>
  <c r="P42" i="4" s="1"/>
  <c r="S42" i="4"/>
  <c r="N43" i="4"/>
  <c r="O43" i="4"/>
  <c r="P43" i="4" s="1"/>
  <c r="S43" i="4"/>
  <c r="N44" i="4"/>
  <c r="O44" i="4"/>
  <c r="P44" i="4" s="1"/>
  <c r="S44" i="4"/>
  <c r="N45" i="4"/>
  <c r="O45" i="4"/>
  <c r="P45" i="4" s="1"/>
  <c r="S45" i="4"/>
  <c r="N46" i="4"/>
  <c r="O46" i="4"/>
  <c r="P46" i="4" s="1"/>
  <c r="S46" i="4"/>
  <c r="N47" i="4"/>
  <c r="O47" i="4"/>
  <c r="P47" i="4" s="1"/>
  <c r="S47" i="4"/>
  <c r="N48" i="4"/>
  <c r="O48" i="4"/>
  <c r="P48" i="4" s="1"/>
  <c r="S48" i="4"/>
  <c r="N49" i="4"/>
  <c r="O49" i="4"/>
  <c r="P49" i="4" s="1"/>
  <c r="S49" i="4"/>
  <c r="N50" i="4"/>
  <c r="O50" i="4"/>
  <c r="P50" i="4" s="1"/>
  <c r="S50" i="4"/>
  <c r="N51" i="4"/>
  <c r="O51" i="4"/>
  <c r="P51" i="4" s="1"/>
  <c r="S51" i="4"/>
  <c r="N52" i="4"/>
  <c r="O52" i="4"/>
  <c r="P52" i="4" s="1"/>
  <c r="S52" i="4"/>
  <c r="N53" i="4"/>
  <c r="O53" i="4"/>
  <c r="P53" i="4" s="1"/>
  <c r="S53" i="4"/>
  <c r="N54" i="4"/>
  <c r="O54" i="4"/>
  <c r="P54" i="4" s="1"/>
  <c r="S54" i="4"/>
  <c r="N55" i="4"/>
  <c r="O55" i="4"/>
  <c r="P55" i="4" s="1"/>
  <c r="S55" i="4"/>
  <c r="N56" i="4"/>
  <c r="O56" i="4"/>
  <c r="P56" i="4" s="1"/>
  <c r="S56" i="4"/>
  <c r="N57" i="4"/>
  <c r="O57" i="4"/>
  <c r="P57" i="4" s="1"/>
  <c r="S57" i="4"/>
  <c r="N58" i="4"/>
  <c r="O58" i="4"/>
  <c r="P58" i="4" s="1"/>
  <c r="S58" i="4"/>
  <c r="N59" i="4"/>
  <c r="O59" i="4"/>
  <c r="P59" i="4" s="1"/>
  <c r="S59" i="4"/>
  <c r="N60" i="4"/>
  <c r="O60" i="4"/>
  <c r="P60" i="4" s="1"/>
  <c r="S60" i="4"/>
  <c r="N61" i="4"/>
  <c r="O61" i="4"/>
  <c r="P61" i="4" s="1"/>
  <c r="S61" i="4"/>
  <c r="N62" i="4"/>
  <c r="O62" i="4"/>
  <c r="P62" i="4" s="1"/>
  <c r="S62" i="4"/>
  <c r="N63" i="4"/>
  <c r="O63" i="4"/>
  <c r="P63" i="4" s="1"/>
  <c r="S63" i="4"/>
  <c r="N64" i="4"/>
  <c r="O64" i="4"/>
  <c r="P64" i="4" s="1"/>
  <c r="S64" i="4"/>
  <c r="N65" i="4"/>
  <c r="O65" i="4"/>
  <c r="P65" i="4" s="1"/>
  <c r="S65" i="4"/>
  <c r="N66" i="4"/>
  <c r="O66" i="4"/>
  <c r="P66" i="4" s="1"/>
  <c r="S66" i="4"/>
  <c r="N67" i="4"/>
  <c r="O67" i="4"/>
  <c r="P67" i="4" s="1"/>
  <c r="S67" i="4"/>
  <c r="N68" i="4"/>
  <c r="O68" i="4"/>
  <c r="P68" i="4" s="1"/>
  <c r="S68" i="4"/>
  <c r="N69" i="4"/>
  <c r="O69" i="4"/>
  <c r="P69" i="4" s="1"/>
  <c r="S69" i="4"/>
  <c r="N70" i="4"/>
  <c r="O70" i="4"/>
  <c r="P70" i="4" s="1"/>
  <c r="S70" i="4"/>
  <c r="N71" i="4"/>
  <c r="O71" i="4"/>
  <c r="P71" i="4" s="1"/>
  <c r="S71" i="4"/>
  <c r="N72" i="4"/>
  <c r="O72" i="4"/>
  <c r="P72" i="4" s="1"/>
  <c r="S72" i="4"/>
  <c r="N73" i="4"/>
  <c r="O73" i="4"/>
  <c r="P73" i="4" s="1"/>
  <c r="S73" i="4"/>
  <c r="N74" i="4"/>
  <c r="O74" i="4"/>
  <c r="P74" i="4" s="1"/>
  <c r="S74" i="4"/>
  <c r="N75" i="4"/>
  <c r="O75" i="4"/>
  <c r="P75" i="4" s="1"/>
  <c r="S75" i="4"/>
  <c r="N76" i="4"/>
  <c r="O76" i="4"/>
  <c r="P76" i="4" s="1"/>
  <c r="S76" i="4"/>
  <c r="N77" i="4"/>
  <c r="O77" i="4"/>
  <c r="P77" i="4" s="1"/>
  <c r="S77" i="4"/>
  <c r="N78" i="4"/>
  <c r="O78" i="4"/>
  <c r="P78" i="4" s="1"/>
  <c r="S78" i="4"/>
  <c r="N79" i="4"/>
  <c r="O79" i="4"/>
  <c r="P79" i="4" s="1"/>
  <c r="S79" i="4"/>
  <c r="N80" i="4"/>
  <c r="O80" i="4"/>
  <c r="P80" i="4" s="1"/>
  <c r="S80" i="4"/>
  <c r="N81" i="4"/>
  <c r="O81" i="4"/>
  <c r="P81" i="4" s="1"/>
  <c r="S81" i="4"/>
  <c r="N82" i="4"/>
  <c r="O82" i="4"/>
  <c r="P82" i="4" s="1"/>
  <c r="S82" i="4"/>
  <c r="N83" i="4"/>
  <c r="O83" i="4"/>
  <c r="P83" i="4" s="1"/>
  <c r="S83" i="4"/>
  <c r="N84" i="4"/>
  <c r="O84" i="4"/>
  <c r="P84" i="4" s="1"/>
  <c r="S84" i="4"/>
  <c r="N85" i="4"/>
  <c r="O85" i="4"/>
  <c r="P85" i="4" s="1"/>
  <c r="S85" i="4"/>
  <c r="N86" i="4"/>
  <c r="O86" i="4"/>
  <c r="P86" i="4" s="1"/>
  <c r="S86" i="4"/>
  <c r="N87" i="4"/>
  <c r="O87" i="4"/>
  <c r="P87" i="4" s="1"/>
  <c r="S87" i="4"/>
  <c r="N88" i="4"/>
  <c r="O88" i="4"/>
  <c r="P88" i="4" s="1"/>
  <c r="S88" i="4"/>
  <c r="N89" i="4"/>
  <c r="O89" i="4"/>
  <c r="P89" i="4" s="1"/>
  <c r="S89" i="4"/>
  <c r="N90" i="4"/>
  <c r="O90" i="4"/>
  <c r="P90" i="4" s="1"/>
  <c r="S90" i="4"/>
  <c r="N91" i="4"/>
  <c r="O91" i="4"/>
  <c r="P91" i="4" s="1"/>
  <c r="S91" i="4"/>
  <c r="N92" i="4"/>
  <c r="O92" i="4"/>
  <c r="P92" i="4" s="1"/>
  <c r="S92" i="4"/>
  <c r="N93" i="4"/>
  <c r="O93" i="4"/>
  <c r="P93" i="4" s="1"/>
  <c r="S93" i="4"/>
  <c r="N94" i="4"/>
  <c r="O94" i="4"/>
  <c r="P94" i="4" s="1"/>
  <c r="S94" i="4"/>
  <c r="N95" i="4"/>
  <c r="O95" i="4"/>
  <c r="P95" i="4" s="1"/>
  <c r="S95" i="4"/>
  <c r="N96" i="4"/>
  <c r="O96" i="4"/>
  <c r="P96" i="4" s="1"/>
  <c r="S96" i="4"/>
  <c r="N97" i="4"/>
  <c r="O97" i="4"/>
  <c r="P97" i="4" s="1"/>
  <c r="S97" i="4"/>
  <c r="N98" i="4"/>
  <c r="O98" i="4"/>
  <c r="P98" i="4" s="1"/>
  <c r="S98" i="4"/>
  <c r="N99" i="4"/>
  <c r="O99" i="4"/>
  <c r="P99" i="4" s="1"/>
  <c r="S99" i="4"/>
  <c r="N100" i="4"/>
  <c r="O100" i="4"/>
  <c r="P100" i="4" s="1"/>
  <c r="S100" i="4"/>
  <c r="N101" i="4"/>
  <c r="O101" i="4"/>
  <c r="P101" i="4" s="1"/>
  <c r="S101" i="4"/>
  <c r="N102" i="4"/>
  <c r="O102" i="4"/>
  <c r="P102" i="4" s="1"/>
  <c r="S102" i="4"/>
  <c r="N103" i="4"/>
  <c r="O103" i="4"/>
  <c r="P103" i="4"/>
  <c r="S103" i="4"/>
  <c r="N104" i="4"/>
  <c r="O104" i="4"/>
  <c r="P104" i="4" s="1"/>
  <c r="S104" i="4"/>
  <c r="N105" i="4"/>
  <c r="O105" i="4"/>
  <c r="P105" i="4" s="1"/>
  <c r="S105" i="4"/>
  <c r="N106" i="4"/>
  <c r="O106" i="4"/>
  <c r="P106" i="4" s="1"/>
  <c r="S106" i="4"/>
  <c r="N107" i="4"/>
  <c r="O107" i="4"/>
  <c r="P107" i="4" s="1"/>
  <c r="S107" i="4"/>
  <c r="N108" i="4"/>
  <c r="O108" i="4"/>
  <c r="P108" i="4" s="1"/>
  <c r="S108" i="4"/>
  <c r="N109" i="4"/>
  <c r="O109" i="4"/>
  <c r="P109" i="4" s="1"/>
  <c r="S109" i="4"/>
  <c r="N110" i="4"/>
  <c r="O110" i="4"/>
  <c r="P110" i="4" s="1"/>
  <c r="S110" i="4"/>
  <c r="N111" i="4"/>
  <c r="O111" i="4"/>
  <c r="P111" i="4" s="1"/>
  <c r="S111" i="4"/>
  <c r="N112" i="4"/>
  <c r="O112" i="4"/>
  <c r="P112" i="4" s="1"/>
  <c r="S112" i="4"/>
  <c r="N113" i="4"/>
  <c r="O113" i="4"/>
  <c r="P113" i="4" s="1"/>
  <c r="S113" i="4"/>
  <c r="N114" i="4"/>
  <c r="O114" i="4"/>
  <c r="P114" i="4" s="1"/>
  <c r="S114" i="4"/>
  <c r="N115" i="4"/>
  <c r="O115" i="4"/>
  <c r="P115" i="4" s="1"/>
  <c r="S115" i="4"/>
  <c r="N116" i="4"/>
  <c r="O116" i="4"/>
  <c r="P116" i="4" s="1"/>
  <c r="S116" i="4"/>
  <c r="N117" i="4"/>
  <c r="O117" i="4"/>
  <c r="P117" i="4" s="1"/>
  <c r="S117" i="4"/>
  <c r="N118" i="4"/>
  <c r="O118" i="4"/>
  <c r="P118" i="4" s="1"/>
  <c r="S118" i="4"/>
  <c r="N119" i="4"/>
  <c r="O119" i="4"/>
  <c r="P119" i="4" s="1"/>
  <c r="S119" i="4"/>
  <c r="N120" i="4"/>
  <c r="O120" i="4"/>
  <c r="P120" i="4" s="1"/>
  <c r="Q120" i="4" s="1"/>
  <c r="S120" i="4"/>
  <c r="N121" i="4"/>
  <c r="O121" i="4"/>
  <c r="P121" i="4" s="1"/>
  <c r="S121" i="4"/>
  <c r="N122" i="4"/>
  <c r="O122" i="4"/>
  <c r="P122" i="4" s="1"/>
  <c r="S122" i="4"/>
  <c r="N123" i="4"/>
  <c r="O123" i="4"/>
  <c r="P123" i="4" s="1"/>
  <c r="S123" i="4"/>
  <c r="N124" i="4"/>
  <c r="O124" i="4"/>
  <c r="P124" i="4" s="1"/>
  <c r="S124" i="4"/>
  <c r="N125" i="4"/>
  <c r="O125" i="4"/>
  <c r="P125" i="4" s="1"/>
  <c r="S125" i="4"/>
  <c r="N126" i="4"/>
  <c r="O126" i="4"/>
  <c r="P126" i="4" s="1"/>
  <c r="S126" i="4"/>
  <c r="N127" i="4"/>
  <c r="O127" i="4"/>
  <c r="P127" i="4" s="1"/>
  <c r="S127" i="4"/>
  <c r="N128" i="4"/>
  <c r="O128" i="4"/>
  <c r="P128" i="4" s="1"/>
  <c r="S128" i="4"/>
  <c r="N129" i="4"/>
  <c r="O129" i="4"/>
  <c r="P129" i="4" s="1"/>
  <c r="S129" i="4"/>
  <c r="N130" i="4"/>
  <c r="O130" i="4"/>
  <c r="P130" i="4" s="1"/>
  <c r="S130" i="4"/>
  <c r="N131" i="4"/>
  <c r="O131" i="4"/>
  <c r="P131" i="4" s="1"/>
  <c r="S131" i="4"/>
  <c r="N132" i="4"/>
  <c r="O132" i="4"/>
  <c r="P132" i="4" s="1"/>
  <c r="S132" i="4"/>
  <c r="N133" i="4"/>
  <c r="O133" i="4"/>
  <c r="P133" i="4" s="1"/>
  <c r="S133" i="4"/>
  <c r="N134" i="4"/>
  <c r="O134" i="4"/>
  <c r="P134" i="4" s="1"/>
  <c r="S134" i="4"/>
  <c r="N135" i="4"/>
  <c r="O135" i="4"/>
  <c r="P135" i="4" s="1"/>
  <c r="S135" i="4"/>
  <c r="N136" i="4"/>
  <c r="O136" i="4"/>
  <c r="P136" i="4" s="1"/>
  <c r="S136" i="4"/>
  <c r="N137" i="4"/>
  <c r="O137" i="4"/>
  <c r="P137" i="4" s="1"/>
  <c r="S137" i="4"/>
  <c r="N138" i="4"/>
  <c r="O138" i="4"/>
  <c r="P138" i="4" s="1"/>
  <c r="S138" i="4"/>
  <c r="N139" i="4"/>
  <c r="O139" i="4"/>
  <c r="P139" i="4" s="1"/>
  <c r="S139" i="4"/>
  <c r="N140" i="4"/>
  <c r="O140" i="4"/>
  <c r="P140" i="4" s="1"/>
  <c r="S140" i="4"/>
  <c r="N141" i="4"/>
  <c r="O141" i="4"/>
  <c r="P141" i="4" s="1"/>
  <c r="S141" i="4"/>
  <c r="N142" i="4"/>
  <c r="O142" i="4"/>
  <c r="P142" i="4" s="1"/>
  <c r="S142" i="4"/>
  <c r="N143" i="4"/>
  <c r="O143" i="4"/>
  <c r="P143" i="4" s="1"/>
  <c r="S143" i="4"/>
  <c r="N144" i="4"/>
  <c r="O144" i="4"/>
  <c r="P144" i="4" s="1"/>
  <c r="S144" i="4"/>
  <c r="N145" i="4"/>
  <c r="O145" i="4"/>
  <c r="P145" i="4" s="1"/>
  <c r="S145" i="4"/>
  <c r="N146" i="4"/>
  <c r="O146" i="4"/>
  <c r="P146" i="4" s="1"/>
  <c r="S146" i="4"/>
  <c r="N147" i="4"/>
  <c r="O147" i="4"/>
  <c r="P147" i="4" s="1"/>
  <c r="S147" i="4"/>
  <c r="N148" i="4"/>
  <c r="O148" i="4"/>
  <c r="P148" i="4" s="1"/>
  <c r="S148" i="4"/>
  <c r="N149" i="4"/>
  <c r="O149" i="4"/>
  <c r="P149" i="4" s="1"/>
  <c r="S149" i="4"/>
  <c r="N150" i="4"/>
  <c r="O150" i="4"/>
  <c r="P150" i="4" s="1"/>
  <c r="S150" i="4"/>
  <c r="N151" i="4"/>
  <c r="O151" i="4"/>
  <c r="P151" i="4" s="1"/>
  <c r="S151" i="4"/>
  <c r="N152" i="4"/>
  <c r="O152" i="4"/>
  <c r="P152" i="4" s="1"/>
  <c r="S152" i="4"/>
  <c r="N153" i="4"/>
  <c r="O153" i="4"/>
  <c r="P153" i="4" s="1"/>
  <c r="S153" i="4"/>
  <c r="N154" i="4"/>
  <c r="O154" i="4"/>
  <c r="P154" i="4" s="1"/>
  <c r="S154" i="4"/>
  <c r="N155" i="4"/>
  <c r="O155" i="4"/>
  <c r="P155" i="4" s="1"/>
  <c r="S155" i="4"/>
  <c r="N156" i="4"/>
  <c r="O156" i="4"/>
  <c r="P156" i="4" s="1"/>
  <c r="S156" i="4"/>
  <c r="N157" i="4"/>
  <c r="O157" i="4"/>
  <c r="P157" i="4" s="1"/>
  <c r="S157" i="4"/>
  <c r="N158" i="4"/>
  <c r="O158" i="4"/>
  <c r="P158" i="4" s="1"/>
  <c r="S158" i="4"/>
  <c r="N159" i="4"/>
  <c r="O159" i="4"/>
  <c r="P159" i="4" s="1"/>
  <c r="S159" i="4"/>
  <c r="N160" i="4"/>
  <c r="O160" i="4"/>
  <c r="P160" i="4" s="1"/>
  <c r="S160" i="4"/>
  <c r="N161" i="4"/>
  <c r="O161" i="4"/>
  <c r="P161" i="4" s="1"/>
  <c r="S161" i="4"/>
  <c r="N162" i="4"/>
  <c r="O162" i="4"/>
  <c r="P162" i="4" s="1"/>
  <c r="S162" i="4"/>
  <c r="N163" i="4"/>
  <c r="O163" i="4"/>
  <c r="P163" i="4" s="1"/>
  <c r="S163" i="4"/>
  <c r="N164" i="4"/>
  <c r="O164" i="4"/>
  <c r="P164" i="4" s="1"/>
  <c r="S164" i="4"/>
  <c r="N165" i="4"/>
  <c r="O165" i="4"/>
  <c r="P165" i="4" s="1"/>
  <c r="S165" i="4"/>
  <c r="N166" i="4"/>
  <c r="O166" i="4"/>
  <c r="P166" i="4" s="1"/>
  <c r="S166" i="4"/>
  <c r="N167" i="4"/>
  <c r="O167" i="4"/>
  <c r="P167" i="4" s="1"/>
  <c r="S167" i="4"/>
  <c r="N168" i="4"/>
  <c r="O168" i="4"/>
  <c r="P168" i="4" s="1"/>
  <c r="S168" i="4"/>
  <c r="N169" i="4"/>
  <c r="O169" i="4"/>
  <c r="P169" i="4" s="1"/>
  <c r="S169" i="4"/>
  <c r="N170" i="4"/>
  <c r="O170" i="4"/>
  <c r="P170" i="4" s="1"/>
  <c r="S170" i="4"/>
  <c r="N171" i="4"/>
  <c r="O171" i="4"/>
  <c r="P171" i="4"/>
  <c r="S171" i="4"/>
  <c r="N172" i="4"/>
  <c r="O172" i="4"/>
  <c r="P172" i="4" s="1"/>
  <c r="S172" i="4"/>
  <c r="N173" i="4"/>
  <c r="O173" i="4"/>
  <c r="P173" i="4" s="1"/>
  <c r="S173" i="4"/>
  <c r="N174" i="4"/>
  <c r="O174" i="4"/>
  <c r="P174" i="4" s="1"/>
  <c r="S174" i="4"/>
  <c r="N175" i="4"/>
  <c r="O175" i="4"/>
  <c r="P175" i="4" s="1"/>
  <c r="S175" i="4"/>
  <c r="N176" i="4"/>
  <c r="O176" i="4"/>
  <c r="P176" i="4" s="1"/>
  <c r="S176" i="4"/>
  <c r="N177" i="4"/>
  <c r="O177" i="4"/>
  <c r="P177" i="4" s="1"/>
  <c r="S177" i="4"/>
  <c r="N178" i="4"/>
  <c r="O178" i="4"/>
  <c r="P178" i="4" s="1"/>
  <c r="S178" i="4"/>
  <c r="N179" i="4"/>
  <c r="O179" i="4"/>
  <c r="P179" i="4" s="1"/>
  <c r="S179" i="4"/>
  <c r="N180" i="4"/>
  <c r="O180" i="4"/>
  <c r="P180" i="4" s="1"/>
  <c r="S180" i="4"/>
  <c r="N181" i="4"/>
  <c r="O181" i="4"/>
  <c r="P181" i="4" s="1"/>
  <c r="S181" i="4"/>
  <c r="N182" i="4"/>
  <c r="O182" i="4"/>
  <c r="P182" i="4" s="1"/>
  <c r="S182" i="4"/>
  <c r="N183" i="4"/>
  <c r="O183" i="4"/>
  <c r="P183" i="4" s="1"/>
  <c r="S183" i="4"/>
  <c r="N184" i="4"/>
  <c r="O184" i="4"/>
  <c r="P184" i="4" s="1"/>
  <c r="S184" i="4"/>
  <c r="N185" i="4"/>
  <c r="O185" i="4"/>
  <c r="P185" i="4" s="1"/>
  <c r="S185" i="4"/>
  <c r="N186" i="4"/>
  <c r="O186" i="4"/>
  <c r="P186" i="4" s="1"/>
  <c r="Q186" i="4" s="1"/>
  <c r="S186" i="4"/>
  <c r="N187" i="4"/>
  <c r="O187" i="4"/>
  <c r="P187" i="4" s="1"/>
  <c r="S187" i="4"/>
  <c r="N188" i="4"/>
  <c r="O188" i="4"/>
  <c r="P188" i="4" s="1"/>
  <c r="S188" i="4"/>
  <c r="N189" i="4"/>
  <c r="O189" i="4"/>
  <c r="P189" i="4" s="1"/>
  <c r="S189" i="4"/>
  <c r="N190" i="4"/>
  <c r="O190" i="4"/>
  <c r="P190" i="4" s="1"/>
  <c r="S190" i="4"/>
  <c r="N191" i="4"/>
  <c r="O191" i="4"/>
  <c r="P191" i="4" s="1"/>
  <c r="S191" i="4"/>
  <c r="N192" i="4"/>
  <c r="O192" i="4"/>
  <c r="P192" i="4" s="1"/>
  <c r="Q192" i="4"/>
  <c r="S192" i="4"/>
  <c r="N193" i="4"/>
  <c r="O193" i="4"/>
  <c r="P193" i="4" s="1"/>
  <c r="S193" i="4"/>
  <c r="N194" i="4"/>
  <c r="O194" i="4"/>
  <c r="P194" i="4" s="1"/>
  <c r="Q194" i="4" s="1"/>
  <c r="S194" i="4"/>
  <c r="N195" i="4"/>
  <c r="O195" i="4"/>
  <c r="P195" i="4" s="1"/>
  <c r="S195" i="4"/>
  <c r="N196" i="4"/>
  <c r="O196" i="4"/>
  <c r="P196" i="4" s="1"/>
  <c r="S196" i="4"/>
  <c r="N197" i="4"/>
  <c r="O197" i="4"/>
  <c r="P197" i="4" s="1"/>
  <c r="S197" i="4"/>
  <c r="N198" i="4"/>
  <c r="O198" i="4"/>
  <c r="P198" i="4" s="1"/>
  <c r="S198" i="4"/>
  <c r="N199" i="4"/>
  <c r="O199" i="4"/>
  <c r="P199" i="4" s="1"/>
  <c r="S199" i="4"/>
  <c r="N200" i="4"/>
  <c r="O200" i="4"/>
  <c r="P200" i="4" s="1"/>
  <c r="Q200" i="4" s="1"/>
  <c r="S200" i="4"/>
  <c r="N201" i="4"/>
  <c r="O201" i="4"/>
  <c r="P201" i="4" s="1"/>
  <c r="S201" i="4"/>
  <c r="N202" i="4"/>
  <c r="O202" i="4"/>
  <c r="P202" i="4" s="1"/>
  <c r="Q202" i="4" s="1"/>
  <c r="S202" i="4"/>
  <c r="N203" i="4"/>
  <c r="O203" i="4"/>
  <c r="P203" i="4" s="1"/>
  <c r="S203" i="4"/>
  <c r="N204" i="4"/>
  <c r="O204" i="4"/>
  <c r="P204" i="4" s="1"/>
  <c r="S204" i="4"/>
  <c r="N205" i="4"/>
  <c r="O205" i="4"/>
  <c r="P205" i="4" s="1"/>
  <c r="S205" i="4"/>
  <c r="N206" i="4"/>
  <c r="O206" i="4"/>
  <c r="P206" i="4" s="1"/>
  <c r="S206" i="4"/>
  <c r="N207" i="4"/>
  <c r="O207" i="4"/>
  <c r="P207" i="4" s="1"/>
  <c r="S207" i="4"/>
  <c r="N208" i="4"/>
  <c r="O208" i="4"/>
  <c r="P208" i="4" s="1"/>
  <c r="S208" i="4"/>
  <c r="N209" i="4"/>
  <c r="O209" i="4"/>
  <c r="P209" i="4" s="1"/>
  <c r="S209" i="4"/>
  <c r="N210" i="4"/>
  <c r="O210" i="4"/>
  <c r="P210" i="4" s="1"/>
  <c r="S210" i="4"/>
  <c r="N211" i="4"/>
  <c r="O211" i="4"/>
  <c r="P211" i="4" s="1"/>
  <c r="S211" i="4"/>
  <c r="N212" i="4"/>
  <c r="O212" i="4"/>
  <c r="P212" i="4" s="1"/>
  <c r="S212" i="4"/>
  <c r="N213" i="4"/>
  <c r="O213" i="4"/>
  <c r="P213" i="4" s="1"/>
  <c r="S213" i="4"/>
  <c r="N214" i="4"/>
  <c r="O214" i="4"/>
  <c r="P214" i="4" s="1"/>
  <c r="S214" i="4"/>
  <c r="N215" i="4"/>
  <c r="O215" i="4"/>
  <c r="P215" i="4" s="1"/>
  <c r="S215" i="4"/>
  <c r="N216" i="4"/>
  <c r="O216" i="4"/>
  <c r="P216" i="4" s="1"/>
  <c r="S216" i="4"/>
  <c r="N217" i="4"/>
  <c r="O217" i="4"/>
  <c r="P217" i="4" s="1"/>
  <c r="S217" i="4"/>
  <c r="N218" i="4"/>
  <c r="O218" i="4"/>
  <c r="P218" i="4" s="1"/>
  <c r="S218" i="4"/>
  <c r="N219" i="4"/>
  <c r="O219" i="4"/>
  <c r="P219" i="4" s="1"/>
  <c r="S219" i="4"/>
  <c r="N220" i="4"/>
  <c r="O220" i="4"/>
  <c r="P220" i="4" s="1"/>
  <c r="S220" i="4"/>
  <c r="N221" i="4"/>
  <c r="O221" i="4"/>
  <c r="P221" i="4" s="1"/>
  <c r="S221" i="4"/>
  <c r="N222" i="4"/>
  <c r="O222" i="4"/>
  <c r="P222" i="4" s="1"/>
  <c r="S222" i="4"/>
  <c r="N223" i="4"/>
  <c r="O223" i="4"/>
  <c r="P223" i="4" s="1"/>
  <c r="S223" i="4"/>
  <c r="N224" i="4"/>
  <c r="O224" i="4"/>
  <c r="P224" i="4" s="1"/>
  <c r="S224" i="4"/>
  <c r="N225" i="4"/>
  <c r="O225" i="4"/>
  <c r="P225" i="4" s="1"/>
  <c r="S225" i="4"/>
  <c r="N226" i="4"/>
  <c r="O226" i="4"/>
  <c r="P226" i="4" s="1"/>
  <c r="S226" i="4"/>
  <c r="N227" i="4"/>
  <c r="O227" i="4"/>
  <c r="P227" i="4" s="1"/>
  <c r="S227" i="4"/>
  <c r="N228" i="4"/>
  <c r="O228" i="4"/>
  <c r="P228" i="4" s="1"/>
  <c r="S228" i="4"/>
  <c r="N229" i="4"/>
  <c r="O229" i="4"/>
  <c r="P229" i="4" s="1"/>
  <c r="S229" i="4"/>
  <c r="N230" i="4"/>
  <c r="O230" i="4"/>
  <c r="P230" i="4" s="1"/>
  <c r="S230" i="4"/>
  <c r="N231" i="4"/>
  <c r="O231" i="4"/>
  <c r="P231" i="4" s="1"/>
  <c r="S231" i="4"/>
  <c r="N232" i="4"/>
  <c r="O232" i="4"/>
  <c r="P232" i="4" s="1"/>
  <c r="S232" i="4"/>
  <c r="N233" i="4"/>
  <c r="O233" i="4"/>
  <c r="P233" i="4" s="1"/>
  <c r="S233" i="4"/>
  <c r="N234" i="4"/>
  <c r="O234" i="4"/>
  <c r="P234" i="4" s="1"/>
  <c r="S234" i="4"/>
  <c r="N235" i="4"/>
  <c r="O235" i="4"/>
  <c r="P235" i="4" s="1"/>
  <c r="S235" i="4"/>
  <c r="N236" i="4"/>
  <c r="O236" i="4"/>
  <c r="P236" i="4" s="1"/>
  <c r="S236" i="4"/>
  <c r="N237" i="4"/>
  <c r="O237" i="4"/>
  <c r="P237" i="4" s="1"/>
  <c r="S237" i="4"/>
  <c r="N238" i="4"/>
  <c r="O238" i="4"/>
  <c r="P238" i="4" s="1"/>
  <c r="S238" i="4"/>
  <c r="N239" i="4"/>
  <c r="O239" i="4"/>
  <c r="P239" i="4" s="1"/>
  <c r="S239" i="4"/>
  <c r="N240" i="4"/>
  <c r="O240" i="4"/>
  <c r="P240" i="4" s="1"/>
  <c r="S240" i="4"/>
  <c r="N241" i="4"/>
  <c r="O241" i="4"/>
  <c r="P241" i="4" s="1"/>
  <c r="S241" i="4"/>
  <c r="N242" i="4"/>
  <c r="O242" i="4"/>
  <c r="P242" i="4" s="1"/>
  <c r="S242" i="4"/>
  <c r="N243" i="4"/>
  <c r="O243" i="4"/>
  <c r="P243" i="4"/>
  <c r="S243" i="4"/>
  <c r="N244" i="4"/>
  <c r="O244" i="4"/>
  <c r="P244" i="4" s="1"/>
  <c r="S244" i="4"/>
  <c r="N245" i="4"/>
  <c r="O245" i="4"/>
  <c r="P245" i="4" s="1"/>
  <c r="S245" i="4"/>
  <c r="N246" i="4"/>
  <c r="O246" i="4"/>
  <c r="P246" i="4" s="1"/>
  <c r="S246" i="4"/>
  <c r="N247" i="4"/>
  <c r="O247" i="4"/>
  <c r="P247" i="4" s="1"/>
  <c r="S247" i="4"/>
  <c r="N248" i="4"/>
  <c r="O248" i="4"/>
  <c r="P248" i="4" s="1"/>
  <c r="S248" i="4"/>
  <c r="N249" i="4"/>
  <c r="O249" i="4"/>
  <c r="P249" i="4" s="1"/>
  <c r="S249" i="4"/>
  <c r="N250" i="4"/>
  <c r="O250" i="4"/>
  <c r="P250" i="4" s="1"/>
  <c r="S250" i="4"/>
  <c r="N251" i="4"/>
  <c r="O251" i="4"/>
  <c r="P251" i="4" s="1"/>
  <c r="S251" i="4"/>
  <c r="N252" i="4"/>
  <c r="O252" i="4"/>
  <c r="P252" i="4" s="1"/>
  <c r="S252" i="4"/>
  <c r="N253" i="4"/>
  <c r="O253" i="4"/>
  <c r="P253" i="4" s="1"/>
  <c r="S253" i="4"/>
  <c r="N254" i="4"/>
  <c r="O254" i="4"/>
  <c r="P254" i="4" s="1"/>
  <c r="S254" i="4"/>
  <c r="N255" i="4"/>
  <c r="O255" i="4"/>
  <c r="P255" i="4" s="1"/>
  <c r="S255" i="4"/>
  <c r="N256" i="4"/>
  <c r="O256" i="4"/>
  <c r="P256" i="4" s="1"/>
  <c r="S256" i="4"/>
  <c r="N257" i="4"/>
  <c r="O257" i="4"/>
  <c r="P257" i="4" s="1"/>
  <c r="S257" i="4"/>
  <c r="N258" i="4"/>
  <c r="O258" i="4"/>
  <c r="P258" i="4" s="1"/>
  <c r="S258" i="4"/>
  <c r="N259" i="4"/>
  <c r="O259" i="4"/>
  <c r="P259" i="4" s="1"/>
  <c r="S259" i="4"/>
  <c r="N260" i="4"/>
  <c r="O260" i="4"/>
  <c r="P260" i="4" s="1"/>
  <c r="S260" i="4"/>
  <c r="N261" i="4"/>
  <c r="O261" i="4"/>
  <c r="P261" i="4" s="1"/>
  <c r="S261" i="4"/>
  <c r="N262" i="4"/>
  <c r="O262" i="4"/>
  <c r="P262" i="4" s="1"/>
  <c r="S262" i="4"/>
  <c r="N263" i="4"/>
  <c r="O263" i="4"/>
  <c r="P263" i="4"/>
  <c r="S263" i="4"/>
  <c r="N264" i="4"/>
  <c r="O264" i="4"/>
  <c r="P264" i="4" s="1"/>
  <c r="S264" i="4"/>
  <c r="N265" i="4"/>
  <c r="O265" i="4"/>
  <c r="P265" i="4" s="1"/>
  <c r="S265" i="4"/>
  <c r="N266" i="4"/>
  <c r="O266" i="4"/>
  <c r="P266" i="4" s="1"/>
  <c r="S266" i="4"/>
  <c r="N267" i="4"/>
  <c r="O267" i="4"/>
  <c r="P267" i="4" s="1"/>
  <c r="S267" i="4"/>
  <c r="N268" i="4"/>
  <c r="O268" i="4"/>
  <c r="P268" i="4" s="1"/>
  <c r="S268" i="4"/>
  <c r="N269" i="4"/>
  <c r="O269" i="4"/>
  <c r="P269" i="4" s="1"/>
  <c r="S269" i="4"/>
  <c r="N270" i="4"/>
  <c r="O270" i="4"/>
  <c r="P270" i="4" s="1"/>
  <c r="S270" i="4"/>
  <c r="N271" i="4"/>
  <c r="O271" i="4"/>
  <c r="P271" i="4" s="1"/>
  <c r="S271" i="4"/>
  <c r="N272" i="4"/>
  <c r="O272" i="4"/>
  <c r="P272" i="4" s="1"/>
  <c r="S272" i="4"/>
  <c r="N273" i="4"/>
  <c r="O273" i="4"/>
  <c r="P273" i="4" s="1"/>
  <c r="S273" i="4"/>
  <c r="N274" i="4"/>
  <c r="O274" i="4"/>
  <c r="P274" i="4" s="1"/>
  <c r="S274" i="4"/>
  <c r="N275" i="4"/>
  <c r="O275" i="4"/>
  <c r="P275" i="4" s="1"/>
  <c r="S275" i="4"/>
  <c r="N276" i="4"/>
  <c r="O276" i="4"/>
  <c r="P276" i="4" s="1"/>
  <c r="S276" i="4"/>
  <c r="N277" i="4"/>
  <c r="O277" i="4"/>
  <c r="P277" i="4" s="1"/>
  <c r="S277" i="4"/>
  <c r="N278" i="4"/>
  <c r="O278" i="4"/>
  <c r="P278" i="4" s="1"/>
  <c r="S278" i="4"/>
  <c r="N279" i="4"/>
  <c r="O279" i="4"/>
  <c r="P279" i="4" s="1"/>
  <c r="S279" i="4"/>
  <c r="N280" i="4"/>
  <c r="O280" i="4"/>
  <c r="P280" i="4" s="1"/>
  <c r="S280" i="4"/>
  <c r="N281" i="4"/>
  <c r="O281" i="4"/>
  <c r="P281" i="4" s="1"/>
  <c r="S281" i="4"/>
  <c r="N282" i="4"/>
  <c r="O282" i="4"/>
  <c r="P282" i="4" s="1"/>
  <c r="S282" i="4"/>
  <c r="N283" i="4"/>
  <c r="O283" i="4"/>
  <c r="P283" i="4" s="1"/>
  <c r="S283" i="4"/>
  <c r="N284" i="4"/>
  <c r="O284" i="4"/>
  <c r="P284" i="4" s="1"/>
  <c r="S284" i="4"/>
  <c r="N285" i="4"/>
  <c r="O285" i="4"/>
  <c r="P285" i="4" s="1"/>
  <c r="S285" i="4"/>
  <c r="N286" i="4"/>
  <c r="O286" i="4"/>
  <c r="P286" i="4" s="1"/>
  <c r="S286" i="4"/>
  <c r="N287" i="4"/>
  <c r="O287" i="4"/>
  <c r="P287" i="4" s="1"/>
  <c r="S287" i="4"/>
  <c r="N288" i="4"/>
  <c r="O288" i="4"/>
  <c r="P288" i="4" s="1"/>
  <c r="S288" i="4"/>
  <c r="N289" i="4"/>
  <c r="O289" i="4"/>
  <c r="P289" i="4" s="1"/>
  <c r="S289" i="4"/>
  <c r="N290" i="4"/>
  <c r="O290" i="4"/>
  <c r="P290" i="4" s="1"/>
  <c r="S290" i="4"/>
  <c r="N291" i="4"/>
  <c r="O291" i="4"/>
  <c r="P291" i="4" s="1"/>
  <c r="S291" i="4"/>
  <c r="N292" i="4"/>
  <c r="O292" i="4"/>
  <c r="P292" i="4" s="1"/>
  <c r="S292" i="4"/>
  <c r="N293" i="4"/>
  <c r="O293" i="4"/>
  <c r="P293" i="4"/>
  <c r="S293" i="4"/>
  <c r="N294" i="4"/>
  <c r="O294" i="4"/>
  <c r="P294" i="4" s="1"/>
  <c r="Q294" i="4" s="1"/>
  <c r="S294" i="4"/>
  <c r="N295" i="4"/>
  <c r="O295" i="4"/>
  <c r="P295" i="4" s="1"/>
  <c r="S295" i="4"/>
  <c r="N296" i="4"/>
  <c r="O296" i="4"/>
  <c r="P296" i="4" s="1"/>
  <c r="S296" i="4"/>
  <c r="N297" i="4"/>
  <c r="O297" i="4"/>
  <c r="P297" i="4" s="1"/>
  <c r="S297" i="4"/>
  <c r="N298" i="4"/>
  <c r="O298" i="4"/>
  <c r="P298" i="4" s="1"/>
  <c r="S298" i="4"/>
  <c r="N299" i="4"/>
  <c r="O299" i="4"/>
  <c r="P299" i="4" s="1"/>
  <c r="Q299" i="4" s="1"/>
  <c r="S299" i="4"/>
  <c r="N300" i="4"/>
  <c r="O300" i="4"/>
  <c r="P300" i="4" s="1"/>
  <c r="S300" i="4"/>
  <c r="N301" i="4"/>
  <c r="O301" i="4"/>
  <c r="P301" i="4" s="1"/>
  <c r="S301" i="4"/>
  <c r="N302" i="4"/>
  <c r="O302" i="4"/>
  <c r="P302" i="4" s="1"/>
  <c r="S302" i="4"/>
  <c r="N303" i="4"/>
  <c r="O303" i="4"/>
  <c r="P303" i="4"/>
  <c r="S303" i="4"/>
  <c r="N304" i="4"/>
  <c r="O304" i="4"/>
  <c r="P304" i="4" s="1"/>
  <c r="S304" i="4"/>
  <c r="N305" i="4"/>
  <c r="O305" i="4"/>
  <c r="P305" i="4" s="1"/>
  <c r="S305" i="4"/>
  <c r="N306" i="4"/>
  <c r="O306" i="4"/>
  <c r="P306" i="4" s="1"/>
  <c r="Q306" i="4" s="1"/>
  <c r="S306" i="4"/>
  <c r="N307" i="4"/>
  <c r="O307" i="4"/>
  <c r="P307" i="4" s="1"/>
  <c r="S307" i="4"/>
  <c r="N308" i="4"/>
  <c r="O308" i="4"/>
  <c r="P308" i="4" s="1"/>
  <c r="Q308" i="4" s="1"/>
  <c r="S308" i="4"/>
  <c r="N309" i="4"/>
  <c r="O309" i="4"/>
  <c r="P309" i="4" s="1"/>
  <c r="S309" i="4"/>
  <c r="N310" i="4"/>
  <c r="O310" i="4"/>
  <c r="P310" i="4" s="1"/>
  <c r="S310" i="4"/>
  <c r="N311" i="4"/>
  <c r="O311" i="4"/>
  <c r="P311" i="4" s="1"/>
  <c r="S311" i="4"/>
  <c r="N312" i="4"/>
  <c r="O312" i="4"/>
  <c r="P312" i="4" s="1"/>
  <c r="S312" i="4"/>
  <c r="N313" i="4"/>
  <c r="O313" i="4"/>
  <c r="P313" i="4" s="1"/>
  <c r="S313" i="4"/>
  <c r="N314" i="4"/>
  <c r="O314" i="4"/>
  <c r="P314" i="4" s="1"/>
  <c r="Q314" i="4" s="1"/>
  <c r="S314" i="4"/>
  <c r="N315" i="4"/>
  <c r="O315" i="4"/>
  <c r="P315" i="4"/>
  <c r="S315" i="4"/>
  <c r="N316" i="4"/>
  <c r="O316" i="4"/>
  <c r="P316" i="4" s="1"/>
  <c r="S316" i="4"/>
  <c r="N317" i="4"/>
  <c r="O317" i="4"/>
  <c r="P317" i="4" s="1"/>
  <c r="S317" i="4"/>
  <c r="N318" i="4"/>
  <c r="O318" i="4"/>
  <c r="P318" i="4" s="1"/>
  <c r="S318" i="4"/>
  <c r="N319" i="4"/>
  <c r="O319" i="4"/>
  <c r="P319" i="4" s="1"/>
  <c r="S319" i="4"/>
  <c r="N320" i="4"/>
  <c r="O320" i="4"/>
  <c r="P320" i="4" s="1"/>
  <c r="S320" i="4"/>
  <c r="N321" i="4"/>
  <c r="O321" i="4"/>
  <c r="P321" i="4" s="1"/>
  <c r="S321" i="4"/>
  <c r="N322" i="4"/>
  <c r="O322" i="4"/>
  <c r="P322" i="4" s="1"/>
  <c r="S322" i="4"/>
  <c r="N323" i="4"/>
  <c r="O323" i="4"/>
  <c r="P323" i="4" s="1"/>
  <c r="Q323" i="4" s="1"/>
  <c r="S323" i="4"/>
  <c r="N324" i="4"/>
  <c r="O324" i="4"/>
  <c r="P324" i="4" s="1"/>
  <c r="S324" i="4"/>
  <c r="N325" i="4"/>
  <c r="O325" i="4"/>
  <c r="P325" i="4" s="1"/>
  <c r="S325" i="4"/>
  <c r="N326" i="4"/>
  <c r="O326" i="4"/>
  <c r="P326" i="4" s="1"/>
  <c r="S326" i="4"/>
  <c r="N327" i="4"/>
  <c r="O327" i="4"/>
  <c r="P327" i="4" s="1"/>
  <c r="S327" i="4"/>
  <c r="N328" i="4"/>
  <c r="O328" i="4"/>
  <c r="P328" i="4" s="1"/>
  <c r="S328" i="4"/>
  <c r="N329" i="4"/>
  <c r="O329" i="4"/>
  <c r="P329" i="4" s="1"/>
  <c r="S329" i="4"/>
  <c r="N330" i="4"/>
  <c r="O330" i="4"/>
  <c r="P330" i="4" s="1"/>
  <c r="S330" i="4"/>
  <c r="N331" i="4"/>
  <c r="O331" i="4"/>
  <c r="P331" i="4" s="1"/>
  <c r="S331" i="4"/>
  <c r="N332" i="4"/>
  <c r="O332" i="4"/>
  <c r="P332" i="4" s="1"/>
  <c r="S332" i="4"/>
  <c r="N333" i="4"/>
  <c r="O333" i="4"/>
  <c r="P333" i="4" s="1"/>
  <c r="S333" i="4"/>
  <c r="N334" i="4"/>
  <c r="O334" i="4"/>
  <c r="P334" i="4" s="1"/>
  <c r="S334" i="4"/>
  <c r="N335" i="4"/>
  <c r="O335" i="4"/>
  <c r="P335" i="4" s="1"/>
  <c r="S335" i="4"/>
  <c r="N336" i="4"/>
  <c r="O336" i="4"/>
  <c r="P336" i="4" s="1"/>
  <c r="S336" i="4"/>
  <c r="N337" i="4"/>
  <c r="O337" i="4"/>
  <c r="P337" i="4" s="1"/>
  <c r="S337" i="4"/>
  <c r="N338" i="4"/>
  <c r="O338" i="4"/>
  <c r="P338" i="4"/>
  <c r="S338" i="4"/>
  <c r="N339" i="4"/>
  <c r="O339" i="4"/>
  <c r="P339" i="4" s="1"/>
  <c r="S339" i="4"/>
  <c r="N340" i="4"/>
  <c r="O340" i="4"/>
  <c r="P340" i="4" s="1"/>
  <c r="S340" i="4"/>
  <c r="N341" i="4"/>
  <c r="O341" i="4"/>
  <c r="P341" i="4" s="1"/>
  <c r="S341" i="4"/>
  <c r="N342" i="4"/>
  <c r="O342" i="4"/>
  <c r="P342" i="4" s="1"/>
  <c r="S342" i="4"/>
  <c r="N343" i="4"/>
  <c r="O343" i="4"/>
  <c r="P343" i="4" s="1"/>
  <c r="S343" i="4"/>
  <c r="N344" i="4"/>
  <c r="O344" i="4"/>
  <c r="P344" i="4" s="1"/>
  <c r="S344" i="4"/>
  <c r="N345" i="4"/>
  <c r="O345" i="4"/>
  <c r="P345" i="4" s="1"/>
  <c r="S345" i="4"/>
  <c r="N346" i="4"/>
  <c r="O346" i="4"/>
  <c r="P346" i="4" s="1"/>
  <c r="S346" i="4"/>
  <c r="N347" i="4"/>
  <c r="O347" i="4"/>
  <c r="P347" i="4" s="1"/>
  <c r="S347" i="4"/>
  <c r="N348" i="4"/>
  <c r="O348" i="4"/>
  <c r="P348" i="4" s="1"/>
  <c r="S348" i="4"/>
  <c r="N349" i="4"/>
  <c r="O349" i="4"/>
  <c r="P349" i="4" s="1"/>
  <c r="S349" i="4"/>
  <c r="N350" i="4"/>
  <c r="O350" i="4"/>
  <c r="P350" i="4" s="1"/>
  <c r="S350" i="4"/>
  <c r="N351" i="4"/>
  <c r="O351" i="4"/>
  <c r="P351" i="4" s="1"/>
  <c r="S351" i="4"/>
  <c r="N352" i="4"/>
  <c r="O352" i="4"/>
  <c r="P352" i="4" s="1"/>
  <c r="S352" i="4"/>
  <c r="N353" i="4"/>
  <c r="O353" i="4"/>
  <c r="P353" i="4" s="1"/>
  <c r="S353" i="4"/>
  <c r="N354" i="4"/>
  <c r="O354" i="4"/>
  <c r="P354" i="4" s="1"/>
  <c r="S354" i="4"/>
  <c r="N355" i="4"/>
  <c r="O355" i="4"/>
  <c r="P355" i="4" s="1"/>
  <c r="S355" i="4"/>
  <c r="N356" i="4"/>
  <c r="O356" i="4"/>
  <c r="P356" i="4" s="1"/>
  <c r="S356" i="4"/>
  <c r="N357" i="4"/>
  <c r="O357" i="4"/>
  <c r="P357" i="4" s="1"/>
  <c r="S357" i="4"/>
  <c r="N358" i="4"/>
  <c r="O358" i="4"/>
  <c r="P358" i="4"/>
  <c r="S358" i="4"/>
  <c r="N359" i="4"/>
  <c r="O359" i="4"/>
  <c r="P359" i="4" s="1"/>
  <c r="S359" i="4"/>
  <c r="N360" i="4"/>
  <c r="O360" i="4"/>
  <c r="P360" i="4" s="1"/>
  <c r="S360" i="4"/>
  <c r="N361" i="4"/>
  <c r="O361" i="4"/>
  <c r="P361" i="4" s="1"/>
  <c r="S361" i="4"/>
  <c r="N362" i="4"/>
  <c r="O362" i="4"/>
  <c r="P362" i="4" s="1"/>
  <c r="S362" i="4"/>
  <c r="N363" i="4"/>
  <c r="O363" i="4"/>
  <c r="P363" i="4"/>
  <c r="S363" i="4"/>
  <c r="N364" i="4"/>
  <c r="O364" i="4"/>
  <c r="P364" i="4" s="1"/>
  <c r="S364" i="4"/>
  <c r="N365" i="4"/>
  <c r="O365" i="4"/>
  <c r="P365" i="4" s="1"/>
  <c r="S365" i="4"/>
  <c r="N366" i="4"/>
  <c r="O366" i="4"/>
  <c r="P366" i="4" s="1"/>
  <c r="S366" i="4"/>
  <c r="N367" i="4"/>
  <c r="O367" i="4"/>
  <c r="P367" i="4" s="1"/>
  <c r="Q367" i="4" s="1"/>
  <c r="S367" i="4"/>
  <c r="N368" i="4"/>
  <c r="O368" i="4"/>
  <c r="P368" i="4" s="1"/>
  <c r="S368" i="4"/>
  <c r="N369" i="4"/>
  <c r="O369" i="4"/>
  <c r="P369" i="4" s="1"/>
  <c r="S369" i="4"/>
  <c r="N370" i="4"/>
  <c r="O370" i="4"/>
  <c r="P370" i="4" s="1"/>
  <c r="S370" i="4"/>
  <c r="N371" i="4"/>
  <c r="O371" i="4"/>
  <c r="P371" i="4" s="1"/>
  <c r="S371" i="4"/>
  <c r="N372" i="4"/>
  <c r="O372" i="4"/>
  <c r="P372" i="4" s="1"/>
  <c r="S372" i="4"/>
  <c r="N373" i="4"/>
  <c r="O373" i="4"/>
  <c r="P373" i="4" s="1"/>
  <c r="S373" i="4"/>
  <c r="N374" i="4"/>
  <c r="O374" i="4"/>
  <c r="P374" i="4" s="1"/>
  <c r="S374" i="4"/>
  <c r="N375" i="4"/>
  <c r="O375" i="4"/>
  <c r="P375" i="4" s="1"/>
  <c r="Q375" i="4" s="1"/>
  <c r="S375" i="4"/>
  <c r="N376" i="4"/>
  <c r="O376" i="4"/>
  <c r="P376" i="4" s="1"/>
  <c r="S376" i="4"/>
  <c r="N377" i="4"/>
  <c r="O377" i="4"/>
  <c r="P377" i="4" s="1"/>
  <c r="S377" i="4"/>
  <c r="N378" i="4"/>
  <c r="O378" i="4"/>
  <c r="P378" i="4" s="1"/>
  <c r="Q378" i="4" s="1"/>
  <c r="S378" i="4"/>
  <c r="N379" i="4"/>
  <c r="O379" i="4"/>
  <c r="P379" i="4" s="1"/>
  <c r="S379" i="4"/>
  <c r="N380" i="4"/>
  <c r="O380" i="4"/>
  <c r="P380" i="4" s="1"/>
  <c r="S380" i="4"/>
  <c r="N381" i="4"/>
  <c r="O381" i="4"/>
  <c r="P381" i="4" s="1"/>
  <c r="S381" i="4"/>
  <c r="N382" i="4"/>
  <c r="O382" i="4"/>
  <c r="P382" i="4" s="1"/>
  <c r="S382" i="4"/>
  <c r="N383" i="4"/>
  <c r="O383" i="4"/>
  <c r="P383" i="4" s="1"/>
  <c r="Q383" i="4" s="1"/>
  <c r="S383" i="4"/>
  <c r="N384" i="4"/>
  <c r="O384" i="4"/>
  <c r="P384" i="4" s="1"/>
  <c r="S384" i="4"/>
  <c r="N385" i="4"/>
  <c r="O385" i="4"/>
  <c r="P385" i="4" s="1"/>
  <c r="S385" i="4"/>
  <c r="N386" i="4"/>
  <c r="O386" i="4"/>
  <c r="P386" i="4" s="1"/>
  <c r="Q386" i="4"/>
  <c r="S386" i="4"/>
  <c r="N387" i="4"/>
  <c r="O387" i="4"/>
  <c r="P387" i="4" s="1"/>
  <c r="S387" i="4"/>
  <c r="N388" i="4"/>
  <c r="O388" i="4"/>
  <c r="P388" i="4" s="1"/>
  <c r="S388" i="4"/>
  <c r="N389" i="4"/>
  <c r="O389" i="4"/>
  <c r="P389" i="4" s="1"/>
  <c r="S389" i="4"/>
  <c r="N390" i="4"/>
  <c r="O390" i="4"/>
  <c r="P390" i="4" s="1"/>
  <c r="S390" i="4"/>
  <c r="N391" i="4"/>
  <c r="O391" i="4"/>
  <c r="P391" i="4" s="1"/>
  <c r="Q391" i="4"/>
  <c r="S391" i="4"/>
  <c r="N392" i="4"/>
  <c r="O392" i="4"/>
  <c r="P392" i="4" s="1"/>
  <c r="S392" i="4"/>
  <c r="N393" i="4"/>
  <c r="O393" i="4"/>
  <c r="P393" i="4" s="1"/>
  <c r="S393" i="4"/>
  <c r="N394" i="4"/>
  <c r="O394" i="4"/>
  <c r="P394" i="4" s="1"/>
  <c r="Q394" i="4" s="1"/>
  <c r="S394" i="4"/>
  <c r="N395" i="4"/>
  <c r="O395" i="4"/>
  <c r="P395" i="4" s="1"/>
  <c r="S395" i="4"/>
  <c r="N396" i="4"/>
  <c r="O396" i="4"/>
  <c r="P396" i="4" s="1"/>
  <c r="S396" i="4"/>
  <c r="N397" i="4"/>
  <c r="O397" i="4"/>
  <c r="P397" i="4" s="1"/>
  <c r="S397" i="4"/>
  <c r="N398" i="4"/>
  <c r="O398" i="4"/>
  <c r="P398" i="4" s="1"/>
  <c r="S398" i="4"/>
  <c r="N399" i="4"/>
  <c r="O399" i="4"/>
  <c r="P399" i="4" s="1"/>
  <c r="Q399" i="4" s="1"/>
  <c r="S399" i="4"/>
  <c r="N400" i="4"/>
  <c r="O400" i="4"/>
  <c r="P400" i="4" s="1"/>
  <c r="S400" i="4"/>
  <c r="N401" i="4"/>
  <c r="O401" i="4"/>
  <c r="P401" i="4" s="1"/>
  <c r="S401" i="4"/>
  <c r="N402" i="4"/>
  <c r="O402" i="4"/>
  <c r="P402" i="4" s="1"/>
  <c r="Q402" i="4" s="1"/>
  <c r="S402" i="4"/>
  <c r="N403" i="4"/>
  <c r="O403" i="4"/>
  <c r="P403" i="4" s="1"/>
  <c r="S403" i="4"/>
  <c r="N404" i="4"/>
  <c r="O404" i="4"/>
  <c r="P404" i="4" s="1"/>
  <c r="S404" i="4"/>
  <c r="N405" i="4"/>
  <c r="O405" i="4"/>
  <c r="P405" i="4" s="1"/>
  <c r="S405" i="4"/>
  <c r="N406" i="4"/>
  <c r="O406" i="4"/>
  <c r="P406" i="4" s="1"/>
  <c r="S406" i="4"/>
  <c r="N407" i="4"/>
  <c r="O407" i="4"/>
  <c r="P407" i="4" s="1"/>
  <c r="Q407" i="4" s="1"/>
  <c r="S407" i="4"/>
  <c r="N408" i="4"/>
  <c r="O408" i="4"/>
  <c r="P408" i="4" s="1"/>
  <c r="S408" i="4"/>
  <c r="N409" i="4"/>
  <c r="O409" i="4"/>
  <c r="P409" i="4" s="1"/>
  <c r="S409" i="4"/>
  <c r="N410" i="4"/>
  <c r="O410" i="4"/>
  <c r="P410" i="4" s="1"/>
  <c r="Q410" i="4" s="1"/>
  <c r="S410" i="4"/>
  <c r="N411" i="4"/>
  <c r="O411" i="4"/>
  <c r="P411" i="4" s="1"/>
  <c r="S411" i="4"/>
  <c r="N412" i="4"/>
  <c r="O412" i="4"/>
  <c r="P412" i="4" s="1"/>
  <c r="S412" i="4"/>
  <c r="N413" i="4"/>
  <c r="O413" i="4"/>
  <c r="P413" i="4" s="1"/>
  <c r="S413" i="4"/>
  <c r="N414" i="4"/>
  <c r="O414" i="4"/>
  <c r="P414" i="4" s="1"/>
  <c r="S414" i="4"/>
  <c r="N415" i="4"/>
  <c r="O415" i="4"/>
  <c r="P415" i="4" s="1"/>
  <c r="Q415" i="4" s="1"/>
  <c r="S415" i="4"/>
  <c r="N416" i="4"/>
  <c r="O416" i="4"/>
  <c r="P416" i="4" s="1"/>
  <c r="S416" i="4"/>
  <c r="N417" i="4"/>
  <c r="O417" i="4"/>
  <c r="P417" i="4" s="1"/>
  <c r="S417" i="4"/>
  <c r="N418" i="4"/>
  <c r="O418" i="4"/>
  <c r="P418" i="4" s="1"/>
  <c r="Q418" i="4" s="1"/>
  <c r="S418" i="4"/>
  <c r="N419" i="4"/>
  <c r="O419" i="4"/>
  <c r="P419" i="4" s="1"/>
  <c r="S419" i="4"/>
  <c r="N420" i="4"/>
  <c r="O420" i="4"/>
  <c r="P420" i="4" s="1"/>
  <c r="S420" i="4"/>
  <c r="N421" i="4"/>
  <c r="O421" i="4"/>
  <c r="P421" i="4" s="1"/>
  <c r="S421" i="4"/>
  <c r="N422" i="4"/>
  <c r="O422" i="4"/>
  <c r="P422" i="4" s="1"/>
  <c r="S422" i="4"/>
  <c r="N423" i="4"/>
  <c r="O423" i="4"/>
  <c r="P423" i="4" s="1"/>
  <c r="Q423" i="4" s="1"/>
  <c r="S423" i="4"/>
  <c r="N424" i="4"/>
  <c r="O424" i="4"/>
  <c r="P424" i="4" s="1"/>
  <c r="S424" i="4"/>
  <c r="N425" i="4"/>
  <c r="O425" i="4"/>
  <c r="P425" i="4" s="1"/>
  <c r="S425" i="4"/>
  <c r="N426" i="4"/>
  <c r="O426" i="4"/>
  <c r="P426" i="4" s="1"/>
  <c r="Q426" i="4" s="1"/>
  <c r="S426" i="4"/>
  <c r="N427" i="4"/>
  <c r="O427" i="4"/>
  <c r="P427" i="4" s="1"/>
  <c r="S427" i="4"/>
  <c r="N428" i="4"/>
  <c r="O428" i="4"/>
  <c r="P428" i="4" s="1"/>
  <c r="S428" i="4"/>
  <c r="N429" i="4"/>
  <c r="O429" i="4"/>
  <c r="P429" i="4" s="1"/>
  <c r="S429" i="4"/>
  <c r="N430" i="4"/>
  <c r="O430" i="4"/>
  <c r="P430" i="4" s="1"/>
  <c r="S430" i="4"/>
  <c r="N431" i="4"/>
  <c r="O431" i="4"/>
  <c r="P431" i="4" s="1"/>
  <c r="Q431" i="4" s="1"/>
  <c r="S431" i="4"/>
  <c r="N432" i="4"/>
  <c r="O432" i="4"/>
  <c r="P432" i="4" s="1"/>
  <c r="S432" i="4"/>
  <c r="N433" i="4"/>
  <c r="O433" i="4"/>
  <c r="P433" i="4" s="1"/>
  <c r="S433" i="4"/>
  <c r="N434" i="4"/>
  <c r="O434" i="4"/>
  <c r="P434" i="4" s="1"/>
  <c r="S434" i="4"/>
  <c r="N435" i="4"/>
  <c r="O435" i="4"/>
  <c r="P435" i="4" s="1"/>
  <c r="S435" i="4"/>
  <c r="N436" i="4"/>
  <c r="O436" i="4"/>
  <c r="P436" i="4" s="1"/>
  <c r="S436" i="4"/>
  <c r="N437" i="4"/>
  <c r="O437" i="4"/>
  <c r="P437" i="4" s="1"/>
  <c r="Q437" i="4" s="1"/>
  <c r="S437" i="4"/>
  <c r="N438" i="4"/>
  <c r="O438" i="4"/>
  <c r="P438" i="4" s="1"/>
  <c r="S438" i="4"/>
  <c r="N439" i="4"/>
  <c r="O439" i="4"/>
  <c r="P439" i="4" s="1"/>
  <c r="S439" i="4"/>
  <c r="N440" i="4"/>
  <c r="O440" i="4"/>
  <c r="P440" i="4" s="1"/>
  <c r="S440" i="4"/>
  <c r="N441" i="4"/>
  <c r="O441" i="4"/>
  <c r="P441" i="4" s="1"/>
  <c r="S441" i="4"/>
  <c r="N442" i="4"/>
  <c r="O442" i="4"/>
  <c r="P442" i="4" s="1"/>
  <c r="S442" i="4"/>
  <c r="N443" i="4"/>
  <c r="O443" i="4"/>
  <c r="P443" i="4" s="1"/>
  <c r="S443" i="4"/>
  <c r="N444" i="4"/>
  <c r="O444" i="4"/>
  <c r="P444" i="4" s="1"/>
  <c r="S444" i="4"/>
  <c r="N445" i="4"/>
  <c r="O445" i="4"/>
  <c r="P445" i="4" s="1"/>
  <c r="Q445" i="4" s="1"/>
  <c r="S445" i="4"/>
  <c r="N446" i="4"/>
  <c r="O446" i="4"/>
  <c r="P446" i="4" s="1"/>
  <c r="S446" i="4"/>
  <c r="N447" i="4"/>
  <c r="O447" i="4"/>
  <c r="P447" i="4" s="1"/>
  <c r="S447" i="4"/>
  <c r="N448" i="4"/>
  <c r="O448" i="4"/>
  <c r="P448" i="4" s="1"/>
  <c r="S448" i="4"/>
  <c r="N449" i="4"/>
  <c r="O449" i="4"/>
  <c r="P449" i="4" s="1"/>
  <c r="S449" i="4"/>
  <c r="N450" i="4"/>
  <c r="O450" i="4"/>
  <c r="P450" i="4" s="1"/>
  <c r="S450" i="4"/>
  <c r="N451" i="4"/>
  <c r="O451" i="4"/>
  <c r="P451" i="4" s="1"/>
  <c r="S451" i="4"/>
  <c r="N452" i="4"/>
  <c r="O452" i="4"/>
  <c r="P452" i="4" s="1"/>
  <c r="S452" i="4"/>
  <c r="N453" i="4"/>
  <c r="O453" i="4"/>
  <c r="P453" i="4" s="1"/>
  <c r="S453" i="4"/>
  <c r="N454" i="4"/>
  <c r="O454" i="4"/>
  <c r="P454" i="4" s="1"/>
  <c r="S454" i="4"/>
  <c r="N455" i="4"/>
  <c r="O455" i="4"/>
  <c r="P455" i="4" s="1"/>
  <c r="S455" i="4"/>
  <c r="N456" i="4"/>
  <c r="O456" i="4"/>
  <c r="P456" i="4" s="1"/>
  <c r="S456" i="4"/>
  <c r="N457" i="4"/>
  <c r="O457" i="4"/>
  <c r="P457" i="4" s="1"/>
  <c r="S457" i="4"/>
  <c r="N458" i="4"/>
  <c r="O458" i="4"/>
  <c r="P458" i="4" s="1"/>
  <c r="S458" i="4"/>
  <c r="N459" i="4"/>
  <c r="O459" i="4"/>
  <c r="P459" i="4" s="1"/>
  <c r="S459" i="4"/>
  <c r="N460" i="4"/>
  <c r="O460" i="4"/>
  <c r="P460" i="4" s="1"/>
  <c r="S460" i="4"/>
  <c r="N461" i="4"/>
  <c r="O461" i="4"/>
  <c r="P461" i="4" s="1"/>
  <c r="S461" i="4"/>
  <c r="N462" i="4"/>
  <c r="O462" i="4"/>
  <c r="P462" i="4" s="1"/>
  <c r="S462" i="4"/>
  <c r="N463" i="4"/>
  <c r="O463" i="4"/>
  <c r="P463" i="4" s="1"/>
  <c r="S463" i="4"/>
  <c r="N464" i="4"/>
  <c r="O464" i="4"/>
  <c r="P464" i="4" s="1"/>
  <c r="S464" i="4"/>
  <c r="N465" i="4"/>
  <c r="O465" i="4"/>
  <c r="P465" i="4" s="1"/>
  <c r="S465" i="4"/>
  <c r="N466" i="4"/>
  <c r="O466" i="4"/>
  <c r="P466" i="4" s="1"/>
  <c r="S466" i="4"/>
  <c r="N467" i="4"/>
  <c r="O467" i="4"/>
  <c r="P467" i="4" s="1"/>
  <c r="Q467" i="4" s="1"/>
  <c r="S467" i="4"/>
  <c r="N468" i="4"/>
  <c r="O468" i="4"/>
  <c r="P468" i="4" s="1"/>
  <c r="S468" i="4"/>
  <c r="N469" i="4"/>
  <c r="O469" i="4"/>
  <c r="P469" i="4" s="1"/>
  <c r="S469" i="4"/>
  <c r="N470" i="4"/>
  <c r="O470" i="4"/>
  <c r="P470" i="4" s="1"/>
  <c r="S470" i="4"/>
  <c r="N471" i="4"/>
  <c r="O471" i="4"/>
  <c r="P471" i="4" s="1"/>
  <c r="S471" i="4"/>
  <c r="N472" i="4"/>
  <c r="O472" i="4"/>
  <c r="P472" i="4" s="1"/>
  <c r="S472" i="4"/>
  <c r="N473" i="4"/>
  <c r="O473" i="4"/>
  <c r="P473" i="4" s="1"/>
  <c r="S473" i="4"/>
  <c r="N474" i="4"/>
  <c r="O474" i="4"/>
  <c r="P474" i="4" s="1"/>
  <c r="S474" i="4"/>
  <c r="N475" i="4"/>
  <c r="O475" i="4"/>
  <c r="P475" i="4" s="1"/>
  <c r="Q475" i="4" s="1"/>
  <c r="S475" i="4"/>
  <c r="N476" i="4"/>
  <c r="O476" i="4"/>
  <c r="P476" i="4" s="1"/>
  <c r="S476" i="4"/>
  <c r="N477" i="4"/>
  <c r="O477" i="4"/>
  <c r="P477" i="4" s="1"/>
  <c r="S477" i="4"/>
  <c r="N478" i="4"/>
  <c r="O478" i="4"/>
  <c r="P478" i="4" s="1"/>
  <c r="S478" i="4"/>
  <c r="N479" i="4"/>
  <c r="O479" i="4"/>
  <c r="P479" i="4" s="1"/>
  <c r="S479" i="4"/>
  <c r="N480" i="4"/>
  <c r="O480" i="4"/>
  <c r="P480" i="4" s="1"/>
  <c r="S480" i="4"/>
  <c r="N481" i="4"/>
  <c r="O481" i="4"/>
  <c r="P481" i="4" s="1"/>
  <c r="S481" i="4"/>
  <c r="N482" i="4"/>
  <c r="O482" i="4"/>
  <c r="P482" i="4" s="1"/>
  <c r="S482" i="4"/>
  <c r="N483" i="4"/>
  <c r="O483" i="4"/>
  <c r="P483" i="4" s="1"/>
  <c r="Q483" i="4"/>
  <c r="S483" i="4"/>
  <c r="N484" i="4"/>
  <c r="O484" i="4"/>
  <c r="P484" i="4" s="1"/>
  <c r="S484" i="4"/>
  <c r="N485" i="4"/>
  <c r="O485" i="4"/>
  <c r="P485" i="4" s="1"/>
  <c r="S485" i="4"/>
  <c r="N486" i="4"/>
  <c r="O486" i="4"/>
  <c r="P486" i="4" s="1"/>
  <c r="S486" i="4"/>
  <c r="N487" i="4"/>
  <c r="O487" i="4"/>
  <c r="P487" i="4" s="1"/>
  <c r="S487" i="4"/>
  <c r="N488" i="4"/>
  <c r="O488" i="4"/>
  <c r="P488" i="4" s="1"/>
  <c r="S488" i="4"/>
  <c r="N489" i="4"/>
  <c r="O489" i="4"/>
  <c r="P489" i="4" s="1"/>
  <c r="S489" i="4"/>
  <c r="N490" i="4"/>
  <c r="O490" i="4"/>
  <c r="P490" i="4" s="1"/>
  <c r="S490" i="4"/>
  <c r="N491" i="4"/>
  <c r="O491" i="4"/>
  <c r="P491" i="4" s="1"/>
  <c r="Q491" i="4" s="1"/>
  <c r="S491" i="4"/>
  <c r="N492" i="4"/>
  <c r="O492" i="4"/>
  <c r="P492" i="4" s="1"/>
  <c r="S492" i="4"/>
  <c r="N493" i="4"/>
  <c r="O493" i="4"/>
  <c r="P493" i="4" s="1"/>
  <c r="S493" i="4"/>
  <c r="N494" i="4"/>
  <c r="O494" i="4"/>
  <c r="P494" i="4" s="1"/>
  <c r="S494" i="4"/>
  <c r="N495" i="4"/>
  <c r="O495" i="4"/>
  <c r="P495" i="4" s="1"/>
  <c r="S495" i="4"/>
  <c r="N496" i="4"/>
  <c r="O496" i="4"/>
  <c r="P496" i="4" s="1"/>
  <c r="S496" i="4"/>
  <c r="N497" i="4"/>
  <c r="O497" i="4"/>
  <c r="P497" i="4" s="1"/>
  <c r="S497" i="4"/>
  <c r="N498" i="4"/>
  <c r="O498" i="4"/>
  <c r="P498" i="4" s="1"/>
  <c r="S498" i="4"/>
  <c r="N499" i="4"/>
  <c r="O499" i="4"/>
  <c r="P499" i="4" s="1"/>
  <c r="Q499" i="4" s="1"/>
  <c r="S499" i="4"/>
  <c r="N500" i="4"/>
  <c r="O500" i="4"/>
  <c r="P500" i="4" s="1"/>
  <c r="S500" i="4"/>
  <c r="N501" i="4"/>
  <c r="O501" i="4"/>
  <c r="P501" i="4" s="1"/>
  <c r="S501" i="4"/>
  <c r="N502" i="4"/>
  <c r="O502" i="4"/>
  <c r="P502" i="4" s="1"/>
  <c r="S502" i="4"/>
  <c r="N503" i="4"/>
  <c r="O503" i="4"/>
  <c r="P503" i="4" s="1"/>
  <c r="S503" i="4"/>
  <c r="N504" i="4"/>
  <c r="O504" i="4"/>
  <c r="P504" i="4" s="1"/>
  <c r="S504" i="4"/>
  <c r="N505" i="4"/>
  <c r="O505" i="4"/>
  <c r="P505" i="4" s="1"/>
  <c r="S505" i="4"/>
  <c r="N506" i="4"/>
  <c r="O506" i="4"/>
  <c r="P506" i="4" s="1"/>
  <c r="S506" i="4"/>
  <c r="N507" i="4"/>
  <c r="O507" i="4"/>
  <c r="P507" i="4" s="1"/>
  <c r="Q507" i="4" s="1"/>
  <c r="S507" i="4"/>
  <c r="N508" i="4"/>
  <c r="O508" i="4"/>
  <c r="P508" i="4" s="1"/>
  <c r="S508" i="4"/>
  <c r="N509" i="4"/>
  <c r="O509" i="4"/>
  <c r="P509" i="4" s="1"/>
  <c r="S509" i="4"/>
  <c r="N510" i="4"/>
  <c r="O510" i="4"/>
  <c r="P510" i="4" s="1"/>
  <c r="S510" i="4"/>
  <c r="N511" i="4"/>
  <c r="O511" i="4"/>
  <c r="P511" i="4" s="1"/>
  <c r="S511" i="4"/>
  <c r="N512" i="4"/>
  <c r="O512" i="4"/>
  <c r="P512" i="4" s="1"/>
  <c r="S512" i="4"/>
  <c r="N513" i="4"/>
  <c r="O513" i="4"/>
  <c r="P513" i="4" s="1"/>
  <c r="S513" i="4"/>
  <c r="N514" i="4"/>
  <c r="O514" i="4"/>
  <c r="P514" i="4" s="1"/>
  <c r="S514" i="4"/>
  <c r="N515" i="4"/>
  <c r="O515" i="4"/>
  <c r="P515" i="4" s="1"/>
  <c r="S515" i="4"/>
  <c r="N516" i="4"/>
  <c r="O516" i="4"/>
  <c r="P516" i="4" s="1"/>
  <c r="S516" i="4"/>
  <c r="N517" i="4"/>
  <c r="O517" i="4"/>
  <c r="P517" i="4" s="1"/>
  <c r="S517" i="4"/>
  <c r="N518" i="4"/>
  <c r="O518" i="4"/>
  <c r="P518" i="4" s="1"/>
  <c r="S518" i="4"/>
  <c r="N519" i="4"/>
  <c r="O519" i="4"/>
  <c r="P519" i="4" s="1"/>
  <c r="S519" i="4"/>
  <c r="N520" i="4"/>
  <c r="O520" i="4"/>
  <c r="P520" i="4" s="1"/>
  <c r="S520" i="4"/>
  <c r="N521" i="4"/>
  <c r="O521" i="4"/>
  <c r="P521" i="4" s="1"/>
  <c r="S521" i="4"/>
  <c r="N522" i="4"/>
  <c r="O522" i="4"/>
  <c r="P522" i="4" s="1"/>
  <c r="S522" i="4"/>
  <c r="N523" i="4"/>
  <c r="O523" i="4"/>
  <c r="P523" i="4" s="1"/>
  <c r="S523" i="4"/>
  <c r="N524" i="4"/>
  <c r="O524" i="4"/>
  <c r="P524" i="4" s="1"/>
  <c r="S524" i="4"/>
  <c r="N525" i="4"/>
  <c r="O525" i="4"/>
  <c r="P525" i="4" s="1"/>
  <c r="S525" i="4"/>
  <c r="N526" i="4"/>
  <c r="O526" i="4"/>
  <c r="P526" i="4" s="1"/>
  <c r="S526" i="4"/>
  <c r="N527" i="4"/>
  <c r="O527" i="4"/>
  <c r="P527" i="4" s="1"/>
  <c r="S527" i="4"/>
  <c r="N528" i="4"/>
  <c r="O528" i="4"/>
  <c r="P528" i="4" s="1"/>
  <c r="S528" i="4"/>
  <c r="N529" i="4"/>
  <c r="O529" i="4"/>
  <c r="P529" i="4" s="1"/>
  <c r="S529" i="4"/>
  <c r="N530" i="4"/>
  <c r="O530" i="4"/>
  <c r="P530" i="4" s="1"/>
  <c r="S530" i="4"/>
  <c r="N531" i="4"/>
  <c r="O531" i="4"/>
  <c r="P531" i="4" s="1"/>
  <c r="S531" i="4"/>
  <c r="N532" i="4"/>
  <c r="O532" i="4"/>
  <c r="P532" i="4" s="1"/>
  <c r="S532" i="4"/>
  <c r="N533" i="4"/>
  <c r="O533" i="4"/>
  <c r="P533" i="4" s="1"/>
  <c r="S533" i="4"/>
  <c r="N534" i="4"/>
  <c r="O534" i="4"/>
  <c r="P534" i="4" s="1"/>
  <c r="S534" i="4"/>
  <c r="N535" i="4"/>
  <c r="O535" i="4"/>
  <c r="P535" i="4" s="1"/>
  <c r="S535" i="4"/>
  <c r="N536" i="4"/>
  <c r="O536" i="4"/>
  <c r="P536" i="4" s="1"/>
  <c r="S536" i="4"/>
  <c r="N537" i="4"/>
  <c r="O537" i="4"/>
  <c r="P537" i="4" s="1"/>
  <c r="S537" i="4"/>
  <c r="N538" i="4"/>
  <c r="O538" i="4"/>
  <c r="P538" i="4" s="1"/>
  <c r="S538" i="4"/>
  <c r="N539" i="4"/>
  <c r="O539" i="4"/>
  <c r="P539" i="4" s="1"/>
  <c r="S539" i="4"/>
  <c r="N540" i="4"/>
  <c r="O540" i="4"/>
  <c r="P540" i="4" s="1"/>
  <c r="S540" i="4"/>
  <c r="N541" i="4"/>
  <c r="O541" i="4"/>
  <c r="P541" i="4" s="1"/>
  <c r="S541" i="4"/>
  <c r="N542" i="4"/>
  <c r="O542" i="4"/>
  <c r="P542" i="4" s="1"/>
  <c r="S542" i="4"/>
  <c r="N543" i="4"/>
  <c r="O543" i="4"/>
  <c r="P543" i="4" s="1"/>
  <c r="S543" i="4"/>
  <c r="N544" i="4"/>
  <c r="O544" i="4"/>
  <c r="P544" i="4" s="1"/>
  <c r="S544" i="4"/>
  <c r="N545" i="4"/>
  <c r="O545" i="4"/>
  <c r="P545" i="4" s="1"/>
  <c r="S545" i="4"/>
  <c r="N546" i="4"/>
  <c r="O546" i="4"/>
  <c r="P546" i="4" s="1"/>
  <c r="S546" i="4"/>
  <c r="N547" i="4"/>
  <c r="O547" i="4"/>
  <c r="P547" i="4" s="1"/>
  <c r="S547" i="4"/>
  <c r="N548" i="4"/>
  <c r="O548" i="4"/>
  <c r="P548" i="4" s="1"/>
  <c r="S548" i="4"/>
  <c r="N549" i="4"/>
  <c r="O549" i="4"/>
  <c r="P549" i="4" s="1"/>
  <c r="S549" i="4"/>
  <c r="N550" i="4"/>
  <c r="O550" i="4"/>
  <c r="P550" i="4" s="1"/>
  <c r="S550" i="4"/>
  <c r="N551" i="4"/>
  <c r="O551" i="4"/>
  <c r="P551" i="4" s="1"/>
  <c r="S551" i="4"/>
  <c r="N552" i="4"/>
  <c r="O552" i="4"/>
  <c r="P552" i="4" s="1"/>
  <c r="S552" i="4"/>
  <c r="N553" i="4"/>
  <c r="O553" i="4"/>
  <c r="P553" i="4" s="1"/>
  <c r="S553" i="4"/>
  <c r="N554" i="4"/>
  <c r="O554" i="4"/>
  <c r="P554" i="4" s="1"/>
  <c r="S554" i="4"/>
  <c r="N555" i="4"/>
  <c r="O555" i="4"/>
  <c r="P555" i="4" s="1"/>
  <c r="S555" i="4"/>
  <c r="N556" i="4"/>
  <c r="O556" i="4"/>
  <c r="P556" i="4" s="1"/>
  <c r="S556" i="4"/>
  <c r="N557" i="4"/>
  <c r="O557" i="4"/>
  <c r="P557" i="4" s="1"/>
  <c r="S557" i="4"/>
  <c r="N558" i="4"/>
  <c r="O558" i="4"/>
  <c r="P558" i="4" s="1"/>
  <c r="S558" i="4"/>
  <c r="N559" i="4"/>
  <c r="O559" i="4"/>
  <c r="P559" i="4" s="1"/>
  <c r="S559" i="4"/>
  <c r="N560" i="4"/>
  <c r="O560" i="4"/>
  <c r="P560" i="4" s="1"/>
  <c r="S560" i="4"/>
  <c r="N561" i="4"/>
  <c r="O561" i="4"/>
  <c r="P561" i="4" s="1"/>
  <c r="S561" i="4"/>
  <c r="N562" i="4"/>
  <c r="O562" i="4"/>
  <c r="P562" i="4" s="1"/>
  <c r="S562" i="4"/>
  <c r="N563" i="4"/>
  <c r="O563" i="4"/>
  <c r="P563" i="4" s="1"/>
  <c r="S563" i="4"/>
  <c r="N564" i="4"/>
  <c r="O564" i="4"/>
  <c r="P564" i="4" s="1"/>
  <c r="S564" i="4"/>
  <c r="N565" i="4"/>
  <c r="O565" i="4"/>
  <c r="P565" i="4" s="1"/>
  <c r="S565" i="4"/>
  <c r="N566" i="4"/>
  <c r="O566" i="4"/>
  <c r="P566" i="4" s="1"/>
  <c r="S566" i="4"/>
  <c r="N567" i="4"/>
  <c r="O567" i="4"/>
  <c r="P567" i="4" s="1"/>
  <c r="S567" i="4"/>
  <c r="N568" i="4"/>
  <c r="O568" i="4"/>
  <c r="P568" i="4" s="1"/>
  <c r="Q568" i="4" s="1"/>
  <c r="S568" i="4"/>
  <c r="N569" i="4"/>
  <c r="O569" i="4"/>
  <c r="P569" i="4" s="1"/>
  <c r="S569" i="4"/>
  <c r="N570" i="4"/>
  <c r="O570" i="4"/>
  <c r="P570" i="4" s="1"/>
  <c r="Q570" i="4" s="1"/>
  <c r="S570" i="4"/>
  <c r="N571" i="4"/>
  <c r="O571" i="4"/>
  <c r="P571" i="4" s="1"/>
  <c r="Q571" i="4" s="1"/>
  <c r="S571" i="4"/>
  <c r="N572" i="4"/>
  <c r="O572" i="4"/>
  <c r="P572" i="4" s="1"/>
  <c r="Q572" i="4" s="1"/>
  <c r="S572" i="4"/>
  <c r="N573" i="4"/>
  <c r="O573" i="4"/>
  <c r="P573" i="4" s="1"/>
  <c r="Q573" i="4" s="1"/>
  <c r="S573" i="4"/>
  <c r="N574" i="4"/>
  <c r="O574" i="4"/>
  <c r="P574" i="4" s="1"/>
  <c r="Q574" i="4" s="1"/>
  <c r="S574" i="4"/>
  <c r="N575" i="4"/>
  <c r="O575" i="4"/>
  <c r="P575" i="4" s="1"/>
  <c r="S575" i="4"/>
  <c r="N576" i="4"/>
  <c r="O576" i="4"/>
  <c r="P576" i="4" s="1"/>
  <c r="S576" i="4"/>
  <c r="N577" i="4"/>
  <c r="O577" i="4"/>
  <c r="P577" i="4" s="1"/>
  <c r="S577" i="4"/>
  <c r="N578" i="4"/>
  <c r="O578" i="4"/>
  <c r="P578" i="4" s="1"/>
  <c r="Q578" i="4"/>
  <c r="S578" i="4"/>
  <c r="N579" i="4"/>
  <c r="O579" i="4"/>
  <c r="P579" i="4" s="1"/>
  <c r="Q579" i="4" s="1"/>
  <c r="S579" i="4"/>
  <c r="N580" i="4"/>
  <c r="O580" i="4"/>
  <c r="P580" i="4" s="1"/>
  <c r="Q580" i="4" s="1"/>
  <c r="S580" i="4"/>
  <c r="N581" i="4"/>
  <c r="O581" i="4"/>
  <c r="P581" i="4" s="1"/>
  <c r="S581" i="4"/>
  <c r="N582" i="4"/>
  <c r="O582" i="4"/>
  <c r="P582" i="4" s="1"/>
  <c r="S582" i="4"/>
  <c r="N583" i="4"/>
  <c r="O583" i="4"/>
  <c r="P583" i="4" s="1"/>
  <c r="Q583" i="4" s="1"/>
  <c r="S583" i="4"/>
  <c r="N584" i="4"/>
  <c r="O584" i="4"/>
  <c r="P584" i="4"/>
  <c r="S584" i="4"/>
  <c r="N585" i="4"/>
  <c r="O585" i="4"/>
  <c r="P585" i="4" s="1"/>
  <c r="S585" i="4"/>
  <c r="N586" i="4"/>
  <c r="O586" i="4"/>
  <c r="P586" i="4" s="1"/>
  <c r="S586" i="4"/>
  <c r="N587" i="4"/>
  <c r="O587" i="4"/>
  <c r="P587" i="4"/>
  <c r="Q587" i="4" s="1"/>
  <c r="S587" i="4"/>
  <c r="N588" i="4"/>
  <c r="O588" i="4"/>
  <c r="P588" i="4" s="1"/>
  <c r="S588" i="4"/>
  <c r="N589" i="4"/>
  <c r="O589" i="4"/>
  <c r="P589" i="4" s="1"/>
  <c r="S589" i="4"/>
  <c r="N590" i="4"/>
  <c r="O590" i="4"/>
  <c r="P590" i="4" s="1"/>
  <c r="Q590" i="4" s="1"/>
  <c r="S590" i="4"/>
  <c r="N591" i="4"/>
  <c r="O591" i="4"/>
  <c r="P591" i="4" s="1"/>
  <c r="Q591" i="4" s="1"/>
  <c r="S591" i="4"/>
  <c r="N592" i="4"/>
  <c r="O592" i="4"/>
  <c r="P592" i="4"/>
  <c r="S592" i="4"/>
  <c r="N593" i="4"/>
  <c r="O593" i="4"/>
  <c r="P593" i="4" s="1"/>
  <c r="S593" i="4"/>
  <c r="N594" i="4"/>
  <c r="O594" i="4"/>
  <c r="P594" i="4" s="1"/>
  <c r="S594" i="4"/>
  <c r="N595" i="4"/>
  <c r="O595" i="4"/>
  <c r="P595" i="4" s="1"/>
  <c r="Q595" i="4" s="1"/>
  <c r="S595" i="4"/>
  <c r="N596" i="4"/>
  <c r="O596" i="4"/>
  <c r="P596" i="4" s="1"/>
  <c r="S596" i="4"/>
  <c r="N597" i="4"/>
  <c r="O597" i="4"/>
  <c r="P597" i="4" s="1"/>
  <c r="S597" i="4"/>
  <c r="N598" i="4"/>
  <c r="O598" i="4"/>
  <c r="P598" i="4" s="1"/>
  <c r="S598" i="4"/>
  <c r="N599" i="4"/>
  <c r="O599" i="4"/>
  <c r="P599" i="4" s="1"/>
  <c r="Q599" i="4" s="1"/>
  <c r="S599" i="4"/>
  <c r="N600" i="4"/>
  <c r="O600" i="4"/>
  <c r="P600" i="4" s="1"/>
  <c r="S600" i="4"/>
  <c r="N601" i="4"/>
  <c r="O601" i="4"/>
  <c r="P601" i="4" s="1"/>
  <c r="S601" i="4"/>
  <c r="N602" i="4"/>
  <c r="O602" i="4"/>
  <c r="P602" i="4" s="1"/>
  <c r="Q602" i="4" s="1"/>
  <c r="S602" i="4"/>
  <c r="N603" i="4"/>
  <c r="O603" i="4"/>
  <c r="P603" i="4" s="1"/>
  <c r="S603" i="4"/>
  <c r="N604" i="4"/>
  <c r="O604" i="4"/>
  <c r="P604" i="4" s="1"/>
  <c r="S604" i="4"/>
  <c r="N605" i="4"/>
  <c r="O605" i="4"/>
  <c r="P605" i="4" s="1"/>
  <c r="S605" i="4"/>
  <c r="N606" i="4"/>
  <c r="O606" i="4"/>
  <c r="P606" i="4" s="1"/>
  <c r="S606" i="4"/>
  <c r="N607" i="4"/>
  <c r="O607" i="4"/>
  <c r="P607" i="4" s="1"/>
  <c r="S607" i="4"/>
  <c r="N608" i="4"/>
  <c r="O608" i="4"/>
  <c r="P608" i="4" s="1"/>
  <c r="S608" i="4"/>
  <c r="N609" i="4"/>
  <c r="O609" i="4"/>
  <c r="P609" i="4" s="1"/>
  <c r="S609" i="4"/>
  <c r="N610" i="4"/>
  <c r="O610" i="4"/>
  <c r="P610" i="4" s="1"/>
  <c r="Q610" i="4" s="1"/>
  <c r="S610" i="4"/>
  <c r="N611" i="4"/>
  <c r="O611" i="4"/>
  <c r="P611" i="4" s="1"/>
  <c r="S611" i="4"/>
  <c r="N612" i="4"/>
  <c r="O612" i="4"/>
  <c r="P612" i="4" s="1"/>
  <c r="S612" i="4"/>
  <c r="N613" i="4"/>
  <c r="O613" i="4"/>
  <c r="P613" i="4" s="1"/>
  <c r="S613" i="4"/>
  <c r="N614" i="4"/>
  <c r="O614" i="4"/>
  <c r="P614" i="4" s="1"/>
  <c r="S614" i="4"/>
  <c r="N615" i="4"/>
  <c r="O615" i="4"/>
  <c r="P615" i="4" s="1"/>
  <c r="S615" i="4"/>
  <c r="N616" i="4"/>
  <c r="O616" i="4"/>
  <c r="P616" i="4" s="1"/>
  <c r="S616" i="4"/>
  <c r="N617" i="4"/>
  <c r="O617" i="4"/>
  <c r="P617" i="4" s="1"/>
  <c r="S617" i="4"/>
  <c r="N618" i="4"/>
  <c r="O618" i="4"/>
  <c r="P618" i="4" s="1"/>
  <c r="Q618" i="4" s="1"/>
  <c r="S618" i="4"/>
  <c r="N619" i="4"/>
  <c r="O619" i="4"/>
  <c r="P619" i="4" s="1"/>
  <c r="S619" i="4"/>
  <c r="N620" i="4"/>
  <c r="O620" i="4"/>
  <c r="P620" i="4" s="1"/>
  <c r="S620" i="4"/>
  <c r="N621" i="4"/>
  <c r="O621" i="4"/>
  <c r="P621" i="4" s="1"/>
  <c r="S621" i="4"/>
  <c r="N622" i="4"/>
  <c r="O622" i="4"/>
  <c r="P622" i="4" s="1"/>
  <c r="S622" i="4"/>
  <c r="N623" i="4"/>
  <c r="O623" i="4"/>
  <c r="P623" i="4" s="1"/>
  <c r="S623" i="4"/>
  <c r="N624" i="4"/>
  <c r="O624" i="4"/>
  <c r="P624" i="4" s="1"/>
  <c r="S624" i="4"/>
  <c r="N625" i="4"/>
  <c r="O625" i="4"/>
  <c r="P625" i="4" s="1"/>
  <c r="S625" i="4"/>
  <c r="N626" i="4"/>
  <c r="O626" i="4"/>
  <c r="P626" i="4" s="1"/>
  <c r="Q626" i="4" s="1"/>
  <c r="S626" i="4"/>
  <c r="N627" i="4"/>
  <c r="O627" i="4"/>
  <c r="P627" i="4" s="1"/>
  <c r="S627" i="4"/>
  <c r="N628" i="4"/>
  <c r="O628" i="4"/>
  <c r="P628" i="4" s="1"/>
  <c r="S628" i="4"/>
  <c r="N629" i="4"/>
  <c r="O629" i="4"/>
  <c r="P629" i="4" s="1"/>
  <c r="S629" i="4"/>
  <c r="N630" i="4"/>
  <c r="O630" i="4"/>
  <c r="P630" i="4" s="1"/>
  <c r="S630" i="4"/>
  <c r="N631" i="4"/>
  <c r="O631" i="4"/>
  <c r="P631" i="4" s="1"/>
  <c r="S631" i="4"/>
  <c r="N632" i="4"/>
  <c r="O632" i="4"/>
  <c r="P632" i="4" s="1"/>
  <c r="S632" i="4"/>
  <c r="N633" i="4"/>
  <c r="O633" i="4"/>
  <c r="P633" i="4" s="1"/>
  <c r="S633" i="4"/>
  <c r="N634" i="4"/>
  <c r="O634" i="4"/>
  <c r="P634" i="4" s="1"/>
  <c r="Q634" i="4" s="1"/>
  <c r="S634" i="4"/>
  <c r="N635" i="4"/>
  <c r="O635" i="4"/>
  <c r="P635" i="4" s="1"/>
  <c r="S635" i="4"/>
  <c r="N636" i="4"/>
  <c r="O636" i="4"/>
  <c r="P636" i="4" s="1"/>
  <c r="S636" i="4"/>
  <c r="N637" i="4"/>
  <c r="O637" i="4"/>
  <c r="P637" i="4" s="1"/>
  <c r="S637" i="4"/>
  <c r="N638" i="4"/>
  <c r="O638" i="4"/>
  <c r="P638" i="4"/>
  <c r="S638" i="4"/>
  <c r="N639" i="4"/>
  <c r="O639" i="4"/>
  <c r="P639" i="4" s="1"/>
  <c r="S639" i="4"/>
  <c r="N640" i="4"/>
  <c r="O640" i="4"/>
  <c r="P640" i="4" s="1"/>
  <c r="S640" i="4"/>
  <c r="N641" i="4"/>
  <c r="O641" i="4"/>
  <c r="P641" i="4" s="1"/>
  <c r="S641" i="4"/>
  <c r="N642" i="4"/>
  <c r="O642" i="4"/>
  <c r="P642" i="4" s="1"/>
  <c r="S642" i="4"/>
  <c r="N643" i="4"/>
  <c r="O643" i="4"/>
  <c r="P643" i="4" s="1"/>
  <c r="S643" i="4"/>
  <c r="N644" i="4"/>
  <c r="O644" i="4"/>
  <c r="P644" i="4" s="1"/>
  <c r="S644" i="4"/>
  <c r="N645" i="4"/>
  <c r="O645" i="4"/>
  <c r="P645" i="4" s="1"/>
  <c r="S645" i="4"/>
  <c r="N646" i="4"/>
  <c r="O646" i="4"/>
  <c r="P646" i="4" s="1"/>
  <c r="Q646" i="4"/>
  <c r="S646" i="4"/>
  <c r="N647" i="4"/>
  <c r="O647" i="4"/>
  <c r="P647" i="4" s="1"/>
  <c r="S647" i="4"/>
  <c r="N648" i="4"/>
  <c r="O648" i="4"/>
  <c r="P648" i="4" s="1"/>
  <c r="S648" i="4"/>
  <c r="N649" i="4"/>
  <c r="O649" i="4"/>
  <c r="P649" i="4" s="1"/>
  <c r="S649" i="4"/>
  <c r="N650" i="4"/>
  <c r="O650" i="4"/>
  <c r="P650" i="4" s="1"/>
  <c r="S650" i="4"/>
  <c r="N651" i="4"/>
  <c r="O651" i="4"/>
  <c r="P651" i="4" s="1"/>
  <c r="S651" i="4"/>
  <c r="N652" i="4"/>
  <c r="O652" i="4"/>
  <c r="P652" i="4" s="1"/>
  <c r="S652" i="4"/>
  <c r="N653" i="4"/>
  <c r="O653" i="4"/>
  <c r="P653" i="4" s="1"/>
  <c r="S653" i="4"/>
  <c r="N654" i="4"/>
  <c r="O654" i="4"/>
  <c r="P654" i="4" s="1"/>
  <c r="S654" i="4"/>
  <c r="N655" i="4"/>
  <c r="O655" i="4"/>
  <c r="P655" i="4" s="1"/>
  <c r="S655" i="4"/>
  <c r="N656" i="4"/>
  <c r="O656" i="4"/>
  <c r="P656" i="4" s="1"/>
  <c r="S656" i="4"/>
  <c r="N657" i="4"/>
  <c r="O657" i="4"/>
  <c r="P657" i="4" s="1"/>
  <c r="S657" i="4"/>
  <c r="N658" i="4"/>
  <c r="O658" i="4"/>
  <c r="P658" i="4" s="1"/>
  <c r="S658" i="4"/>
  <c r="N659" i="4"/>
  <c r="O659" i="4"/>
  <c r="P659" i="4" s="1"/>
  <c r="S659" i="4"/>
  <c r="N660" i="4"/>
  <c r="O660" i="4"/>
  <c r="P660" i="4" s="1"/>
  <c r="S660" i="4"/>
  <c r="N661" i="4"/>
  <c r="O661" i="4"/>
  <c r="P661" i="4" s="1"/>
  <c r="S661" i="4"/>
  <c r="N662" i="4"/>
  <c r="O662" i="4"/>
  <c r="P662" i="4" s="1"/>
  <c r="S662" i="4"/>
  <c r="N663" i="4"/>
  <c r="O663" i="4"/>
  <c r="P663" i="4" s="1"/>
  <c r="Q663" i="4" s="1"/>
  <c r="S663" i="4"/>
  <c r="N664" i="4"/>
  <c r="O664" i="4"/>
  <c r="P664" i="4" s="1"/>
  <c r="S664" i="4"/>
  <c r="N665" i="4"/>
  <c r="O665" i="4"/>
  <c r="P665" i="4" s="1"/>
  <c r="S665" i="4"/>
  <c r="N666" i="4"/>
  <c r="O666" i="4"/>
  <c r="P666" i="4" s="1"/>
  <c r="Q666" i="4" s="1"/>
  <c r="S666" i="4"/>
  <c r="N667" i="4"/>
  <c r="O667" i="4"/>
  <c r="P667" i="4" s="1"/>
  <c r="S667" i="4"/>
  <c r="N668" i="4"/>
  <c r="O668" i="4"/>
  <c r="P668" i="4" s="1"/>
  <c r="S668" i="4"/>
  <c r="N670" i="4"/>
  <c r="O670" i="4"/>
  <c r="P670" i="4" s="1"/>
  <c r="S670" i="4"/>
  <c r="N671" i="4"/>
  <c r="O671" i="4"/>
  <c r="P671" i="4" s="1"/>
  <c r="S671" i="4"/>
  <c r="N672" i="4"/>
  <c r="O672" i="4"/>
  <c r="P672" i="4" s="1"/>
  <c r="Q672" i="4" s="1"/>
  <c r="S672" i="4"/>
  <c r="N673" i="4"/>
  <c r="O673" i="4"/>
  <c r="P673" i="4" s="1"/>
  <c r="S673" i="4"/>
  <c r="N674" i="4"/>
  <c r="O674" i="4"/>
  <c r="P674" i="4" s="1"/>
  <c r="S674" i="4"/>
  <c r="N675" i="4"/>
  <c r="O675" i="4"/>
  <c r="P675" i="4" s="1"/>
  <c r="S675" i="4"/>
  <c r="N676" i="4"/>
  <c r="O676" i="4"/>
  <c r="P676" i="4" s="1"/>
  <c r="S676" i="4"/>
  <c r="N677" i="4"/>
  <c r="O677" i="4"/>
  <c r="P677" i="4" s="1"/>
  <c r="S677" i="4"/>
  <c r="N678" i="4"/>
  <c r="O678" i="4"/>
  <c r="P678" i="4" s="1"/>
  <c r="S678" i="4"/>
  <c r="N679" i="4"/>
  <c r="O679" i="4"/>
  <c r="P679" i="4" s="1"/>
  <c r="Q679" i="4" s="1"/>
  <c r="S679" i="4"/>
  <c r="N680" i="4"/>
  <c r="O680" i="4"/>
  <c r="P680" i="4" s="1"/>
  <c r="S680" i="4"/>
  <c r="N681" i="4"/>
  <c r="O681" i="4"/>
  <c r="P681" i="4" s="1"/>
  <c r="S681" i="4"/>
  <c r="N682" i="4"/>
  <c r="O682" i="4"/>
  <c r="P682" i="4" s="1"/>
  <c r="S682" i="4"/>
  <c r="N683" i="4"/>
  <c r="O683" i="4"/>
  <c r="P683" i="4" s="1"/>
  <c r="Q683" i="4" s="1"/>
  <c r="S683" i="4"/>
  <c r="N684" i="4"/>
  <c r="O684" i="4"/>
  <c r="P684" i="4" s="1"/>
  <c r="S684" i="4"/>
  <c r="N685" i="4"/>
  <c r="O685" i="4"/>
  <c r="P685" i="4" s="1"/>
  <c r="Q685" i="4" s="1"/>
  <c r="S685" i="4"/>
  <c r="N686" i="4"/>
  <c r="O686" i="4"/>
  <c r="P686" i="4" s="1"/>
  <c r="Q686" i="4" s="1"/>
  <c r="S686" i="4"/>
  <c r="N687" i="4"/>
  <c r="O687" i="4"/>
  <c r="P687" i="4" s="1"/>
  <c r="Q687" i="4" s="1"/>
  <c r="S687" i="4"/>
  <c r="N688" i="4"/>
  <c r="O688" i="4"/>
  <c r="P688" i="4" s="1"/>
  <c r="S688" i="4"/>
  <c r="N689" i="4"/>
  <c r="O689" i="4"/>
  <c r="P689" i="4" s="1"/>
  <c r="S689" i="4"/>
  <c r="N690" i="4"/>
  <c r="O690" i="4"/>
  <c r="P690" i="4" s="1"/>
  <c r="S690" i="4"/>
  <c r="N691" i="4"/>
  <c r="O691" i="4"/>
  <c r="P691" i="4" s="1"/>
  <c r="S691" i="4"/>
  <c r="N692" i="4"/>
  <c r="O692" i="4"/>
  <c r="P692" i="4" s="1"/>
  <c r="S692" i="4"/>
  <c r="N693" i="4"/>
  <c r="O693" i="4"/>
  <c r="P693" i="4" s="1"/>
  <c r="S693" i="4"/>
  <c r="N694" i="4"/>
  <c r="O694" i="4"/>
  <c r="P694" i="4" s="1"/>
  <c r="S694" i="4"/>
  <c r="N695" i="4"/>
  <c r="O695" i="4"/>
  <c r="P695" i="4" s="1"/>
  <c r="Q695" i="4" s="1"/>
  <c r="S695" i="4"/>
  <c r="N696" i="4"/>
  <c r="O696" i="4"/>
  <c r="P696" i="4" s="1"/>
  <c r="S696" i="4"/>
  <c r="N697" i="4"/>
  <c r="O697" i="4"/>
  <c r="P697" i="4" s="1"/>
  <c r="S697" i="4"/>
  <c r="N698" i="4"/>
  <c r="O698" i="4"/>
  <c r="P698" i="4" s="1"/>
  <c r="S698" i="4"/>
  <c r="N699" i="4"/>
  <c r="O699" i="4"/>
  <c r="P699" i="4" s="1"/>
  <c r="Q699" i="4" s="1"/>
  <c r="S699" i="4"/>
  <c r="N700" i="4"/>
  <c r="O700" i="4"/>
  <c r="P700" i="4" s="1"/>
  <c r="S700" i="4"/>
  <c r="N701" i="4"/>
  <c r="O701" i="4"/>
  <c r="P701" i="4" s="1"/>
  <c r="Q701" i="4" s="1"/>
  <c r="S701" i="4"/>
  <c r="N702" i="4"/>
  <c r="O702" i="4"/>
  <c r="P702" i="4" s="1"/>
  <c r="S702" i="4"/>
  <c r="N703" i="4"/>
  <c r="O703" i="4"/>
  <c r="P703" i="4" s="1"/>
  <c r="Q703" i="4" s="1"/>
  <c r="S703" i="4"/>
  <c r="N704" i="4"/>
  <c r="O704" i="4"/>
  <c r="P704" i="4" s="1"/>
  <c r="S704" i="4"/>
  <c r="N705" i="4"/>
  <c r="O705" i="4"/>
  <c r="P705" i="4" s="1"/>
  <c r="S705" i="4"/>
  <c r="N706" i="4"/>
  <c r="O706" i="4"/>
  <c r="P706" i="4" s="1"/>
  <c r="S706" i="4"/>
  <c r="N707" i="4"/>
  <c r="O707" i="4"/>
  <c r="P707" i="4" s="1"/>
  <c r="S707" i="4"/>
  <c r="N708" i="4"/>
  <c r="O708" i="4"/>
  <c r="P708" i="4" s="1"/>
  <c r="S708" i="4"/>
  <c r="N709" i="4"/>
  <c r="O709" i="4"/>
  <c r="P709" i="4" s="1"/>
  <c r="Q709" i="4" s="1"/>
  <c r="S709" i="4"/>
  <c r="N710" i="4"/>
  <c r="O710" i="4"/>
  <c r="P710" i="4" s="1"/>
  <c r="S710" i="4"/>
  <c r="N711" i="4"/>
  <c r="O711" i="4"/>
  <c r="P711" i="4" s="1"/>
  <c r="S711" i="4"/>
  <c r="N712" i="4"/>
  <c r="O712" i="4"/>
  <c r="P712" i="4" s="1"/>
  <c r="S712" i="4"/>
  <c r="N713" i="4"/>
  <c r="O713" i="4"/>
  <c r="P713" i="4" s="1"/>
  <c r="S713" i="4"/>
  <c r="N714" i="4"/>
  <c r="O714" i="4"/>
  <c r="P714" i="4" s="1"/>
  <c r="S714" i="4"/>
  <c r="N715" i="4"/>
  <c r="O715" i="4"/>
  <c r="P715" i="4" s="1"/>
  <c r="S715" i="4"/>
  <c r="N716" i="4"/>
  <c r="O716" i="4"/>
  <c r="P716" i="4" s="1"/>
  <c r="S716" i="4"/>
  <c r="N717" i="4"/>
  <c r="O717" i="4"/>
  <c r="P717" i="4" s="1"/>
  <c r="S717" i="4"/>
  <c r="N718" i="4"/>
  <c r="O718" i="4"/>
  <c r="P718" i="4" s="1"/>
  <c r="S718" i="4"/>
  <c r="N719" i="4"/>
  <c r="O719" i="4"/>
  <c r="P719" i="4" s="1"/>
  <c r="S719" i="4"/>
  <c r="N720" i="4"/>
  <c r="O720" i="4"/>
  <c r="P720" i="4" s="1"/>
  <c r="S720" i="4"/>
  <c r="N721" i="4"/>
  <c r="O721" i="4"/>
  <c r="P721" i="4" s="1"/>
  <c r="S721" i="4"/>
  <c r="N722" i="4"/>
  <c r="O722" i="4"/>
  <c r="P722" i="4" s="1"/>
  <c r="S722" i="4"/>
  <c r="N723" i="4"/>
  <c r="O723" i="4"/>
  <c r="P723" i="4" s="1"/>
  <c r="S723" i="4"/>
  <c r="N724" i="4"/>
  <c r="O724" i="4"/>
  <c r="P724" i="4" s="1"/>
  <c r="S724" i="4"/>
  <c r="N725" i="4"/>
  <c r="O725" i="4"/>
  <c r="P725" i="4" s="1"/>
  <c r="S725" i="4"/>
  <c r="N726" i="4"/>
  <c r="O726" i="4"/>
  <c r="P726" i="4" s="1"/>
  <c r="S726" i="4"/>
  <c r="N727" i="4"/>
  <c r="O727" i="4"/>
  <c r="P727" i="4" s="1"/>
  <c r="Q727" i="4" s="1"/>
  <c r="S727" i="4"/>
  <c r="N728" i="4"/>
  <c r="O728" i="4"/>
  <c r="P728" i="4" s="1"/>
  <c r="S728" i="4"/>
  <c r="N729" i="4"/>
  <c r="O729" i="4"/>
  <c r="P729" i="4" s="1"/>
  <c r="S729" i="4"/>
  <c r="N730" i="4"/>
  <c r="O730" i="4"/>
  <c r="P730" i="4" s="1"/>
  <c r="S730" i="4"/>
  <c r="N731" i="4"/>
  <c r="O731" i="4"/>
  <c r="P731" i="4" s="1"/>
  <c r="Q731" i="4" s="1"/>
  <c r="S731" i="4"/>
  <c r="N732" i="4"/>
  <c r="O732" i="4"/>
  <c r="P732" i="4" s="1"/>
  <c r="S732" i="4"/>
  <c r="N733" i="4"/>
  <c r="O733" i="4"/>
  <c r="P733" i="4" s="1"/>
  <c r="Q733" i="4" s="1"/>
  <c r="S733" i="4"/>
  <c r="N734" i="4"/>
  <c r="O734" i="4"/>
  <c r="P734" i="4" s="1"/>
  <c r="S734" i="4"/>
  <c r="N735" i="4"/>
  <c r="O735" i="4"/>
  <c r="P735" i="4" s="1"/>
  <c r="Q735" i="4" s="1"/>
  <c r="S735" i="4"/>
  <c r="N736" i="4"/>
  <c r="O736" i="4"/>
  <c r="P736" i="4" s="1"/>
  <c r="S736" i="4"/>
  <c r="N737" i="4"/>
  <c r="O737" i="4"/>
  <c r="P737" i="4" s="1"/>
  <c r="S737" i="4"/>
  <c r="N738" i="4"/>
  <c r="O738" i="4"/>
  <c r="P738" i="4" s="1"/>
  <c r="S738" i="4"/>
  <c r="N739" i="4"/>
  <c r="O739" i="4"/>
  <c r="P739" i="4" s="1"/>
  <c r="S739" i="4"/>
  <c r="N740" i="4"/>
  <c r="O740" i="4"/>
  <c r="P740" i="4" s="1"/>
  <c r="S740" i="4"/>
  <c r="N741" i="4"/>
  <c r="O741" i="4"/>
  <c r="P741" i="4" s="1"/>
  <c r="Q741" i="4" s="1"/>
  <c r="S741" i="4"/>
  <c r="N742" i="4"/>
  <c r="O742" i="4"/>
  <c r="P742" i="4" s="1"/>
  <c r="S742" i="4"/>
  <c r="N743" i="4"/>
  <c r="O743" i="4"/>
  <c r="P743" i="4" s="1"/>
  <c r="S743" i="4"/>
  <c r="N744" i="4"/>
  <c r="O744" i="4"/>
  <c r="P744" i="4" s="1"/>
  <c r="S744" i="4"/>
  <c r="N745" i="4"/>
  <c r="O745" i="4"/>
  <c r="P745" i="4" s="1"/>
  <c r="S745" i="4"/>
  <c r="N746" i="4"/>
  <c r="O746" i="4"/>
  <c r="P746" i="4" s="1"/>
  <c r="S746" i="4"/>
  <c r="N747" i="4"/>
  <c r="O747" i="4"/>
  <c r="P747" i="4" s="1"/>
  <c r="S747" i="4"/>
  <c r="N748" i="4"/>
  <c r="O748" i="4"/>
  <c r="P748" i="4" s="1"/>
  <c r="S748" i="4"/>
  <c r="N749" i="4"/>
  <c r="O749" i="4"/>
  <c r="P749" i="4" s="1"/>
  <c r="S749" i="4"/>
  <c r="N750" i="4"/>
  <c r="O750" i="4"/>
  <c r="P750" i="4" s="1"/>
  <c r="S750" i="4"/>
  <c r="N751" i="4"/>
  <c r="O751" i="4"/>
  <c r="P751" i="4" s="1"/>
  <c r="S751" i="4"/>
  <c r="N752" i="4"/>
  <c r="O752" i="4"/>
  <c r="P752" i="4" s="1"/>
  <c r="S752" i="4"/>
  <c r="N753" i="4"/>
  <c r="O753" i="4"/>
  <c r="P753" i="4" s="1"/>
  <c r="S753" i="4"/>
  <c r="N754" i="4"/>
  <c r="O754" i="4"/>
  <c r="P754" i="4" s="1"/>
  <c r="S754" i="4"/>
  <c r="N755" i="4"/>
  <c r="O755" i="4"/>
  <c r="P755" i="4" s="1"/>
  <c r="Q755" i="4" s="1"/>
  <c r="S755" i="4"/>
  <c r="N756" i="4"/>
  <c r="O756" i="4"/>
  <c r="P756" i="4" s="1"/>
  <c r="S756" i="4"/>
  <c r="N757" i="4"/>
  <c r="O757" i="4"/>
  <c r="P757" i="4" s="1"/>
  <c r="S757" i="4"/>
  <c r="N758" i="4"/>
  <c r="O758" i="4"/>
  <c r="P758" i="4" s="1"/>
  <c r="Q758" i="4"/>
  <c r="S758" i="4"/>
  <c r="N759" i="4"/>
  <c r="O759" i="4"/>
  <c r="P759" i="4" s="1"/>
  <c r="Q759" i="4" s="1"/>
  <c r="S759" i="4"/>
  <c r="N760" i="4"/>
  <c r="O760" i="4"/>
  <c r="P760" i="4" s="1"/>
  <c r="Q760" i="4" s="1"/>
  <c r="S760" i="4"/>
  <c r="N761" i="4"/>
  <c r="O761" i="4"/>
  <c r="P761" i="4" s="1"/>
  <c r="S761" i="4"/>
  <c r="N762" i="4"/>
  <c r="O762" i="4"/>
  <c r="P762" i="4" s="1"/>
  <c r="S762" i="4"/>
  <c r="N763" i="4"/>
  <c r="O763" i="4"/>
  <c r="P763" i="4" s="1"/>
  <c r="Q763" i="4" s="1"/>
  <c r="S763" i="4"/>
  <c r="N764" i="4"/>
  <c r="O764" i="4"/>
  <c r="P764" i="4" s="1"/>
  <c r="S764" i="4"/>
  <c r="N765" i="4"/>
  <c r="O765" i="4"/>
  <c r="P765" i="4" s="1"/>
  <c r="S765" i="4"/>
  <c r="N766" i="4"/>
  <c r="O766" i="4"/>
  <c r="P766" i="4" s="1"/>
  <c r="Q766" i="4" s="1"/>
  <c r="S766" i="4"/>
  <c r="N767" i="4"/>
  <c r="O767" i="4"/>
  <c r="P767" i="4" s="1"/>
  <c r="S767" i="4"/>
  <c r="N768" i="4"/>
  <c r="O768" i="4"/>
  <c r="P768" i="4" s="1"/>
  <c r="S768" i="4"/>
  <c r="N769" i="4"/>
  <c r="O769" i="4"/>
  <c r="P769" i="4" s="1"/>
  <c r="S769" i="4"/>
  <c r="N770" i="4"/>
  <c r="O770" i="4"/>
  <c r="P770" i="4" s="1"/>
  <c r="S770" i="4"/>
  <c r="N771" i="4"/>
  <c r="O771" i="4"/>
  <c r="P771" i="4" s="1"/>
  <c r="S771" i="4"/>
  <c r="N772" i="4"/>
  <c r="O772" i="4"/>
  <c r="P772" i="4" s="1"/>
  <c r="S772" i="4"/>
  <c r="N773" i="4"/>
  <c r="O773" i="4"/>
  <c r="P773" i="4" s="1"/>
  <c r="S773" i="4"/>
  <c r="N774" i="4"/>
  <c r="O774" i="4"/>
  <c r="P774" i="4" s="1"/>
  <c r="S774" i="4"/>
  <c r="N775" i="4"/>
  <c r="O775" i="4"/>
  <c r="P775" i="4" s="1"/>
  <c r="S775" i="4"/>
  <c r="N776" i="4"/>
  <c r="O776" i="4"/>
  <c r="P776" i="4" s="1"/>
  <c r="S776" i="4"/>
  <c r="N777" i="4"/>
  <c r="O777" i="4"/>
  <c r="P777" i="4" s="1"/>
  <c r="S777" i="4"/>
  <c r="N778" i="4"/>
  <c r="O778" i="4"/>
  <c r="P778" i="4" s="1"/>
  <c r="S778" i="4"/>
  <c r="N779" i="4"/>
  <c r="O779" i="4"/>
  <c r="P779" i="4" s="1"/>
  <c r="S779" i="4"/>
  <c r="N780" i="4"/>
  <c r="O780" i="4"/>
  <c r="P780" i="4" s="1"/>
  <c r="S780" i="4"/>
  <c r="N781" i="4"/>
  <c r="O781" i="4"/>
  <c r="P781" i="4" s="1"/>
  <c r="S781" i="4"/>
  <c r="N782" i="4"/>
  <c r="O782" i="4"/>
  <c r="P782" i="4" s="1"/>
  <c r="S782" i="4"/>
  <c r="N783" i="4"/>
  <c r="O783" i="4"/>
  <c r="P783" i="4" s="1"/>
  <c r="Q783" i="4" s="1"/>
  <c r="S783" i="4"/>
  <c r="N784" i="4"/>
  <c r="O784" i="4"/>
  <c r="P784" i="4" s="1"/>
  <c r="Q784" i="4" s="1"/>
  <c r="S784" i="4"/>
  <c r="N785" i="4"/>
  <c r="O785" i="4"/>
  <c r="P785" i="4" s="1"/>
  <c r="S785" i="4"/>
  <c r="N786" i="4"/>
  <c r="O786" i="4"/>
  <c r="P786" i="4" s="1"/>
  <c r="S786" i="4"/>
  <c r="N787" i="4"/>
  <c r="O787" i="4"/>
  <c r="P787" i="4" s="1"/>
  <c r="Q787" i="4"/>
  <c r="S787" i="4"/>
  <c r="N788" i="4"/>
  <c r="O788" i="4"/>
  <c r="P788" i="4" s="1"/>
  <c r="S788" i="4"/>
  <c r="N789" i="4"/>
  <c r="O789" i="4"/>
  <c r="P789" i="4" s="1"/>
  <c r="Q789" i="4" s="1"/>
  <c r="S789" i="4"/>
  <c r="N790" i="4"/>
  <c r="O790" i="4"/>
  <c r="P790" i="4" s="1"/>
  <c r="S790" i="4"/>
  <c r="N791" i="4"/>
  <c r="O791" i="4"/>
  <c r="P791" i="4" s="1"/>
  <c r="Q791" i="4" s="1"/>
  <c r="S791" i="4"/>
  <c r="N792" i="4"/>
  <c r="O792" i="4"/>
  <c r="P792" i="4" s="1"/>
  <c r="S792" i="4"/>
  <c r="N793" i="4"/>
  <c r="O793" i="4"/>
  <c r="P793" i="4" s="1"/>
  <c r="S793" i="4"/>
  <c r="N794" i="4"/>
  <c r="O794" i="4"/>
  <c r="P794" i="4" s="1"/>
  <c r="S794" i="4"/>
  <c r="N795" i="4"/>
  <c r="O795" i="4"/>
  <c r="P795" i="4" s="1"/>
  <c r="Q795" i="4" s="1"/>
  <c r="S795" i="4"/>
  <c r="N796" i="4"/>
  <c r="O796" i="4"/>
  <c r="P796" i="4" s="1"/>
  <c r="S796" i="4"/>
  <c r="N797" i="4"/>
  <c r="O797" i="4"/>
  <c r="P797" i="4" s="1"/>
  <c r="Q797" i="4" s="1"/>
  <c r="S797" i="4"/>
  <c r="N798" i="4"/>
  <c r="O798" i="4"/>
  <c r="P798" i="4" s="1"/>
  <c r="S798" i="4"/>
  <c r="N799" i="4"/>
  <c r="O799" i="4"/>
  <c r="P799" i="4" s="1"/>
  <c r="Q799" i="4" s="1"/>
  <c r="S799" i="4"/>
  <c r="N800" i="4"/>
  <c r="O800" i="4"/>
  <c r="P800" i="4" s="1"/>
  <c r="S800" i="4"/>
  <c r="N801" i="4"/>
  <c r="O801" i="4"/>
  <c r="P801" i="4" s="1"/>
  <c r="S801" i="4"/>
  <c r="N802" i="4"/>
  <c r="O802" i="4"/>
  <c r="P802" i="4" s="1"/>
  <c r="S802" i="4"/>
  <c r="N803" i="4"/>
  <c r="O803" i="4"/>
  <c r="P803" i="4" s="1"/>
  <c r="Q803" i="4" s="1"/>
  <c r="S803" i="4"/>
  <c r="N804" i="4"/>
  <c r="O804" i="4"/>
  <c r="P804" i="4" s="1"/>
  <c r="S804" i="4"/>
  <c r="N805" i="4"/>
  <c r="O805" i="4"/>
  <c r="P805" i="4" s="1"/>
  <c r="S805" i="4"/>
  <c r="N806" i="4"/>
  <c r="O806" i="4"/>
  <c r="P806" i="4" s="1"/>
  <c r="S806" i="4"/>
  <c r="N807" i="4"/>
  <c r="O807" i="4"/>
  <c r="P807" i="4" s="1"/>
  <c r="S807" i="4"/>
  <c r="N808" i="4"/>
  <c r="O808" i="4"/>
  <c r="P808" i="4" s="1"/>
  <c r="S808" i="4"/>
  <c r="N809" i="4"/>
  <c r="O809" i="4"/>
  <c r="P809" i="4" s="1"/>
  <c r="Q809" i="4" s="1"/>
  <c r="S809" i="4"/>
  <c r="N810" i="4"/>
  <c r="O810" i="4"/>
  <c r="P810" i="4" s="1"/>
  <c r="S810" i="4"/>
  <c r="N811" i="4"/>
  <c r="O811" i="4"/>
  <c r="P811" i="4" s="1"/>
  <c r="S811" i="4"/>
  <c r="N812" i="4"/>
  <c r="O812" i="4"/>
  <c r="P812" i="4" s="1"/>
  <c r="S812" i="4"/>
  <c r="N813" i="4"/>
  <c r="O813" i="4"/>
  <c r="P813" i="4" s="1"/>
  <c r="S813" i="4"/>
  <c r="N814" i="4"/>
  <c r="O814" i="4"/>
  <c r="P814" i="4" s="1"/>
  <c r="S814" i="4"/>
  <c r="N815" i="4"/>
  <c r="O815" i="4"/>
  <c r="P815" i="4" s="1"/>
  <c r="S815" i="4"/>
  <c r="N816" i="4"/>
  <c r="O816" i="4"/>
  <c r="P816" i="4" s="1"/>
  <c r="S816" i="4"/>
  <c r="N817" i="4"/>
  <c r="O817" i="4"/>
  <c r="P817" i="4" s="1"/>
  <c r="S817" i="4"/>
  <c r="N818" i="4"/>
  <c r="O818" i="4"/>
  <c r="P818" i="4" s="1"/>
  <c r="S818" i="4"/>
  <c r="N819" i="4"/>
  <c r="O819" i="4"/>
  <c r="P819" i="4" s="1"/>
  <c r="S819" i="4"/>
  <c r="N820" i="4"/>
  <c r="O820" i="4"/>
  <c r="P820" i="4" s="1"/>
  <c r="S820" i="4"/>
  <c r="N821" i="4"/>
  <c r="O821" i="4"/>
  <c r="P821" i="4" s="1"/>
  <c r="S821" i="4"/>
  <c r="N822" i="4"/>
  <c r="O822" i="4"/>
  <c r="P822" i="4" s="1"/>
  <c r="S822" i="4"/>
  <c r="N823" i="4"/>
  <c r="O823" i="4"/>
  <c r="P823" i="4" s="1"/>
  <c r="Q823" i="4" s="1"/>
  <c r="S823" i="4"/>
  <c r="N824" i="4"/>
  <c r="O824" i="4"/>
  <c r="P824" i="4"/>
  <c r="S824" i="4"/>
  <c r="N825" i="4"/>
  <c r="O825" i="4"/>
  <c r="P825" i="4" s="1"/>
  <c r="S825" i="4"/>
  <c r="N826" i="4"/>
  <c r="O826" i="4"/>
  <c r="P826" i="4" s="1"/>
  <c r="S826" i="4"/>
  <c r="N827" i="4"/>
  <c r="O827" i="4"/>
  <c r="P827" i="4" s="1"/>
  <c r="S827" i="4"/>
  <c r="N828" i="4"/>
  <c r="O828" i="4"/>
  <c r="P828" i="4" s="1"/>
  <c r="S828" i="4"/>
  <c r="N829" i="4"/>
  <c r="O829" i="4"/>
  <c r="P829" i="4" s="1"/>
  <c r="S829" i="4"/>
  <c r="N830" i="4"/>
  <c r="O830" i="4"/>
  <c r="P830" i="4" s="1"/>
  <c r="S830" i="4"/>
  <c r="N831" i="4"/>
  <c r="O831" i="4"/>
  <c r="P831" i="4" s="1"/>
  <c r="S831" i="4"/>
  <c r="N832" i="4"/>
  <c r="O832" i="4"/>
  <c r="P832" i="4" s="1"/>
  <c r="S832" i="4"/>
  <c r="N833" i="4"/>
  <c r="O833" i="4"/>
  <c r="P833" i="4" s="1"/>
  <c r="S833" i="4"/>
  <c r="N834" i="4"/>
  <c r="O834" i="4"/>
  <c r="P834" i="4"/>
  <c r="S834" i="4"/>
  <c r="N835" i="4"/>
  <c r="O835" i="4"/>
  <c r="P835" i="4" s="1"/>
  <c r="S835" i="4"/>
  <c r="N836" i="4"/>
  <c r="O836" i="4"/>
  <c r="P836" i="4" s="1"/>
  <c r="S836" i="4"/>
  <c r="N837" i="4"/>
  <c r="O837" i="4"/>
  <c r="P837" i="4" s="1"/>
  <c r="S837" i="4"/>
  <c r="N838" i="4"/>
  <c r="O838" i="4"/>
  <c r="P838" i="4"/>
  <c r="S838" i="4"/>
  <c r="N839" i="4"/>
  <c r="O839" i="4"/>
  <c r="P839" i="4" s="1"/>
  <c r="S839" i="4"/>
  <c r="N840" i="4"/>
  <c r="O840" i="4"/>
  <c r="P840" i="4" s="1"/>
  <c r="S840" i="4"/>
  <c r="N841" i="4"/>
  <c r="O841" i="4"/>
  <c r="P841" i="4" s="1"/>
  <c r="S841" i="4"/>
  <c r="N842" i="4"/>
  <c r="O842" i="4"/>
  <c r="P842" i="4"/>
  <c r="S842" i="4"/>
  <c r="N843" i="4"/>
  <c r="O843" i="4"/>
  <c r="P843" i="4" s="1"/>
  <c r="S843" i="4"/>
  <c r="N844" i="4"/>
  <c r="O844" i="4"/>
  <c r="P844" i="4" s="1"/>
  <c r="S844" i="4"/>
  <c r="N845" i="4"/>
  <c r="O845" i="4"/>
  <c r="P845" i="4" s="1"/>
  <c r="S845" i="4"/>
  <c r="N846" i="4"/>
  <c r="O846" i="4"/>
  <c r="P846" i="4" s="1"/>
  <c r="S846" i="4"/>
  <c r="N847" i="4"/>
  <c r="O847" i="4"/>
  <c r="P847" i="4" s="1"/>
  <c r="S847" i="4"/>
  <c r="N848" i="4"/>
  <c r="O848" i="4"/>
  <c r="P848" i="4" s="1"/>
  <c r="S848" i="4"/>
  <c r="N849" i="4"/>
  <c r="O849" i="4"/>
  <c r="P849" i="4" s="1"/>
  <c r="S849" i="4"/>
  <c r="N850" i="4"/>
  <c r="O850" i="4"/>
  <c r="P850" i="4" s="1"/>
  <c r="S850" i="4"/>
  <c r="N851" i="4"/>
  <c r="O851" i="4"/>
  <c r="P851" i="4" s="1"/>
  <c r="S851" i="4"/>
  <c r="N852" i="4"/>
  <c r="O852" i="4"/>
  <c r="P852" i="4" s="1"/>
  <c r="S852" i="4"/>
  <c r="N853" i="4"/>
  <c r="O853" i="4"/>
  <c r="P853" i="4" s="1"/>
  <c r="S853" i="4"/>
  <c r="N854" i="4"/>
  <c r="O854" i="4"/>
  <c r="P854" i="4" s="1"/>
  <c r="S854" i="4"/>
  <c r="N855" i="4"/>
  <c r="O855" i="4"/>
  <c r="P855" i="4" s="1"/>
  <c r="S855" i="4"/>
  <c r="N856" i="4"/>
  <c r="O856" i="4"/>
  <c r="P856" i="4" s="1"/>
  <c r="S856" i="4"/>
  <c r="N857" i="4"/>
  <c r="O857" i="4"/>
  <c r="P857" i="4" s="1"/>
  <c r="S857" i="4"/>
  <c r="N858" i="4"/>
  <c r="O858" i="4"/>
  <c r="P858" i="4" s="1"/>
  <c r="S858" i="4"/>
  <c r="N859" i="4"/>
  <c r="O859" i="4"/>
  <c r="P859" i="4" s="1"/>
  <c r="S859" i="4"/>
  <c r="N860" i="4"/>
  <c r="O860" i="4"/>
  <c r="P860" i="4" s="1"/>
  <c r="S860" i="4"/>
  <c r="N861" i="4"/>
  <c r="O861" i="4"/>
  <c r="P861" i="4" s="1"/>
  <c r="S861" i="4"/>
  <c r="N862" i="4"/>
  <c r="O862" i="4"/>
  <c r="P862" i="4" s="1"/>
  <c r="S862" i="4"/>
  <c r="N863" i="4"/>
  <c r="O863" i="4"/>
  <c r="P863" i="4" s="1"/>
  <c r="S863" i="4"/>
  <c r="N864" i="4"/>
  <c r="O864" i="4"/>
  <c r="P864" i="4" s="1"/>
  <c r="S864" i="4"/>
  <c r="N865" i="4"/>
  <c r="O865" i="4"/>
  <c r="P865" i="4" s="1"/>
  <c r="S865" i="4"/>
  <c r="N866" i="4"/>
  <c r="O866" i="4"/>
  <c r="P866" i="4" s="1"/>
  <c r="S866" i="4"/>
  <c r="N867" i="4"/>
  <c r="O867" i="4"/>
  <c r="P867" i="4" s="1"/>
  <c r="S867" i="4"/>
  <c r="N868" i="4"/>
  <c r="O868" i="4"/>
  <c r="P868" i="4" s="1"/>
  <c r="Q868" i="4" s="1"/>
  <c r="S868" i="4"/>
  <c r="N869" i="4"/>
  <c r="O869" i="4"/>
  <c r="P869" i="4" s="1"/>
  <c r="S869" i="4"/>
  <c r="N870" i="4"/>
  <c r="O870" i="4"/>
  <c r="P870" i="4"/>
  <c r="S870" i="4"/>
  <c r="N871" i="4"/>
  <c r="O871" i="4"/>
  <c r="P871" i="4" s="1"/>
  <c r="S871" i="4"/>
  <c r="N873" i="4"/>
  <c r="O873" i="4"/>
  <c r="P873" i="4" s="1"/>
  <c r="S873" i="4"/>
  <c r="N874" i="4"/>
  <c r="O874" i="4"/>
  <c r="P874" i="4" s="1"/>
  <c r="S874" i="4"/>
  <c r="N875" i="4"/>
  <c r="O875" i="4"/>
  <c r="P875" i="4" s="1"/>
  <c r="S875" i="4"/>
  <c r="N876" i="4"/>
  <c r="O876" i="4"/>
  <c r="P876" i="4" s="1"/>
  <c r="S876" i="4"/>
  <c r="N877" i="4"/>
  <c r="O877" i="4"/>
  <c r="P877" i="4" s="1"/>
  <c r="Q877" i="4" s="1"/>
  <c r="S877" i="4"/>
  <c r="N878" i="4"/>
  <c r="O878" i="4"/>
  <c r="P878" i="4" s="1"/>
  <c r="S878" i="4"/>
  <c r="N879" i="4"/>
  <c r="O879" i="4"/>
  <c r="P879" i="4" s="1"/>
  <c r="S879" i="4"/>
  <c r="N880" i="4"/>
  <c r="O880" i="4"/>
  <c r="P880" i="4" s="1"/>
  <c r="S880" i="4"/>
  <c r="N881" i="4"/>
  <c r="O881" i="4"/>
  <c r="P881" i="4" s="1"/>
  <c r="S881" i="4"/>
  <c r="N882" i="4"/>
  <c r="O882" i="4"/>
  <c r="P882" i="4" s="1"/>
  <c r="S882" i="4"/>
  <c r="N883" i="4"/>
  <c r="O883" i="4"/>
  <c r="P883" i="4" s="1"/>
  <c r="S883" i="4"/>
  <c r="N884" i="4"/>
  <c r="O884" i="4"/>
  <c r="P884" i="4" s="1"/>
  <c r="S884" i="4"/>
  <c r="N885" i="4"/>
  <c r="O885" i="4"/>
  <c r="P885" i="4" s="1"/>
  <c r="S885" i="4"/>
  <c r="N886" i="4"/>
  <c r="O886" i="4"/>
  <c r="P886" i="4" s="1"/>
  <c r="S886" i="4"/>
  <c r="N887" i="4"/>
  <c r="O887" i="4"/>
  <c r="P887" i="4" s="1"/>
  <c r="S887" i="4"/>
  <c r="N888" i="4"/>
  <c r="O888" i="4"/>
  <c r="P888" i="4" s="1"/>
  <c r="S888" i="4"/>
  <c r="N889" i="4"/>
  <c r="O889" i="4"/>
  <c r="P889" i="4" s="1"/>
  <c r="S889" i="4"/>
  <c r="N890" i="4"/>
  <c r="O890" i="4"/>
  <c r="P890" i="4" s="1"/>
  <c r="S890" i="4"/>
  <c r="N891" i="4"/>
  <c r="O891" i="4"/>
  <c r="P891" i="4" s="1"/>
  <c r="S891" i="4"/>
  <c r="N892" i="4"/>
  <c r="O892" i="4"/>
  <c r="P892" i="4" s="1"/>
  <c r="S892" i="4"/>
  <c r="N893" i="4"/>
  <c r="O893" i="4"/>
  <c r="P893" i="4" s="1"/>
  <c r="S893" i="4"/>
  <c r="N894" i="4"/>
  <c r="O894" i="4"/>
  <c r="P894" i="4" s="1"/>
  <c r="S894" i="4"/>
  <c r="N895" i="4"/>
  <c r="O895" i="4"/>
  <c r="P895" i="4" s="1"/>
  <c r="S895" i="4"/>
  <c r="N896" i="4"/>
  <c r="O896" i="4"/>
  <c r="P896" i="4"/>
  <c r="S896" i="4"/>
  <c r="N897" i="4"/>
  <c r="O897" i="4"/>
  <c r="P897" i="4" s="1"/>
  <c r="S897" i="4"/>
  <c r="N898" i="4"/>
  <c r="O898" i="4"/>
  <c r="P898" i="4" s="1"/>
  <c r="S898" i="4"/>
  <c r="N899" i="4"/>
  <c r="O899" i="4"/>
  <c r="P899" i="4" s="1"/>
  <c r="S899" i="4"/>
  <c r="N900" i="4"/>
  <c r="O900" i="4"/>
  <c r="P900" i="4" s="1"/>
  <c r="S900" i="4"/>
  <c r="N901" i="4"/>
  <c r="O901" i="4"/>
  <c r="P901" i="4" s="1"/>
  <c r="S901" i="4"/>
  <c r="N902" i="4"/>
  <c r="O902" i="4"/>
  <c r="P902" i="4" s="1"/>
  <c r="S902" i="4"/>
  <c r="N903" i="4"/>
  <c r="O903" i="4"/>
  <c r="P903" i="4"/>
  <c r="S903" i="4"/>
  <c r="N904" i="4"/>
  <c r="O904" i="4"/>
  <c r="P904" i="4" s="1"/>
  <c r="S904" i="4"/>
  <c r="N905" i="4"/>
  <c r="O905" i="4"/>
  <c r="P905" i="4" s="1"/>
  <c r="S905" i="4"/>
  <c r="N906" i="4"/>
  <c r="O906" i="4"/>
  <c r="P906" i="4" s="1"/>
  <c r="S906" i="4"/>
  <c r="N907" i="4"/>
  <c r="O907" i="4"/>
  <c r="P907" i="4" s="1"/>
  <c r="S907" i="4"/>
  <c r="N908" i="4"/>
  <c r="O908" i="4"/>
  <c r="P908" i="4" s="1"/>
  <c r="S908" i="4"/>
  <c r="N909" i="4"/>
  <c r="O909" i="4"/>
  <c r="P909" i="4" s="1"/>
  <c r="S909" i="4"/>
  <c r="N910" i="4"/>
  <c r="O910" i="4"/>
  <c r="P910" i="4" s="1"/>
  <c r="S910" i="4"/>
  <c r="N911" i="4"/>
  <c r="O911" i="4"/>
  <c r="P911" i="4" s="1"/>
  <c r="S911" i="4"/>
  <c r="N912" i="4"/>
  <c r="O912" i="4"/>
  <c r="P912" i="4" s="1"/>
  <c r="S912" i="4"/>
  <c r="N913" i="4"/>
  <c r="O913" i="4"/>
  <c r="P913" i="4" s="1"/>
  <c r="S913" i="4"/>
  <c r="N914" i="4"/>
  <c r="O914" i="4"/>
  <c r="P914" i="4" s="1"/>
  <c r="S914" i="4"/>
  <c r="N915" i="4"/>
  <c r="O915" i="4"/>
  <c r="P915" i="4" s="1"/>
  <c r="S915" i="4"/>
  <c r="N916" i="4"/>
  <c r="O916" i="4"/>
  <c r="P916" i="4" s="1"/>
  <c r="S916" i="4"/>
  <c r="N917" i="4"/>
  <c r="O917" i="4"/>
  <c r="P917" i="4" s="1"/>
  <c r="S917" i="4"/>
  <c r="N918" i="4"/>
  <c r="O918" i="4"/>
  <c r="P918" i="4" s="1"/>
  <c r="S918" i="4"/>
  <c r="N919" i="4"/>
  <c r="O919" i="4"/>
  <c r="P919" i="4" s="1"/>
  <c r="S919" i="4"/>
  <c r="N920" i="4"/>
  <c r="O920" i="4"/>
  <c r="P920" i="4" s="1"/>
  <c r="S920" i="4"/>
  <c r="N921" i="4"/>
  <c r="O921" i="4"/>
  <c r="P921" i="4"/>
  <c r="Q921" i="4" s="1"/>
  <c r="S921" i="4"/>
  <c r="N922" i="4"/>
  <c r="O922" i="4"/>
  <c r="P922" i="4" s="1"/>
  <c r="Q922" i="4" s="1"/>
  <c r="S922" i="4"/>
  <c r="N923" i="4"/>
  <c r="O923" i="4"/>
  <c r="P923" i="4" s="1"/>
  <c r="Q923" i="4"/>
  <c r="S923" i="4"/>
  <c r="N924" i="4"/>
  <c r="O924" i="4"/>
  <c r="P924" i="4" s="1"/>
  <c r="S924" i="4"/>
  <c r="N925" i="4"/>
  <c r="O925" i="4"/>
  <c r="P925" i="4" s="1"/>
  <c r="Q925" i="4" s="1"/>
  <c r="S925" i="4"/>
  <c r="N926" i="4"/>
  <c r="O926" i="4"/>
  <c r="P926" i="4" s="1"/>
  <c r="Q926" i="4" s="1"/>
  <c r="S926" i="4"/>
  <c r="N927" i="4"/>
  <c r="O927" i="4"/>
  <c r="P927" i="4"/>
  <c r="Q927" i="4" s="1"/>
  <c r="S927" i="4"/>
  <c r="N928" i="4"/>
  <c r="O928" i="4"/>
  <c r="P928" i="4" s="1"/>
  <c r="S928" i="4"/>
  <c r="N929" i="4"/>
  <c r="O929" i="4"/>
  <c r="P929" i="4" s="1"/>
  <c r="S929" i="4"/>
  <c r="N930" i="4"/>
  <c r="O930" i="4"/>
  <c r="P930" i="4" s="1"/>
  <c r="Q930" i="4" s="1"/>
  <c r="S930" i="4"/>
  <c r="N931" i="4"/>
  <c r="O931" i="4"/>
  <c r="P931" i="4" s="1"/>
  <c r="Q931" i="4" s="1"/>
  <c r="S931" i="4"/>
  <c r="N932" i="4"/>
  <c r="O932" i="4"/>
  <c r="P932" i="4"/>
  <c r="S932" i="4"/>
  <c r="N933" i="4"/>
  <c r="O933" i="4"/>
  <c r="P933" i="4" s="1"/>
  <c r="Q933" i="4" s="1"/>
  <c r="S933" i="4"/>
  <c r="N934" i="4"/>
  <c r="O934" i="4"/>
  <c r="P934" i="4" s="1"/>
  <c r="S934" i="4"/>
  <c r="N935" i="4"/>
  <c r="O935" i="4"/>
  <c r="P935" i="4" s="1"/>
  <c r="S935" i="4"/>
  <c r="N936" i="4"/>
  <c r="O936" i="4"/>
  <c r="P936" i="4" s="1"/>
  <c r="S936" i="4"/>
  <c r="N937" i="4"/>
  <c r="O937" i="4"/>
  <c r="P937" i="4" s="1"/>
  <c r="S937" i="4"/>
  <c r="N938" i="4"/>
  <c r="O938" i="4"/>
  <c r="P938" i="4" s="1"/>
  <c r="S938" i="4"/>
  <c r="N939" i="4"/>
  <c r="O939" i="4"/>
  <c r="P939" i="4" s="1"/>
  <c r="Q939" i="4" s="1"/>
  <c r="S939" i="4"/>
  <c r="N940" i="4"/>
  <c r="O940" i="4"/>
  <c r="P940" i="4" s="1"/>
  <c r="S940" i="4"/>
  <c r="N941" i="4"/>
  <c r="O941" i="4"/>
  <c r="P941" i="4" s="1"/>
  <c r="Q941" i="4" s="1"/>
  <c r="S941" i="4"/>
  <c r="N942" i="4"/>
  <c r="O942" i="4"/>
  <c r="P942" i="4" s="1"/>
  <c r="S942" i="4"/>
  <c r="N943" i="4"/>
  <c r="O943" i="4"/>
  <c r="P943" i="4" s="1"/>
  <c r="S943" i="4"/>
  <c r="N944" i="4"/>
  <c r="O944" i="4"/>
  <c r="P944" i="4" s="1"/>
  <c r="S944" i="4"/>
  <c r="N945" i="4"/>
  <c r="O945" i="4"/>
  <c r="P945" i="4" s="1"/>
  <c r="S945" i="4"/>
  <c r="N946" i="4"/>
  <c r="O946" i="4"/>
  <c r="P946" i="4" s="1"/>
  <c r="S946" i="4"/>
  <c r="N947" i="4"/>
  <c r="O947" i="4"/>
  <c r="P947" i="4" s="1"/>
  <c r="S947" i="4"/>
  <c r="N948" i="4"/>
  <c r="O948" i="4"/>
  <c r="P948" i="4" s="1"/>
  <c r="S948" i="4"/>
  <c r="N949" i="4"/>
  <c r="O949" i="4"/>
  <c r="P949" i="4" s="1"/>
  <c r="Q949" i="4" s="1"/>
  <c r="S949" i="4"/>
  <c r="N950" i="4"/>
  <c r="O950" i="4"/>
  <c r="P950" i="4" s="1"/>
  <c r="S950" i="4"/>
  <c r="N951" i="4"/>
  <c r="O951" i="4"/>
  <c r="P951" i="4" s="1"/>
  <c r="S951" i="4"/>
  <c r="N952" i="4"/>
  <c r="O952" i="4"/>
  <c r="P952" i="4" s="1"/>
  <c r="Q952" i="4" s="1"/>
  <c r="S952" i="4"/>
  <c r="N953" i="4"/>
  <c r="O953" i="4"/>
  <c r="P953" i="4" s="1"/>
  <c r="S953" i="4"/>
  <c r="N954" i="4"/>
  <c r="O954" i="4"/>
  <c r="P954" i="4"/>
  <c r="S954" i="4"/>
  <c r="N955" i="4"/>
  <c r="O955" i="4"/>
  <c r="P955" i="4" s="1"/>
  <c r="Q955" i="4" s="1"/>
  <c r="S955" i="4"/>
  <c r="N956" i="4"/>
  <c r="O956" i="4"/>
  <c r="P956" i="4" s="1"/>
  <c r="S956" i="4"/>
  <c r="N957" i="4"/>
  <c r="O957" i="4"/>
  <c r="P957" i="4" s="1"/>
  <c r="Q957" i="4" s="1"/>
  <c r="S957" i="4"/>
  <c r="N958" i="4"/>
  <c r="O958" i="4"/>
  <c r="P958" i="4" s="1"/>
  <c r="S958" i="4"/>
  <c r="N959" i="4"/>
  <c r="O959" i="4"/>
  <c r="P959" i="4" s="1"/>
  <c r="S959" i="4"/>
  <c r="N960" i="4"/>
  <c r="O960" i="4"/>
  <c r="P960" i="4" s="1"/>
  <c r="S960" i="4"/>
  <c r="N961" i="4"/>
  <c r="O961" i="4"/>
  <c r="P961" i="4" s="1"/>
  <c r="S961" i="4"/>
  <c r="N962" i="4"/>
  <c r="O962" i="4"/>
  <c r="P962" i="4" s="1"/>
  <c r="S962" i="4"/>
  <c r="N963" i="4"/>
  <c r="O963" i="4"/>
  <c r="P963" i="4"/>
  <c r="Q963" i="4" s="1"/>
  <c r="S963" i="4"/>
  <c r="N964" i="4"/>
  <c r="O964" i="4"/>
  <c r="P964" i="4" s="1"/>
  <c r="Q964" i="4"/>
  <c r="S964" i="4"/>
  <c r="N965" i="4"/>
  <c r="O965" i="4"/>
  <c r="P965" i="4" s="1"/>
  <c r="Q965" i="4" s="1"/>
  <c r="S965" i="4"/>
  <c r="N966" i="4"/>
  <c r="O966" i="4"/>
  <c r="P966" i="4" s="1"/>
  <c r="S966" i="4"/>
  <c r="N967" i="4"/>
  <c r="O967" i="4"/>
  <c r="P967" i="4" s="1"/>
  <c r="S967" i="4"/>
  <c r="N968" i="4"/>
  <c r="O968" i="4"/>
  <c r="P968" i="4"/>
  <c r="S968" i="4"/>
  <c r="N969" i="4"/>
  <c r="O969" i="4"/>
  <c r="P969" i="4" s="1"/>
  <c r="S969" i="4"/>
  <c r="N970" i="4"/>
  <c r="O970" i="4"/>
  <c r="P970" i="4" s="1"/>
  <c r="Q970" i="4" s="1"/>
  <c r="S970" i="4"/>
  <c r="N971" i="4"/>
  <c r="O971" i="4"/>
  <c r="P971" i="4" s="1"/>
  <c r="Q971" i="4" s="1"/>
  <c r="S971" i="4"/>
  <c r="N972" i="4"/>
  <c r="O972" i="4"/>
  <c r="P972" i="4" s="1"/>
  <c r="S972" i="4"/>
  <c r="N973" i="4"/>
  <c r="O973" i="4"/>
  <c r="P973" i="4" s="1"/>
  <c r="Q973" i="4" s="1"/>
  <c r="S973" i="4"/>
  <c r="N974" i="4"/>
  <c r="O974" i="4"/>
  <c r="P974" i="4" s="1"/>
  <c r="S974" i="4"/>
  <c r="N975" i="4"/>
  <c r="O975" i="4"/>
  <c r="P975" i="4" s="1"/>
  <c r="S975" i="4"/>
  <c r="N976" i="4"/>
  <c r="O976" i="4"/>
  <c r="P976" i="4" s="1"/>
  <c r="Q976" i="4" s="1"/>
  <c r="S976" i="4"/>
  <c r="N977" i="4"/>
  <c r="O977" i="4"/>
  <c r="P977" i="4" s="1"/>
  <c r="S977" i="4"/>
  <c r="N978" i="4"/>
  <c r="O978" i="4"/>
  <c r="P978" i="4" s="1"/>
  <c r="S978" i="4"/>
  <c r="N979" i="4"/>
  <c r="O979" i="4"/>
  <c r="P979" i="4" s="1"/>
  <c r="Q979" i="4" s="1"/>
  <c r="S979" i="4"/>
  <c r="N980" i="4"/>
  <c r="O980" i="4"/>
  <c r="P980" i="4" s="1"/>
  <c r="S980" i="4"/>
  <c r="N981" i="4"/>
  <c r="O981" i="4"/>
  <c r="P981" i="4" s="1"/>
  <c r="S981" i="4"/>
  <c r="N982" i="4"/>
  <c r="O982" i="4"/>
  <c r="P982" i="4" s="1"/>
  <c r="S982" i="4"/>
  <c r="N983" i="4"/>
  <c r="O983" i="4"/>
  <c r="P983" i="4" s="1"/>
  <c r="S983" i="4"/>
  <c r="N984" i="4"/>
  <c r="O984" i="4"/>
  <c r="P984" i="4" s="1"/>
  <c r="S984" i="4"/>
  <c r="N985" i="4"/>
  <c r="O985" i="4"/>
  <c r="P985" i="4" s="1"/>
  <c r="S985" i="4"/>
  <c r="N986" i="4"/>
  <c r="O986" i="4"/>
  <c r="P986" i="4" s="1"/>
  <c r="S986" i="4"/>
  <c r="N987" i="4"/>
  <c r="O987" i="4"/>
  <c r="P987" i="4" s="1"/>
  <c r="Q987" i="4" s="1"/>
  <c r="S987" i="4"/>
  <c r="N988" i="4"/>
  <c r="O988" i="4"/>
  <c r="P988" i="4" s="1"/>
  <c r="S988" i="4"/>
  <c r="N989" i="4"/>
  <c r="O989" i="4"/>
  <c r="P989" i="4" s="1"/>
  <c r="S989" i="4"/>
  <c r="N990" i="4"/>
  <c r="O990" i="4"/>
  <c r="P990" i="4" s="1"/>
  <c r="Q990" i="4" s="1"/>
  <c r="S990" i="4"/>
  <c r="N991" i="4"/>
  <c r="O991" i="4"/>
  <c r="P991" i="4" s="1"/>
  <c r="S991" i="4"/>
  <c r="N992" i="4"/>
  <c r="O992" i="4"/>
  <c r="P992" i="4" s="1"/>
  <c r="S992" i="4"/>
  <c r="N993" i="4"/>
  <c r="O993" i="4"/>
  <c r="P993" i="4" s="1"/>
  <c r="S993" i="4"/>
  <c r="N994" i="4"/>
  <c r="O994" i="4"/>
  <c r="P994" i="4" s="1"/>
  <c r="S994" i="4"/>
  <c r="N995" i="4"/>
  <c r="O995" i="4"/>
  <c r="P995" i="4" s="1"/>
  <c r="Q995" i="4" s="1"/>
  <c r="S995" i="4"/>
  <c r="N996" i="4"/>
  <c r="O996" i="4"/>
  <c r="P996" i="4" s="1"/>
  <c r="S996" i="4"/>
  <c r="N997" i="4"/>
  <c r="O997" i="4"/>
  <c r="P997" i="4" s="1"/>
  <c r="S997" i="4"/>
  <c r="N998" i="4"/>
  <c r="O998" i="4"/>
  <c r="P998" i="4" s="1"/>
  <c r="S998" i="4"/>
  <c r="N999" i="4"/>
  <c r="O999" i="4"/>
  <c r="P999" i="4" s="1"/>
  <c r="S999" i="4"/>
  <c r="N1000" i="4"/>
  <c r="O1000" i="4"/>
  <c r="P1000" i="4" s="1"/>
  <c r="S1000" i="4"/>
  <c r="N1001" i="4"/>
  <c r="O1001" i="4"/>
  <c r="P1001" i="4" s="1"/>
  <c r="S1001" i="4"/>
  <c r="N1002" i="4"/>
  <c r="O1002" i="4"/>
  <c r="P1002" i="4" s="1"/>
  <c r="S1002" i="4"/>
  <c r="N1003" i="4"/>
  <c r="O1003" i="4"/>
  <c r="P1003" i="4" s="1"/>
  <c r="Q1003" i="4" s="1"/>
  <c r="S1003" i="4"/>
  <c r="N1004" i="4"/>
  <c r="O1004" i="4"/>
  <c r="P1004" i="4" s="1"/>
  <c r="Q1004" i="4" s="1"/>
  <c r="S1004" i="4"/>
  <c r="N1005" i="4"/>
  <c r="O1005" i="4"/>
  <c r="P1005" i="4" s="1"/>
  <c r="S1005" i="4"/>
  <c r="N1006" i="4"/>
  <c r="O1006" i="4"/>
  <c r="P1006" i="4" s="1"/>
  <c r="S1006" i="4"/>
  <c r="N1007" i="4"/>
  <c r="O1007" i="4"/>
  <c r="P1007" i="4" s="1"/>
  <c r="Q1007" i="4" s="1"/>
  <c r="S1007" i="4"/>
  <c r="N1008" i="4"/>
  <c r="O1008" i="4"/>
  <c r="P1008" i="4" s="1"/>
  <c r="S1008" i="4"/>
  <c r="N1009" i="4"/>
  <c r="O1009" i="4"/>
  <c r="P1009" i="4" s="1"/>
  <c r="Q1009" i="4" s="1"/>
  <c r="S1009" i="4"/>
  <c r="N1010" i="4"/>
  <c r="O1010" i="4"/>
  <c r="P1010" i="4" s="1"/>
  <c r="S1010" i="4"/>
  <c r="N1011" i="4"/>
  <c r="O1011" i="4"/>
  <c r="P1011" i="4" s="1"/>
  <c r="S1011" i="4"/>
  <c r="N1012" i="4"/>
  <c r="O1012" i="4"/>
  <c r="P1012" i="4" s="1"/>
  <c r="S1012" i="4"/>
  <c r="N1013" i="4"/>
  <c r="O1013" i="4"/>
  <c r="P1013" i="4" s="1"/>
  <c r="S1013" i="4"/>
  <c r="N1014" i="4"/>
  <c r="O1014" i="4"/>
  <c r="P1014" i="4" s="1"/>
  <c r="S1014" i="4"/>
  <c r="N1015" i="4"/>
  <c r="O1015" i="4"/>
  <c r="P1015" i="4" s="1"/>
  <c r="S1015" i="4"/>
  <c r="N1016" i="4"/>
  <c r="O1016" i="4"/>
  <c r="P1016" i="4" s="1"/>
  <c r="S1016" i="4"/>
  <c r="N1017" i="4"/>
  <c r="O1017" i="4"/>
  <c r="P1017" i="4" s="1"/>
  <c r="S1017" i="4"/>
  <c r="N1018" i="4"/>
  <c r="O1018" i="4"/>
  <c r="P1018" i="4" s="1"/>
  <c r="S1018" i="4"/>
  <c r="N1019" i="4"/>
  <c r="O1019" i="4"/>
  <c r="P1019" i="4" s="1"/>
  <c r="Q1019" i="4" s="1"/>
  <c r="S1019" i="4"/>
  <c r="N1020" i="4"/>
  <c r="O1020" i="4"/>
  <c r="P1020" i="4" s="1"/>
  <c r="Q1020" i="4" s="1"/>
  <c r="S1020" i="4"/>
  <c r="N1021" i="4"/>
  <c r="O1021" i="4"/>
  <c r="P1021" i="4" s="1"/>
  <c r="Q1021" i="4" s="1"/>
  <c r="S1021" i="4"/>
  <c r="N1022" i="4"/>
  <c r="O1022" i="4"/>
  <c r="P1022" i="4" s="1"/>
  <c r="S1022" i="4"/>
  <c r="N1023" i="4"/>
  <c r="O1023" i="4"/>
  <c r="P1023" i="4" s="1"/>
  <c r="S1023" i="4"/>
  <c r="N1024" i="4"/>
  <c r="O1024" i="4"/>
  <c r="P1024" i="4" s="1"/>
  <c r="S1024" i="4"/>
  <c r="N1025" i="4"/>
  <c r="O1025" i="4"/>
  <c r="P1025" i="4" s="1"/>
  <c r="S1025" i="4"/>
  <c r="N1026" i="4"/>
  <c r="O1026" i="4"/>
  <c r="P1026" i="4"/>
  <c r="S1026" i="4"/>
  <c r="N1027" i="4"/>
  <c r="O1027" i="4"/>
  <c r="P1027" i="4" s="1"/>
  <c r="Q1027" i="4" s="1"/>
  <c r="S1027" i="4"/>
  <c r="N1028" i="4"/>
  <c r="O1028" i="4"/>
  <c r="P1028" i="4" s="1"/>
  <c r="Q1028" i="4" s="1"/>
  <c r="S1028" i="4"/>
  <c r="N1029" i="4"/>
  <c r="O1029" i="4"/>
  <c r="P1029" i="4" s="1"/>
  <c r="Q1029" i="4" s="1"/>
  <c r="S1029" i="4"/>
  <c r="N1030" i="4"/>
  <c r="O1030" i="4"/>
  <c r="P1030" i="4" s="1"/>
  <c r="S1030" i="4"/>
  <c r="N1031" i="4"/>
  <c r="O1031" i="4"/>
  <c r="P1031" i="4" s="1"/>
  <c r="S1031" i="4"/>
  <c r="N1032" i="4"/>
  <c r="O1032" i="4"/>
  <c r="P1032" i="4" s="1"/>
  <c r="S1032" i="4"/>
  <c r="N1033" i="4"/>
  <c r="O1033" i="4"/>
  <c r="P1033" i="4" s="1"/>
  <c r="S1033" i="4"/>
  <c r="N1034" i="4"/>
  <c r="O1034" i="4"/>
  <c r="P1034" i="4" s="1"/>
  <c r="Q1034" i="4" s="1"/>
  <c r="S1034" i="4"/>
  <c r="N1035" i="4"/>
  <c r="O1035" i="4"/>
  <c r="P1035" i="4" s="1"/>
  <c r="Q1035" i="4" s="1"/>
  <c r="S1035" i="4"/>
  <c r="N1036" i="4"/>
  <c r="O1036" i="4"/>
  <c r="P1036" i="4" s="1"/>
  <c r="S1036" i="4"/>
  <c r="N1037" i="4"/>
  <c r="O1037" i="4"/>
  <c r="P1037" i="4" s="1"/>
  <c r="S1037" i="4"/>
  <c r="N1038" i="4"/>
  <c r="O1038" i="4"/>
  <c r="P1038" i="4" s="1"/>
  <c r="Q1038" i="4" s="1"/>
  <c r="S1038" i="4"/>
  <c r="N1039" i="4"/>
  <c r="O1039" i="4"/>
  <c r="P1039" i="4" s="1"/>
  <c r="S1039" i="4"/>
  <c r="N1040" i="4"/>
  <c r="O1040" i="4"/>
  <c r="P1040" i="4" s="1"/>
  <c r="S1040" i="4"/>
  <c r="N1041" i="4"/>
  <c r="O1041" i="4"/>
  <c r="P1041" i="4" s="1"/>
  <c r="S1041" i="4"/>
  <c r="N1042" i="4"/>
  <c r="O1042" i="4"/>
  <c r="P1042" i="4" s="1"/>
  <c r="S1042" i="4"/>
  <c r="N1043" i="4"/>
  <c r="O1043" i="4"/>
  <c r="P1043" i="4" s="1"/>
  <c r="S1043" i="4"/>
  <c r="N1044" i="4"/>
  <c r="O1044" i="4"/>
  <c r="P1044" i="4" s="1"/>
  <c r="S1044" i="4"/>
  <c r="N1045" i="4"/>
  <c r="O1045" i="4"/>
  <c r="P1045" i="4" s="1"/>
  <c r="S1045" i="4"/>
  <c r="N1046" i="4"/>
  <c r="O1046" i="4"/>
  <c r="P1046" i="4" s="1"/>
  <c r="S1046" i="4"/>
  <c r="N1047" i="4"/>
  <c r="O1047" i="4"/>
  <c r="P1047" i="4" s="1"/>
  <c r="S1047" i="4"/>
  <c r="N1048" i="4"/>
  <c r="O1048" i="4"/>
  <c r="P1048" i="4" s="1"/>
  <c r="S1048" i="4"/>
  <c r="N1049" i="4"/>
  <c r="O1049" i="4"/>
  <c r="P1049" i="4" s="1"/>
  <c r="S1049" i="4"/>
  <c r="N1050" i="4"/>
  <c r="O1050" i="4"/>
  <c r="P1050" i="4" s="1"/>
  <c r="S1050" i="4"/>
  <c r="N1051" i="4"/>
  <c r="O1051" i="4"/>
  <c r="P1051" i="4" s="1"/>
  <c r="Q1051" i="4" s="1"/>
  <c r="S1051" i="4"/>
  <c r="N1052" i="4"/>
  <c r="O1052" i="4"/>
  <c r="P1052" i="4" s="1"/>
  <c r="S1052" i="4"/>
  <c r="N1053" i="4"/>
  <c r="O1053" i="4"/>
  <c r="P1053" i="4" s="1"/>
  <c r="S1053" i="4"/>
  <c r="N1054" i="4"/>
  <c r="O1054" i="4"/>
  <c r="P1054" i="4" s="1"/>
  <c r="Q1054" i="4" s="1"/>
  <c r="S1054" i="4"/>
  <c r="N1055" i="4"/>
  <c r="O1055" i="4"/>
  <c r="P1055" i="4" s="1"/>
  <c r="S1055" i="4"/>
  <c r="N1056" i="4"/>
  <c r="O1056" i="4"/>
  <c r="P1056" i="4" s="1"/>
  <c r="S1056" i="4"/>
  <c r="N1057" i="4"/>
  <c r="O1057" i="4"/>
  <c r="P1057" i="4" s="1"/>
  <c r="S1057" i="4"/>
  <c r="N1058" i="4"/>
  <c r="O1058" i="4"/>
  <c r="P1058" i="4" s="1"/>
  <c r="S1058" i="4"/>
  <c r="N1059" i="4"/>
  <c r="O1059" i="4"/>
  <c r="P1059" i="4"/>
  <c r="Q1059" i="4" s="1"/>
  <c r="S1059" i="4"/>
  <c r="N1060" i="4"/>
  <c r="O1060" i="4"/>
  <c r="P1060" i="4" s="1"/>
  <c r="S1060" i="4"/>
  <c r="N1061" i="4"/>
  <c r="O1061" i="4"/>
  <c r="P1061" i="4" s="1"/>
  <c r="S1061" i="4"/>
  <c r="N1062" i="4"/>
  <c r="O1062" i="4"/>
  <c r="P1062" i="4" s="1"/>
  <c r="Q1062" i="4" s="1"/>
  <c r="S1062" i="4"/>
  <c r="N1063" i="4"/>
  <c r="O1063" i="4"/>
  <c r="P1063" i="4" s="1"/>
  <c r="S1063" i="4"/>
  <c r="N1064" i="4"/>
  <c r="O1064" i="4"/>
  <c r="P1064" i="4" s="1"/>
  <c r="S1064" i="4"/>
  <c r="N1065" i="4"/>
  <c r="O1065" i="4"/>
  <c r="P1065" i="4" s="1"/>
  <c r="Q1065" i="4" s="1"/>
  <c r="S1065" i="4"/>
  <c r="N1066" i="4"/>
  <c r="O1066" i="4"/>
  <c r="P1066" i="4" s="1"/>
  <c r="S1066" i="4"/>
  <c r="N1067" i="4"/>
  <c r="O1067" i="4"/>
  <c r="P1067" i="4" s="1"/>
  <c r="Q1067" i="4" s="1"/>
  <c r="S1067" i="4"/>
  <c r="N1068" i="4"/>
  <c r="O1068" i="4"/>
  <c r="P1068" i="4" s="1"/>
  <c r="S1068" i="4"/>
  <c r="N1069" i="4"/>
  <c r="O1069" i="4"/>
  <c r="P1069" i="4" s="1"/>
  <c r="S1069" i="4"/>
  <c r="N1070" i="4"/>
  <c r="O1070" i="4"/>
  <c r="P1070" i="4" s="1"/>
  <c r="S1070" i="4"/>
  <c r="N1071" i="4"/>
  <c r="O1071" i="4"/>
  <c r="P1071" i="4" s="1"/>
  <c r="S1071" i="4"/>
  <c r="N1072" i="4"/>
  <c r="O1072" i="4"/>
  <c r="P1072" i="4" s="1"/>
  <c r="S1072" i="4"/>
  <c r="N1073" i="4"/>
  <c r="O1073" i="4"/>
  <c r="P1073" i="4" s="1"/>
  <c r="S1073" i="4"/>
  <c r="N1074" i="4"/>
  <c r="O1074" i="4"/>
  <c r="P1074" i="4" s="1"/>
  <c r="S1074" i="4"/>
  <c r="N1075" i="4"/>
  <c r="O1075" i="4"/>
  <c r="P1075" i="4" s="1"/>
  <c r="Q1075" i="4" s="1"/>
  <c r="S1075" i="4"/>
  <c r="N1076" i="4"/>
  <c r="O1076" i="4"/>
  <c r="P1076" i="4" s="1"/>
  <c r="S1076" i="4"/>
  <c r="N1077" i="4"/>
  <c r="O1077" i="4"/>
  <c r="P1077" i="4" s="1"/>
  <c r="S1077" i="4"/>
  <c r="N1078" i="4"/>
  <c r="O1078" i="4"/>
  <c r="P1078" i="4" s="1"/>
  <c r="S1078" i="4"/>
  <c r="N1079" i="4"/>
  <c r="O1079" i="4"/>
  <c r="P1079" i="4" s="1"/>
  <c r="S1079" i="4"/>
  <c r="N1080" i="4"/>
  <c r="O1080" i="4"/>
  <c r="P1080" i="4" s="1"/>
  <c r="S1080" i="4"/>
  <c r="N1081" i="4"/>
  <c r="O1081" i="4"/>
  <c r="P1081" i="4" s="1"/>
  <c r="S1081" i="4"/>
  <c r="N1082" i="4"/>
  <c r="O1082" i="4"/>
  <c r="P1082" i="4" s="1"/>
  <c r="S1082" i="4"/>
  <c r="N1083" i="4"/>
  <c r="O1083" i="4"/>
  <c r="P1083" i="4" s="1"/>
  <c r="Q1083" i="4" s="1"/>
  <c r="S1083" i="4"/>
  <c r="N1084" i="4"/>
  <c r="O1084" i="4"/>
  <c r="P1084" i="4" s="1"/>
  <c r="S1084" i="4"/>
  <c r="N1085" i="4"/>
  <c r="O1085" i="4"/>
  <c r="P1085" i="4" s="1"/>
  <c r="S1085" i="4"/>
  <c r="N1086" i="4"/>
  <c r="O1086" i="4"/>
  <c r="P1086" i="4" s="1"/>
  <c r="S1086" i="4"/>
  <c r="N1087" i="4"/>
  <c r="O1087" i="4"/>
  <c r="P1087" i="4" s="1"/>
  <c r="S1087" i="4"/>
  <c r="N1088" i="4"/>
  <c r="O1088" i="4"/>
  <c r="P1088" i="4" s="1"/>
  <c r="S1088" i="4"/>
  <c r="N1089" i="4"/>
  <c r="O1089" i="4"/>
  <c r="P1089" i="4" s="1"/>
  <c r="S1089" i="4"/>
  <c r="N1090" i="4"/>
  <c r="O1090" i="4"/>
  <c r="P1090" i="4" s="1"/>
  <c r="S1090" i="4"/>
  <c r="N1091" i="4"/>
  <c r="O1091" i="4"/>
  <c r="P1091" i="4" s="1"/>
  <c r="Q1091" i="4" s="1"/>
  <c r="S1091" i="4"/>
  <c r="N1092" i="4"/>
  <c r="O1092" i="4"/>
  <c r="P1092" i="4" s="1"/>
  <c r="S1092" i="4"/>
  <c r="N1093" i="4"/>
  <c r="O1093" i="4"/>
  <c r="P1093" i="4" s="1"/>
  <c r="S1093" i="4"/>
  <c r="N1094" i="4"/>
  <c r="O1094" i="4"/>
  <c r="P1094" i="4" s="1"/>
  <c r="S1094" i="4"/>
  <c r="N1095" i="4"/>
  <c r="O1095" i="4"/>
  <c r="P1095" i="4" s="1"/>
  <c r="S1095" i="4"/>
  <c r="N1096" i="4"/>
  <c r="O1096" i="4"/>
  <c r="P1096" i="4" s="1"/>
  <c r="S1096" i="4"/>
  <c r="N1097" i="4"/>
  <c r="O1097" i="4"/>
  <c r="P1097" i="4" s="1"/>
  <c r="S1097" i="4"/>
  <c r="N1098" i="4"/>
  <c r="O1098" i="4"/>
  <c r="P1098" i="4" s="1"/>
  <c r="S1098" i="4"/>
  <c r="N1099" i="4"/>
  <c r="O1099" i="4"/>
  <c r="P1099" i="4" s="1"/>
  <c r="Q1099" i="4" s="1"/>
  <c r="S1099" i="4"/>
  <c r="N1100" i="4"/>
  <c r="O1100" i="4"/>
  <c r="P1100" i="4" s="1"/>
  <c r="S1100" i="4"/>
  <c r="N1101" i="4"/>
  <c r="O1101" i="4"/>
  <c r="P1101" i="4" s="1"/>
  <c r="S1101" i="4"/>
  <c r="N1102" i="4"/>
  <c r="O1102" i="4"/>
  <c r="P1102" i="4" s="1"/>
  <c r="S1102" i="4"/>
  <c r="N1103" i="4"/>
  <c r="O1103" i="4"/>
  <c r="P1103" i="4" s="1"/>
  <c r="S1103" i="4"/>
  <c r="N1104" i="4"/>
  <c r="O1104" i="4"/>
  <c r="P1104" i="4" s="1"/>
  <c r="S1104" i="4"/>
  <c r="N1105" i="4"/>
  <c r="O1105" i="4"/>
  <c r="P1105" i="4" s="1"/>
  <c r="S1105" i="4"/>
  <c r="N1106" i="4"/>
  <c r="O1106" i="4"/>
  <c r="P1106" i="4" s="1"/>
  <c r="S1106" i="4"/>
  <c r="N1107" i="4"/>
  <c r="O1107" i="4"/>
  <c r="P1107" i="4" s="1"/>
  <c r="Q1107" i="4" s="1"/>
  <c r="S1107" i="4"/>
  <c r="N1108" i="4"/>
  <c r="O1108" i="4"/>
  <c r="P1108" i="4" s="1"/>
  <c r="S1108" i="4"/>
  <c r="N1109" i="4"/>
  <c r="O1109" i="4"/>
  <c r="P1109" i="4" s="1"/>
  <c r="S1109" i="4"/>
  <c r="N1110" i="4"/>
  <c r="O1110" i="4"/>
  <c r="P1110" i="4" s="1"/>
  <c r="S1110" i="4"/>
  <c r="N1111" i="4"/>
  <c r="O1111" i="4"/>
  <c r="P1111" i="4" s="1"/>
  <c r="S1111" i="4"/>
  <c r="N1112" i="4"/>
  <c r="O1112" i="4"/>
  <c r="P1112" i="4" s="1"/>
  <c r="S1112" i="4"/>
  <c r="N1113" i="4"/>
  <c r="O1113" i="4"/>
  <c r="P1113" i="4" s="1"/>
  <c r="S1113" i="4"/>
  <c r="N1114" i="4"/>
  <c r="O1114" i="4"/>
  <c r="P1114" i="4" s="1"/>
  <c r="S1114" i="4"/>
  <c r="N1115" i="4"/>
  <c r="O1115" i="4"/>
  <c r="P1115" i="4" s="1"/>
  <c r="Q1115" i="4" s="1"/>
  <c r="S1115" i="4"/>
  <c r="N1116" i="4"/>
  <c r="O1116" i="4"/>
  <c r="P1116" i="4" s="1"/>
  <c r="S1116" i="4"/>
  <c r="N1117" i="4"/>
  <c r="O1117" i="4"/>
  <c r="P1117" i="4" s="1"/>
  <c r="S1117" i="4"/>
  <c r="N1118" i="4"/>
  <c r="O1118" i="4"/>
  <c r="P1118" i="4" s="1"/>
  <c r="Q1118" i="4" s="1"/>
  <c r="S1118" i="4"/>
  <c r="N1119" i="4"/>
  <c r="O1119" i="4"/>
  <c r="P1119" i="4" s="1"/>
  <c r="S1119" i="4"/>
  <c r="N1120" i="4"/>
  <c r="O1120" i="4"/>
  <c r="P1120" i="4" s="1"/>
  <c r="S1120" i="4"/>
  <c r="N1121" i="4"/>
  <c r="O1121" i="4"/>
  <c r="P1121" i="4" s="1"/>
  <c r="S1121" i="4"/>
  <c r="N1122" i="4"/>
  <c r="O1122" i="4"/>
  <c r="P1122" i="4" s="1"/>
  <c r="S1122" i="4"/>
  <c r="N1123" i="4"/>
  <c r="O1123" i="4"/>
  <c r="P1123" i="4"/>
  <c r="Q1123" i="4" s="1"/>
  <c r="S1123" i="4"/>
  <c r="N1124" i="4"/>
  <c r="O1124" i="4"/>
  <c r="P1124" i="4" s="1"/>
  <c r="S1124" i="4"/>
  <c r="N1125" i="4"/>
  <c r="O1125" i="4"/>
  <c r="P1125" i="4" s="1"/>
  <c r="S1125" i="4"/>
  <c r="N1126" i="4"/>
  <c r="O1126" i="4"/>
  <c r="P1126" i="4" s="1"/>
  <c r="S1126" i="4"/>
  <c r="N1127" i="4"/>
  <c r="O1127" i="4"/>
  <c r="P1127" i="4" s="1"/>
  <c r="S1127" i="4"/>
  <c r="N1128" i="4"/>
  <c r="O1128" i="4"/>
  <c r="P1128" i="4" s="1"/>
  <c r="S1128" i="4"/>
  <c r="N1129" i="4"/>
  <c r="O1129" i="4"/>
  <c r="P1129" i="4" s="1"/>
  <c r="S1129" i="4"/>
  <c r="N1130" i="4"/>
  <c r="O1130" i="4"/>
  <c r="P1130" i="4" s="1"/>
  <c r="S1130" i="4"/>
  <c r="N1131" i="4"/>
  <c r="O1131" i="4"/>
  <c r="P1131" i="4" s="1"/>
  <c r="Q1131" i="4" s="1"/>
  <c r="S1131" i="4"/>
  <c r="N1132" i="4"/>
  <c r="O1132" i="4"/>
  <c r="P1132" i="4" s="1"/>
  <c r="S1132" i="4"/>
  <c r="N1133" i="4"/>
  <c r="O1133" i="4"/>
  <c r="P1133" i="4" s="1"/>
  <c r="Q1133" i="4"/>
  <c r="S1133" i="4"/>
  <c r="N1134" i="4"/>
  <c r="O1134" i="4"/>
  <c r="P1134" i="4" s="1"/>
  <c r="S1134" i="4"/>
  <c r="N1135" i="4"/>
  <c r="O1135" i="4"/>
  <c r="P1135" i="4" s="1"/>
  <c r="S1135" i="4"/>
  <c r="N1136" i="4"/>
  <c r="O1136" i="4"/>
  <c r="P1136" i="4" s="1"/>
  <c r="S1136" i="4"/>
  <c r="N1137" i="4"/>
  <c r="O1137" i="4"/>
  <c r="P1137" i="4" s="1"/>
  <c r="S1137" i="4"/>
  <c r="N1138" i="4"/>
  <c r="O1138" i="4"/>
  <c r="P1138" i="4" s="1"/>
  <c r="Q1138" i="4" s="1"/>
  <c r="S1138" i="4"/>
  <c r="N1139" i="4"/>
  <c r="O1139" i="4"/>
  <c r="P1139" i="4" s="1"/>
  <c r="Q1139" i="4" s="1"/>
  <c r="S1139" i="4"/>
  <c r="N1140" i="4"/>
  <c r="O1140" i="4"/>
  <c r="P1140" i="4" s="1"/>
  <c r="S1140" i="4"/>
  <c r="N1141" i="4"/>
  <c r="O1141" i="4"/>
  <c r="P1141" i="4" s="1"/>
  <c r="S1141" i="4"/>
  <c r="N1142" i="4"/>
  <c r="O1142" i="4"/>
  <c r="P1142" i="4" s="1"/>
  <c r="S1142" i="4"/>
  <c r="N1143" i="4"/>
  <c r="O1143" i="4"/>
  <c r="P1143" i="4" s="1"/>
  <c r="S1143" i="4"/>
  <c r="N1144" i="4"/>
  <c r="O1144" i="4"/>
  <c r="P1144" i="4" s="1"/>
  <c r="S1144" i="4"/>
  <c r="N1145" i="4"/>
  <c r="O1145" i="4"/>
  <c r="P1145" i="4" s="1"/>
  <c r="S1145" i="4"/>
  <c r="N1146" i="4"/>
  <c r="O1146" i="4"/>
  <c r="P1146" i="4" s="1"/>
  <c r="S1146" i="4"/>
  <c r="N1147" i="4"/>
  <c r="O1147" i="4"/>
  <c r="P1147" i="4" s="1"/>
  <c r="S1147" i="4"/>
  <c r="N1148" i="4"/>
  <c r="O1148" i="4"/>
  <c r="P1148" i="4" s="1"/>
  <c r="S1148" i="4"/>
  <c r="N1149" i="4"/>
  <c r="O1149" i="4"/>
  <c r="P1149" i="4" s="1"/>
  <c r="S1149" i="4"/>
  <c r="N1150" i="4"/>
  <c r="O1150" i="4"/>
  <c r="P1150" i="4" s="1"/>
  <c r="S1150" i="4"/>
  <c r="N1151" i="4"/>
  <c r="O1151" i="4"/>
  <c r="P1151" i="4" s="1"/>
  <c r="S1151" i="4"/>
  <c r="N1152" i="4"/>
  <c r="O1152" i="4"/>
  <c r="P1152" i="4" s="1"/>
  <c r="S1152" i="4"/>
  <c r="N1153" i="4"/>
  <c r="O1153" i="4"/>
  <c r="P1153" i="4" s="1"/>
  <c r="S1153" i="4"/>
  <c r="N1154" i="4"/>
  <c r="O1154" i="4"/>
  <c r="P1154" i="4" s="1"/>
  <c r="S1154" i="4"/>
  <c r="N1155" i="4"/>
  <c r="O1155" i="4"/>
  <c r="P1155" i="4" s="1"/>
  <c r="Q1155" i="4" s="1"/>
  <c r="S1155" i="4"/>
  <c r="N1156" i="4"/>
  <c r="O1156" i="4"/>
  <c r="P1156" i="4" s="1"/>
  <c r="S1156" i="4"/>
  <c r="N1157" i="4"/>
  <c r="O1157" i="4"/>
  <c r="P1157" i="4" s="1"/>
  <c r="Q1157" i="4" s="1"/>
  <c r="S1157" i="4"/>
  <c r="N1158" i="4"/>
  <c r="O1158" i="4"/>
  <c r="P1158" i="4" s="1"/>
  <c r="S1158" i="4"/>
  <c r="N1159" i="4"/>
  <c r="O1159" i="4"/>
  <c r="P1159" i="4" s="1"/>
  <c r="Q1159" i="4" s="1"/>
  <c r="S1159" i="4"/>
  <c r="N1160" i="4"/>
  <c r="O1160" i="4"/>
  <c r="P1160" i="4" s="1"/>
  <c r="S1160" i="4"/>
  <c r="N1161" i="4"/>
  <c r="O1161" i="4"/>
  <c r="P1161" i="4" s="1"/>
  <c r="S1161" i="4"/>
  <c r="N1162" i="4"/>
  <c r="O1162" i="4"/>
  <c r="P1162" i="4" s="1"/>
  <c r="S1162" i="4"/>
  <c r="N1163" i="4"/>
  <c r="O1163" i="4"/>
  <c r="P1163" i="4" s="1"/>
  <c r="Q1163" i="4"/>
  <c r="S1163" i="4"/>
  <c r="N1164" i="4"/>
  <c r="O1164" i="4"/>
  <c r="P1164" i="4" s="1"/>
  <c r="S1164" i="4"/>
  <c r="N1165" i="4"/>
  <c r="O1165" i="4"/>
  <c r="P1165" i="4" s="1"/>
  <c r="Q1165" i="4" s="1"/>
  <c r="S1165" i="4"/>
  <c r="N1166" i="4"/>
  <c r="O1166" i="4"/>
  <c r="P1166" i="4" s="1"/>
  <c r="Q1166" i="4" s="1"/>
  <c r="S1166" i="4"/>
  <c r="N1167" i="4"/>
  <c r="O1167" i="4"/>
  <c r="P1167" i="4" s="1"/>
  <c r="S1167" i="4"/>
  <c r="N1168" i="4"/>
  <c r="O1168" i="4"/>
  <c r="P1168" i="4"/>
  <c r="S1168" i="4"/>
  <c r="N1169" i="4"/>
  <c r="O1169" i="4"/>
  <c r="P1169" i="4" s="1"/>
  <c r="S1169" i="4"/>
  <c r="N1170" i="4"/>
  <c r="O1170" i="4"/>
  <c r="P1170" i="4" s="1"/>
  <c r="S1170" i="4"/>
  <c r="N1171" i="4"/>
  <c r="O1171" i="4"/>
  <c r="P1171" i="4" s="1"/>
  <c r="Q1171" i="4" s="1"/>
  <c r="S1171" i="4"/>
  <c r="N1172" i="4"/>
  <c r="O1172" i="4"/>
  <c r="P1172" i="4" s="1"/>
  <c r="S1172" i="4"/>
  <c r="N1173" i="4"/>
  <c r="O1173" i="4"/>
  <c r="P1173" i="4" s="1"/>
  <c r="Q1173" i="4" s="1"/>
  <c r="S1173" i="4"/>
  <c r="N1174" i="4"/>
  <c r="O1174" i="4"/>
  <c r="P1174" i="4" s="1"/>
  <c r="Q1174" i="4" s="1"/>
  <c r="S1174" i="4"/>
  <c r="N1175" i="4"/>
  <c r="O1175" i="4"/>
  <c r="P1175" i="4" s="1"/>
  <c r="S1175" i="4"/>
  <c r="N1176" i="4"/>
  <c r="O1176" i="4"/>
  <c r="P1176" i="4" s="1"/>
  <c r="S1176" i="4"/>
  <c r="N1177" i="4"/>
  <c r="O1177" i="4"/>
  <c r="P1177" i="4" s="1"/>
  <c r="S1177" i="4"/>
  <c r="N1178" i="4"/>
  <c r="O1178" i="4"/>
  <c r="P1178" i="4" s="1"/>
  <c r="Q1178" i="4" s="1"/>
  <c r="S1178" i="4"/>
  <c r="N1179" i="4"/>
  <c r="O1179" i="4"/>
  <c r="P1179" i="4" s="1"/>
  <c r="Q1179" i="4" s="1"/>
  <c r="S1179" i="4"/>
  <c r="N1180" i="4"/>
  <c r="O1180" i="4"/>
  <c r="P1180" i="4" s="1"/>
  <c r="S1180" i="4"/>
  <c r="N1181" i="4"/>
  <c r="O1181" i="4"/>
  <c r="P1181" i="4" s="1"/>
  <c r="S1181" i="4"/>
  <c r="N1182" i="4"/>
  <c r="O1182" i="4"/>
  <c r="P1182" i="4" s="1"/>
  <c r="S1182" i="4"/>
  <c r="N1183" i="4"/>
  <c r="O1183" i="4"/>
  <c r="P1183" i="4" s="1"/>
  <c r="S1183" i="4"/>
  <c r="N1184" i="4"/>
  <c r="O1184" i="4"/>
  <c r="P1184" i="4" s="1"/>
  <c r="S1184" i="4"/>
  <c r="N1185" i="4"/>
  <c r="O1185" i="4"/>
  <c r="P1185" i="4" s="1"/>
  <c r="S1185" i="4"/>
  <c r="N1186" i="4"/>
  <c r="O1186" i="4"/>
  <c r="P1186" i="4" s="1"/>
  <c r="S1186" i="4"/>
  <c r="N1187" i="4"/>
  <c r="O1187" i="4"/>
  <c r="P1187" i="4" s="1"/>
  <c r="S1187" i="4"/>
  <c r="N1188" i="4"/>
  <c r="O1188" i="4"/>
  <c r="P1188" i="4" s="1"/>
  <c r="S1188" i="4"/>
  <c r="N1189" i="4"/>
  <c r="O1189" i="4"/>
  <c r="P1189" i="4" s="1"/>
  <c r="Q1189" i="4" s="1"/>
  <c r="S1189" i="4"/>
  <c r="N1190" i="4"/>
  <c r="O1190" i="4"/>
  <c r="P1190" i="4" s="1"/>
  <c r="Q1190" i="4" s="1"/>
  <c r="S1190" i="4"/>
  <c r="N1191" i="4"/>
  <c r="O1191" i="4"/>
  <c r="P1191" i="4" s="1"/>
  <c r="S1191" i="4"/>
  <c r="N1192" i="4"/>
  <c r="O1192" i="4"/>
  <c r="P1192" i="4" s="1"/>
  <c r="S1192" i="4"/>
  <c r="N1193" i="4"/>
  <c r="O1193" i="4"/>
  <c r="P1193" i="4" s="1"/>
  <c r="S1193" i="4"/>
  <c r="N1194" i="4"/>
  <c r="O1194" i="4"/>
  <c r="P1194" i="4" s="1"/>
  <c r="Q1194" i="4" s="1"/>
  <c r="S1194" i="4"/>
  <c r="N1195" i="4"/>
  <c r="O1195" i="4"/>
  <c r="P1195" i="4" s="1"/>
  <c r="Q1195" i="4" s="1"/>
  <c r="S1195" i="4"/>
  <c r="N1196" i="4"/>
  <c r="O1196" i="4"/>
  <c r="P1196" i="4" s="1"/>
  <c r="S1196" i="4"/>
  <c r="N1197" i="4"/>
  <c r="O1197" i="4"/>
  <c r="P1197" i="4" s="1"/>
  <c r="S1197" i="4"/>
  <c r="N1198" i="4"/>
  <c r="O1198" i="4"/>
  <c r="P1198" i="4" s="1"/>
  <c r="Q1198" i="4" s="1"/>
  <c r="S1198" i="4"/>
  <c r="N1199" i="4"/>
  <c r="O1199" i="4"/>
  <c r="P1199" i="4" s="1"/>
  <c r="S1199" i="4"/>
  <c r="N1200" i="4"/>
  <c r="O1200" i="4"/>
  <c r="P1200" i="4" s="1"/>
  <c r="S1200" i="4"/>
  <c r="N1201" i="4"/>
  <c r="O1201" i="4"/>
  <c r="P1201" i="4" s="1"/>
  <c r="Q1201" i="4" s="1"/>
  <c r="S1201" i="4"/>
  <c r="N1202" i="4"/>
  <c r="O1202" i="4"/>
  <c r="P1202" i="4"/>
  <c r="S1202" i="4"/>
  <c r="N1203" i="4"/>
  <c r="O1203" i="4"/>
  <c r="P1203" i="4" s="1"/>
  <c r="S1203" i="4"/>
  <c r="N1204" i="4"/>
  <c r="O1204" i="4"/>
  <c r="P1204" i="4" s="1"/>
  <c r="S1204" i="4"/>
  <c r="N1205" i="4"/>
  <c r="O1205" i="4"/>
  <c r="P1205" i="4" s="1"/>
  <c r="Q1205" i="4" s="1"/>
  <c r="S1205" i="4"/>
  <c r="N1206" i="4"/>
  <c r="O1206" i="4"/>
  <c r="P1206" i="4" s="1"/>
  <c r="S1206" i="4"/>
  <c r="N1207" i="4"/>
  <c r="O1207" i="4"/>
  <c r="P1207" i="4" s="1"/>
  <c r="S1207" i="4"/>
  <c r="N1208" i="4"/>
  <c r="O1208" i="4"/>
  <c r="P1208" i="4" s="1"/>
  <c r="S1208" i="4"/>
  <c r="N1209" i="4"/>
  <c r="O1209" i="4"/>
  <c r="P1209" i="4" s="1"/>
  <c r="S1209" i="4"/>
  <c r="N1210" i="4"/>
  <c r="O1210" i="4"/>
  <c r="P1210" i="4" s="1"/>
  <c r="S1210" i="4"/>
  <c r="N1211" i="4"/>
  <c r="O1211" i="4"/>
  <c r="P1211" i="4" s="1"/>
  <c r="Q1211" i="4" s="1"/>
  <c r="S1211" i="4"/>
  <c r="N1212" i="4"/>
  <c r="O1212" i="4"/>
  <c r="P1212" i="4" s="1"/>
  <c r="S1212" i="4"/>
  <c r="N1213" i="4"/>
  <c r="O1213" i="4"/>
  <c r="P1213" i="4" s="1"/>
  <c r="S1213" i="4"/>
  <c r="N1214" i="4"/>
  <c r="O1214" i="4"/>
  <c r="P1214" i="4" s="1"/>
  <c r="S1214" i="4"/>
  <c r="N1215" i="4"/>
  <c r="O1215" i="4"/>
  <c r="P1215" i="4" s="1"/>
  <c r="S1215" i="4"/>
  <c r="N1216" i="4"/>
  <c r="O1216" i="4"/>
  <c r="P1216" i="4"/>
  <c r="S1216" i="4"/>
  <c r="N1217" i="4"/>
  <c r="O1217" i="4"/>
  <c r="P1217" i="4" s="1"/>
  <c r="S1217" i="4"/>
  <c r="N1218" i="4"/>
  <c r="O1218" i="4"/>
  <c r="P1218" i="4" s="1"/>
  <c r="S1218" i="4"/>
  <c r="N1219" i="4"/>
  <c r="O1219" i="4"/>
  <c r="P1219" i="4" s="1"/>
  <c r="S1219" i="4"/>
  <c r="N1220" i="4"/>
  <c r="O1220" i="4"/>
  <c r="P1220" i="4" s="1"/>
  <c r="S1220" i="4"/>
  <c r="N1221" i="4"/>
  <c r="O1221" i="4"/>
  <c r="P1221" i="4" s="1"/>
  <c r="Q1221" i="4" s="1"/>
  <c r="S1221" i="4"/>
  <c r="N1222" i="4"/>
  <c r="O1222" i="4"/>
  <c r="P1222" i="4" s="1"/>
  <c r="S1222" i="4"/>
  <c r="N1223" i="4"/>
  <c r="O1223" i="4"/>
  <c r="P1223" i="4" s="1"/>
  <c r="S1223" i="4"/>
  <c r="N1224" i="4"/>
  <c r="O1224" i="4"/>
  <c r="P1224" i="4" s="1"/>
  <c r="S1224" i="4"/>
  <c r="N1225" i="4"/>
  <c r="O1225" i="4"/>
  <c r="P1225" i="4" s="1"/>
  <c r="S1225" i="4"/>
  <c r="N1226" i="4"/>
  <c r="O1226" i="4"/>
  <c r="P1226" i="4" s="1"/>
  <c r="S1226" i="4"/>
  <c r="N1227" i="4"/>
  <c r="O1227" i="4"/>
  <c r="P1227" i="4" s="1"/>
  <c r="Q1227" i="4" s="1"/>
  <c r="S1227" i="4"/>
  <c r="N1228" i="4"/>
  <c r="O1228" i="4"/>
  <c r="P1228" i="4" s="1"/>
  <c r="S1228" i="4"/>
  <c r="N1229" i="4"/>
  <c r="O1229" i="4"/>
  <c r="P1229" i="4" s="1"/>
  <c r="S1229" i="4"/>
  <c r="N1230" i="4"/>
  <c r="O1230" i="4"/>
  <c r="P1230" i="4" s="1"/>
  <c r="S1230" i="4"/>
  <c r="N1231" i="4"/>
  <c r="O1231" i="4"/>
  <c r="P1231" i="4" s="1"/>
  <c r="S1231" i="4"/>
  <c r="N1232" i="4"/>
  <c r="O1232" i="4"/>
  <c r="P1232" i="4" s="1"/>
  <c r="S1232" i="4"/>
  <c r="N1233" i="4"/>
  <c r="O1233" i="4"/>
  <c r="P1233" i="4" s="1"/>
  <c r="S1233" i="4"/>
  <c r="N1234" i="4"/>
  <c r="O1234" i="4"/>
  <c r="P1234" i="4" s="1"/>
  <c r="S1234" i="4"/>
  <c r="N1235" i="4"/>
  <c r="O1235" i="4"/>
  <c r="P1235" i="4" s="1"/>
  <c r="Q1235" i="4" s="1"/>
  <c r="S1235" i="4"/>
  <c r="N1236" i="4"/>
  <c r="O1236" i="4"/>
  <c r="P1236" i="4" s="1"/>
  <c r="S1236" i="4"/>
  <c r="N1237" i="4"/>
  <c r="O1237" i="4"/>
  <c r="P1237" i="4" s="1"/>
  <c r="Q1237" i="4" s="1"/>
  <c r="S1237" i="4"/>
  <c r="N1238" i="4"/>
  <c r="O1238" i="4"/>
  <c r="P1238" i="4" s="1"/>
  <c r="S1238" i="4"/>
  <c r="N1239" i="4"/>
  <c r="O1239" i="4"/>
  <c r="P1239" i="4" s="1"/>
  <c r="S1239" i="4"/>
  <c r="N1240" i="4"/>
  <c r="O1240" i="4"/>
  <c r="P1240" i="4" s="1"/>
  <c r="S1240" i="4"/>
  <c r="N1241" i="4"/>
  <c r="O1241" i="4"/>
  <c r="P1241" i="4" s="1"/>
  <c r="S1241" i="4"/>
  <c r="N1242" i="4"/>
  <c r="O1242" i="4"/>
  <c r="P1242" i="4" s="1"/>
  <c r="S1242" i="4"/>
  <c r="N1243" i="4"/>
  <c r="O1243" i="4"/>
  <c r="P1243" i="4" s="1"/>
  <c r="Q1243" i="4" s="1"/>
  <c r="S1243" i="4"/>
  <c r="N1244" i="4"/>
  <c r="O1244" i="4"/>
  <c r="P1244" i="4" s="1"/>
  <c r="S1244" i="4"/>
  <c r="N1245" i="4"/>
  <c r="O1245" i="4"/>
  <c r="P1245" i="4" s="1"/>
  <c r="Q1245" i="4" s="1"/>
  <c r="S1245" i="4"/>
  <c r="N1246" i="4"/>
  <c r="O1246" i="4"/>
  <c r="P1246" i="4" s="1"/>
  <c r="S1246" i="4"/>
  <c r="N1247" i="4"/>
  <c r="O1247" i="4"/>
  <c r="P1247" i="4" s="1"/>
  <c r="S1247" i="4"/>
  <c r="N1248" i="4"/>
  <c r="O1248" i="4"/>
  <c r="P1248" i="4" s="1"/>
  <c r="S1248" i="4"/>
  <c r="N1249" i="4"/>
  <c r="O1249" i="4"/>
  <c r="P1249" i="4" s="1"/>
  <c r="S1249" i="4"/>
  <c r="N1250" i="4"/>
  <c r="O1250" i="4"/>
  <c r="P1250" i="4" s="1"/>
  <c r="S1250" i="4"/>
  <c r="N1251" i="4"/>
  <c r="O1251" i="4"/>
  <c r="P1251" i="4" s="1"/>
  <c r="Q1251" i="4" s="1"/>
  <c r="S1251" i="4"/>
  <c r="N1252" i="4"/>
  <c r="O1252" i="4"/>
  <c r="P1252" i="4" s="1"/>
  <c r="S1252" i="4"/>
  <c r="N1253" i="4"/>
  <c r="O1253" i="4"/>
  <c r="P1253" i="4" s="1"/>
  <c r="Q1253" i="4" s="1"/>
  <c r="S1253" i="4"/>
  <c r="N1254" i="4"/>
  <c r="O1254" i="4"/>
  <c r="P1254" i="4" s="1"/>
  <c r="S1254" i="4"/>
  <c r="N1255" i="4"/>
  <c r="O1255" i="4"/>
  <c r="P1255" i="4" s="1"/>
  <c r="S1255" i="4"/>
  <c r="N1256" i="4"/>
  <c r="O1256" i="4"/>
  <c r="P1256" i="4" s="1"/>
  <c r="S1256" i="4"/>
  <c r="N1257" i="4"/>
  <c r="O1257" i="4"/>
  <c r="P1257" i="4" s="1"/>
  <c r="S1257" i="4"/>
  <c r="N1258" i="4"/>
  <c r="O1258" i="4"/>
  <c r="P1258" i="4" s="1"/>
  <c r="S1258" i="4"/>
  <c r="N1259" i="4"/>
  <c r="O1259" i="4"/>
  <c r="P1259" i="4" s="1"/>
  <c r="Q1259" i="4" s="1"/>
  <c r="S1259" i="4"/>
  <c r="N1260" i="4"/>
  <c r="O1260" i="4"/>
  <c r="P1260" i="4" s="1"/>
  <c r="S1260" i="4"/>
  <c r="N1261" i="4"/>
  <c r="O1261" i="4"/>
  <c r="P1261" i="4" s="1"/>
  <c r="S1261" i="4"/>
  <c r="N1262" i="4"/>
  <c r="O1262" i="4"/>
  <c r="P1262" i="4" s="1"/>
  <c r="S1262" i="4"/>
  <c r="N1263" i="4"/>
  <c r="O1263" i="4"/>
  <c r="P1263" i="4" s="1"/>
  <c r="Q1263" i="4" s="1"/>
  <c r="S1263" i="4"/>
  <c r="N1264" i="4"/>
  <c r="O1264" i="4"/>
  <c r="P1264" i="4" s="1"/>
  <c r="S1264" i="4"/>
  <c r="N1265" i="4"/>
  <c r="O1265" i="4"/>
  <c r="P1265" i="4" s="1"/>
  <c r="S1265" i="4"/>
  <c r="N1266" i="4"/>
  <c r="O1266" i="4"/>
  <c r="P1266" i="4" s="1"/>
  <c r="S1266" i="4"/>
  <c r="N1267" i="4"/>
  <c r="O1267" i="4"/>
  <c r="P1267" i="4" s="1"/>
  <c r="S1267" i="4"/>
  <c r="N1268" i="4"/>
  <c r="O1268" i="4"/>
  <c r="P1268" i="4" s="1"/>
  <c r="S1268" i="4"/>
  <c r="N1269" i="4"/>
  <c r="O1269" i="4"/>
  <c r="P1269" i="4" s="1"/>
  <c r="S1269" i="4"/>
  <c r="N1270" i="4"/>
  <c r="O1270" i="4"/>
  <c r="P1270" i="4" s="1"/>
  <c r="S1270" i="4"/>
  <c r="N1271" i="4"/>
  <c r="O1271" i="4"/>
  <c r="P1271" i="4" s="1"/>
  <c r="Q1271" i="4" s="1"/>
  <c r="S1271" i="4"/>
  <c r="N1272" i="4"/>
  <c r="O1272" i="4"/>
  <c r="P1272" i="4" s="1"/>
  <c r="S1272" i="4"/>
  <c r="N1273" i="4"/>
  <c r="O1273" i="4"/>
  <c r="P1273" i="4" s="1"/>
  <c r="S1273" i="4"/>
  <c r="N1274" i="4"/>
  <c r="O1274" i="4"/>
  <c r="P1274" i="4" s="1"/>
  <c r="S1274" i="4"/>
  <c r="N1275" i="4"/>
  <c r="O1275" i="4"/>
  <c r="P1275" i="4" s="1"/>
  <c r="S1275" i="4"/>
  <c r="N1276" i="4"/>
  <c r="O1276" i="4"/>
  <c r="P1276" i="4" s="1"/>
  <c r="S1276" i="4"/>
  <c r="N1277" i="4"/>
  <c r="O1277" i="4"/>
  <c r="P1277" i="4" s="1"/>
  <c r="S1277" i="4"/>
  <c r="N1278" i="4"/>
  <c r="O1278" i="4"/>
  <c r="P1278" i="4" s="1"/>
  <c r="S1278" i="4"/>
  <c r="N1279" i="4"/>
  <c r="O1279" i="4"/>
  <c r="P1279" i="4" s="1"/>
  <c r="S1279" i="4"/>
  <c r="N1280" i="4"/>
  <c r="O1280" i="4"/>
  <c r="P1280" i="4" s="1"/>
  <c r="S1280" i="4"/>
  <c r="N1281" i="4"/>
  <c r="O1281" i="4"/>
  <c r="P1281" i="4" s="1"/>
  <c r="S1281" i="4"/>
  <c r="N1282" i="4"/>
  <c r="O1282" i="4"/>
  <c r="P1282" i="4" s="1"/>
  <c r="S1282" i="4"/>
  <c r="N1283" i="4"/>
  <c r="O1283" i="4"/>
  <c r="P1283" i="4" s="1"/>
  <c r="S1283" i="4"/>
  <c r="N1284" i="4"/>
  <c r="O1284" i="4"/>
  <c r="P1284" i="4" s="1"/>
  <c r="S1284" i="4"/>
  <c r="N1285" i="4"/>
  <c r="O1285" i="4"/>
  <c r="P1285" i="4" s="1"/>
  <c r="S1285" i="4"/>
  <c r="N1286" i="4"/>
  <c r="O1286" i="4"/>
  <c r="P1286" i="4" s="1"/>
  <c r="S1286" i="4"/>
  <c r="N1287" i="4"/>
  <c r="O1287" i="4"/>
  <c r="P1287" i="4" s="1"/>
  <c r="S1287" i="4"/>
  <c r="N1288" i="4"/>
  <c r="O1288" i="4"/>
  <c r="P1288" i="4" s="1"/>
  <c r="S1288" i="4"/>
  <c r="N1289" i="4"/>
  <c r="O1289" i="4"/>
  <c r="P1289" i="4" s="1"/>
  <c r="S1289" i="4"/>
  <c r="N1290" i="4"/>
  <c r="O1290" i="4"/>
  <c r="P1290" i="4" s="1"/>
  <c r="S1290" i="4"/>
  <c r="N1291" i="4"/>
  <c r="O1291" i="4"/>
  <c r="P1291" i="4" s="1"/>
  <c r="S1291" i="4"/>
  <c r="N1292" i="4"/>
  <c r="O1292" i="4"/>
  <c r="P1292" i="4" s="1"/>
  <c r="S1292" i="4"/>
  <c r="N1293" i="4"/>
  <c r="O1293" i="4"/>
  <c r="P1293" i="4"/>
  <c r="S1293" i="4"/>
  <c r="N1294" i="4"/>
  <c r="O1294" i="4"/>
  <c r="P1294" i="4" s="1"/>
  <c r="S1294" i="4"/>
  <c r="N1295" i="4"/>
  <c r="O1295" i="4"/>
  <c r="P1295" i="4" s="1"/>
  <c r="S1295" i="4"/>
  <c r="N1296" i="4"/>
  <c r="O1296" i="4"/>
  <c r="P1296" i="4" s="1"/>
  <c r="S1296" i="4"/>
  <c r="N1297" i="4"/>
  <c r="O1297" i="4"/>
  <c r="P1297" i="4" s="1"/>
  <c r="S1297" i="4"/>
  <c r="N1298" i="4"/>
  <c r="O1298" i="4"/>
  <c r="P1298" i="4" s="1"/>
  <c r="S1298" i="4"/>
  <c r="N1299" i="4"/>
  <c r="O1299" i="4"/>
  <c r="P1299" i="4" s="1"/>
  <c r="Q1299" i="4" s="1"/>
  <c r="S1299" i="4"/>
  <c r="N1300" i="4"/>
  <c r="O1300" i="4"/>
  <c r="P1300" i="4" s="1"/>
  <c r="S1300" i="4"/>
  <c r="N1301" i="4"/>
  <c r="O1301" i="4"/>
  <c r="P1301" i="4"/>
  <c r="S1301" i="4"/>
  <c r="N1302" i="4"/>
  <c r="O1302" i="4"/>
  <c r="P1302" i="4" s="1"/>
  <c r="S1302" i="4"/>
  <c r="N1303" i="4"/>
  <c r="O1303" i="4"/>
  <c r="P1303" i="4" s="1"/>
  <c r="S1303" i="4"/>
  <c r="N1304" i="4"/>
  <c r="O1304" i="4"/>
  <c r="P1304" i="4" s="1"/>
  <c r="S1304" i="4"/>
  <c r="N1305" i="4"/>
  <c r="O1305" i="4"/>
  <c r="P1305" i="4" s="1"/>
  <c r="S1305" i="4"/>
  <c r="N1306" i="4"/>
  <c r="O1306" i="4"/>
  <c r="P1306" i="4" s="1"/>
  <c r="S1306" i="4"/>
  <c r="N1307" i="4"/>
  <c r="O1307" i="4"/>
  <c r="P1307" i="4" s="1"/>
  <c r="S1307" i="4"/>
  <c r="N1308" i="4"/>
  <c r="O1308" i="4"/>
  <c r="P1308" i="4" s="1"/>
  <c r="S1308" i="4"/>
  <c r="N1309" i="4"/>
  <c r="O1309" i="4"/>
  <c r="P1309" i="4" s="1"/>
  <c r="Q1309" i="4" s="1"/>
  <c r="S1309" i="4"/>
  <c r="N1311" i="4"/>
  <c r="O1311" i="4"/>
  <c r="P1311" i="4" s="1"/>
  <c r="S1311" i="4"/>
  <c r="N1312" i="4"/>
  <c r="O1312" i="4"/>
  <c r="P1312" i="4" s="1"/>
  <c r="S1312" i="4"/>
  <c r="N1313" i="4"/>
  <c r="O1313" i="4"/>
  <c r="P1313" i="4" s="1"/>
  <c r="S1313" i="4"/>
  <c r="N1314" i="4"/>
  <c r="O1314" i="4"/>
  <c r="P1314" i="4" s="1"/>
  <c r="S1314" i="4"/>
  <c r="N1315" i="4"/>
  <c r="O1315" i="4"/>
  <c r="P1315" i="4" s="1"/>
  <c r="S1315" i="4"/>
  <c r="N1316" i="4"/>
  <c r="O1316" i="4"/>
  <c r="P1316" i="4" s="1"/>
  <c r="S1316" i="4"/>
  <c r="N1317" i="4"/>
  <c r="O1317" i="4"/>
  <c r="P1317" i="4" s="1"/>
  <c r="S1317" i="4"/>
  <c r="N1318" i="4"/>
  <c r="O1318" i="4"/>
  <c r="P1318" i="4" s="1"/>
  <c r="S1318" i="4"/>
  <c r="N1319" i="4"/>
  <c r="O1319" i="4"/>
  <c r="P1319" i="4" s="1"/>
  <c r="S1319" i="4"/>
  <c r="N1320" i="4"/>
  <c r="O1320" i="4"/>
  <c r="P1320" i="4" s="1"/>
  <c r="S1320" i="4"/>
  <c r="N1321" i="4"/>
  <c r="O1321" i="4"/>
  <c r="P1321" i="4" s="1"/>
  <c r="S1321" i="4"/>
  <c r="N1322" i="4"/>
  <c r="O1322" i="4"/>
  <c r="P1322" i="4" s="1"/>
  <c r="S1322" i="4"/>
  <c r="N1323" i="4"/>
  <c r="O1323" i="4"/>
  <c r="P1323" i="4" s="1"/>
  <c r="S1323" i="4"/>
  <c r="N1324" i="4"/>
  <c r="O1324" i="4"/>
  <c r="P1324" i="4" s="1"/>
  <c r="S1324" i="4"/>
  <c r="N1325" i="4"/>
  <c r="O1325" i="4"/>
  <c r="P1325" i="4" s="1"/>
  <c r="S1325" i="4"/>
  <c r="N1326" i="4"/>
  <c r="O1326" i="4"/>
  <c r="P1326" i="4" s="1"/>
  <c r="S1326" i="4"/>
  <c r="N1327" i="4"/>
  <c r="O1327" i="4"/>
  <c r="P1327" i="4" s="1"/>
  <c r="S1327" i="4"/>
  <c r="N1328" i="4"/>
  <c r="O1328" i="4"/>
  <c r="P1328" i="4" s="1"/>
  <c r="S1328" i="4"/>
  <c r="N1329" i="4"/>
  <c r="O1329" i="4"/>
  <c r="P1329" i="4" s="1"/>
  <c r="S1329" i="4"/>
  <c r="N1330" i="4"/>
  <c r="O1330" i="4"/>
  <c r="P1330" i="4" s="1"/>
  <c r="S1330" i="4"/>
  <c r="N1331" i="4"/>
  <c r="O1331" i="4"/>
  <c r="P1331" i="4" s="1"/>
  <c r="S1331" i="4"/>
  <c r="N1332" i="4"/>
  <c r="O1332" i="4"/>
  <c r="P1332" i="4" s="1"/>
  <c r="S1332" i="4"/>
  <c r="N1333" i="4"/>
  <c r="O1333" i="4"/>
  <c r="P1333" i="4" s="1"/>
  <c r="S1333" i="4"/>
  <c r="N1334" i="4"/>
  <c r="O1334" i="4"/>
  <c r="P1334" i="4" s="1"/>
  <c r="S1334" i="4"/>
  <c r="N1335" i="4"/>
  <c r="O1335" i="4"/>
  <c r="P1335" i="4" s="1"/>
  <c r="S1335" i="4"/>
  <c r="N1336" i="4"/>
  <c r="O1336" i="4"/>
  <c r="P1336" i="4" s="1"/>
  <c r="S1336" i="4"/>
  <c r="N1337" i="4"/>
  <c r="O1337" i="4"/>
  <c r="P1337" i="4" s="1"/>
  <c r="S1337" i="4"/>
  <c r="N1338" i="4"/>
  <c r="O1338" i="4"/>
  <c r="P1338" i="4" s="1"/>
  <c r="S1338" i="4"/>
  <c r="N1339" i="4"/>
  <c r="O1339" i="4"/>
  <c r="P1339" i="4" s="1"/>
  <c r="S1339" i="4"/>
  <c r="N1340" i="4"/>
  <c r="O1340" i="4"/>
  <c r="P1340" i="4" s="1"/>
  <c r="S1340" i="4"/>
  <c r="N1341" i="4"/>
  <c r="O1341" i="4"/>
  <c r="P1341" i="4" s="1"/>
  <c r="S1341" i="4"/>
  <c r="N1342" i="4"/>
  <c r="O1342" i="4"/>
  <c r="P1342" i="4" s="1"/>
  <c r="S1342" i="4"/>
  <c r="N1343" i="4"/>
  <c r="O1343" i="4"/>
  <c r="P1343" i="4" s="1"/>
  <c r="S1343" i="4"/>
  <c r="N1344" i="4"/>
  <c r="O1344" i="4"/>
  <c r="P1344" i="4" s="1"/>
  <c r="S1344" i="4"/>
  <c r="N1345" i="4"/>
  <c r="O1345" i="4"/>
  <c r="P1345" i="4" s="1"/>
  <c r="S1345" i="4"/>
  <c r="N1346" i="4"/>
  <c r="O1346" i="4"/>
  <c r="P1346" i="4" s="1"/>
  <c r="S1346" i="4"/>
  <c r="N1347" i="4"/>
  <c r="O1347" i="4"/>
  <c r="P1347" i="4" s="1"/>
  <c r="S1347" i="4"/>
  <c r="N1348" i="4"/>
  <c r="O1348" i="4"/>
  <c r="P1348" i="4" s="1"/>
  <c r="S1348" i="4"/>
  <c r="N1349" i="4"/>
  <c r="O1349" i="4"/>
  <c r="P1349" i="4" s="1"/>
  <c r="S1349" i="4"/>
  <c r="N1350" i="4"/>
  <c r="O1350" i="4"/>
  <c r="P1350" i="4" s="1"/>
  <c r="S1350" i="4"/>
  <c r="N1351" i="4"/>
  <c r="O1351" i="4"/>
  <c r="P1351" i="4" s="1"/>
  <c r="S1351" i="4"/>
  <c r="N1352" i="4"/>
  <c r="O1352" i="4"/>
  <c r="P1352" i="4" s="1"/>
  <c r="S1352" i="4"/>
  <c r="N1353" i="4"/>
  <c r="O1353" i="4"/>
  <c r="P1353" i="4" s="1"/>
  <c r="S1353" i="4"/>
  <c r="N1354" i="4"/>
  <c r="O1354" i="4"/>
  <c r="P1354" i="4" s="1"/>
  <c r="S1354" i="4"/>
  <c r="N1355" i="4"/>
  <c r="O1355" i="4"/>
  <c r="P1355" i="4" s="1"/>
  <c r="S1355" i="4"/>
  <c r="N1356" i="4"/>
  <c r="O1356" i="4"/>
  <c r="P1356" i="4" s="1"/>
  <c r="S1356" i="4"/>
  <c r="N1357" i="4"/>
  <c r="O1357" i="4"/>
  <c r="P1357" i="4" s="1"/>
  <c r="S1357" i="4"/>
  <c r="N1358" i="4"/>
  <c r="O1358" i="4"/>
  <c r="P1358" i="4" s="1"/>
  <c r="S1358" i="4"/>
  <c r="N1359" i="4"/>
  <c r="O1359" i="4"/>
  <c r="P1359" i="4" s="1"/>
  <c r="S1359" i="4"/>
  <c r="N1360" i="4"/>
  <c r="O1360" i="4"/>
  <c r="P1360" i="4" s="1"/>
  <c r="S1360" i="4"/>
  <c r="N1361" i="4"/>
  <c r="O1361" i="4"/>
  <c r="P1361" i="4" s="1"/>
  <c r="S1361" i="4"/>
  <c r="N1362" i="4"/>
  <c r="O1362" i="4"/>
  <c r="P1362" i="4" s="1"/>
  <c r="S1362" i="4"/>
  <c r="N1363" i="4"/>
  <c r="O1363" i="4"/>
  <c r="P1363" i="4" s="1"/>
  <c r="S1363" i="4"/>
  <c r="N1364" i="4"/>
  <c r="O1364" i="4"/>
  <c r="P1364" i="4" s="1"/>
  <c r="S1364" i="4"/>
  <c r="N1365" i="4"/>
  <c r="O1365" i="4"/>
  <c r="P1365" i="4" s="1"/>
  <c r="S1365" i="4"/>
  <c r="N1366" i="4"/>
  <c r="O1366" i="4"/>
  <c r="P1366" i="4" s="1"/>
  <c r="S1366" i="4"/>
  <c r="N1367" i="4"/>
  <c r="O1367" i="4"/>
  <c r="P1367" i="4" s="1"/>
  <c r="S1367" i="4"/>
  <c r="N1368" i="4"/>
  <c r="O1368" i="4"/>
  <c r="P1368" i="4" s="1"/>
  <c r="S1368" i="4"/>
  <c r="N1369" i="4"/>
  <c r="O1369" i="4"/>
  <c r="P1369" i="4" s="1"/>
  <c r="S1369" i="4"/>
  <c r="N1370" i="4"/>
  <c r="O1370" i="4"/>
  <c r="P1370" i="4" s="1"/>
  <c r="S1370" i="4"/>
  <c r="N1371" i="4"/>
  <c r="O1371" i="4"/>
  <c r="P1371" i="4" s="1"/>
  <c r="S1371" i="4"/>
  <c r="N1372" i="4"/>
  <c r="O1372" i="4"/>
  <c r="P1372" i="4" s="1"/>
  <c r="S1372" i="4"/>
  <c r="N1373" i="4"/>
  <c r="O1373" i="4"/>
  <c r="P1373" i="4" s="1"/>
  <c r="S1373" i="4"/>
  <c r="N1374" i="4"/>
  <c r="O1374" i="4"/>
  <c r="P1374" i="4" s="1"/>
  <c r="S1374" i="4"/>
  <c r="N1375" i="4"/>
  <c r="O1375" i="4"/>
  <c r="P1375" i="4" s="1"/>
  <c r="S1375" i="4"/>
  <c r="N1376" i="4"/>
  <c r="O1376" i="4"/>
  <c r="P1376" i="4" s="1"/>
  <c r="S1376" i="4"/>
  <c r="N1377" i="4"/>
  <c r="O1377" i="4"/>
  <c r="P1377" i="4" s="1"/>
  <c r="S1377" i="4"/>
  <c r="N1378" i="4"/>
  <c r="O1378" i="4"/>
  <c r="P1378" i="4" s="1"/>
  <c r="S1378" i="4"/>
  <c r="N1379" i="4"/>
  <c r="O1379" i="4"/>
  <c r="P1379" i="4" s="1"/>
  <c r="S1379" i="4"/>
  <c r="N1380" i="4"/>
  <c r="O1380" i="4"/>
  <c r="P1380" i="4" s="1"/>
  <c r="S1380" i="4"/>
  <c r="N1381" i="4"/>
  <c r="O1381" i="4"/>
  <c r="P1381" i="4" s="1"/>
  <c r="S1381" i="4"/>
  <c r="N1382" i="4"/>
  <c r="O1382" i="4"/>
  <c r="P1382" i="4" s="1"/>
  <c r="S1382" i="4"/>
  <c r="N1383" i="4"/>
  <c r="O1383" i="4"/>
  <c r="P1383" i="4" s="1"/>
  <c r="S1383" i="4"/>
  <c r="N1384" i="4"/>
  <c r="O1384" i="4"/>
  <c r="P1384" i="4" s="1"/>
  <c r="S1384" i="4"/>
  <c r="N1385" i="4"/>
  <c r="O1385" i="4"/>
  <c r="P1385" i="4" s="1"/>
  <c r="S1385" i="4"/>
  <c r="N1386" i="4"/>
  <c r="O1386" i="4"/>
  <c r="P1386" i="4" s="1"/>
  <c r="S1386" i="4"/>
  <c r="N1387" i="4"/>
  <c r="O1387" i="4"/>
  <c r="P1387" i="4" s="1"/>
  <c r="S1387" i="4"/>
  <c r="N1388" i="4"/>
  <c r="O1388" i="4"/>
  <c r="P1388" i="4" s="1"/>
  <c r="S1388" i="4"/>
  <c r="N1389" i="4"/>
  <c r="O1389" i="4"/>
  <c r="P1389" i="4" s="1"/>
  <c r="S1389" i="4"/>
  <c r="N1390" i="4"/>
  <c r="O1390" i="4"/>
  <c r="P1390" i="4" s="1"/>
  <c r="S1390" i="4"/>
  <c r="N1391" i="4"/>
  <c r="O1391" i="4"/>
  <c r="P1391" i="4" s="1"/>
  <c r="S1391" i="4"/>
  <c r="N1392" i="4"/>
  <c r="O1392" i="4"/>
  <c r="P1392" i="4" s="1"/>
  <c r="S1392" i="4"/>
  <c r="N1393" i="4"/>
  <c r="O1393" i="4"/>
  <c r="P1393" i="4" s="1"/>
  <c r="S1393" i="4"/>
  <c r="N1394" i="4"/>
  <c r="O1394" i="4"/>
  <c r="P1394" i="4" s="1"/>
  <c r="S1394" i="4"/>
  <c r="N1395" i="4"/>
  <c r="O1395" i="4"/>
  <c r="P1395" i="4" s="1"/>
  <c r="S1395" i="4"/>
  <c r="N1396" i="4"/>
  <c r="O1396" i="4"/>
  <c r="P1396" i="4" s="1"/>
  <c r="S1396" i="4"/>
  <c r="N1397" i="4"/>
  <c r="O1397" i="4"/>
  <c r="P1397" i="4" s="1"/>
  <c r="S1397" i="4"/>
  <c r="N1398" i="4"/>
  <c r="O1398" i="4"/>
  <c r="P1398" i="4" s="1"/>
  <c r="S1398" i="4"/>
  <c r="N1399" i="4"/>
  <c r="O1399" i="4"/>
  <c r="P1399" i="4" s="1"/>
  <c r="S1399" i="4"/>
  <c r="N1400" i="4"/>
  <c r="O1400" i="4"/>
  <c r="P1400" i="4" s="1"/>
  <c r="S1400" i="4"/>
  <c r="N1401" i="4"/>
  <c r="O1401" i="4"/>
  <c r="P1401" i="4" s="1"/>
  <c r="S1401" i="4"/>
  <c r="N1402" i="4"/>
  <c r="O1402" i="4"/>
  <c r="P1402" i="4" s="1"/>
  <c r="S1402" i="4"/>
  <c r="N1403" i="4"/>
  <c r="O1403" i="4"/>
  <c r="P1403" i="4" s="1"/>
  <c r="S1403" i="4"/>
  <c r="N1404" i="4"/>
  <c r="O1404" i="4"/>
  <c r="P1404" i="4" s="1"/>
  <c r="S1404" i="4"/>
  <c r="N1405" i="4"/>
  <c r="O1405" i="4"/>
  <c r="P1405" i="4" s="1"/>
  <c r="S1405" i="4"/>
  <c r="N1406" i="4"/>
  <c r="O1406" i="4"/>
  <c r="P1406" i="4" s="1"/>
  <c r="S1406" i="4"/>
  <c r="N1407" i="4"/>
  <c r="O1407" i="4"/>
  <c r="P1407" i="4" s="1"/>
  <c r="S1407" i="4"/>
  <c r="N1408" i="4"/>
  <c r="O1408" i="4"/>
  <c r="P1408" i="4" s="1"/>
  <c r="S1408" i="4"/>
  <c r="N1409" i="4"/>
  <c r="O1409" i="4"/>
  <c r="P1409" i="4" s="1"/>
  <c r="S1409" i="4"/>
  <c r="N1410" i="4"/>
  <c r="O1410" i="4"/>
  <c r="P1410" i="4" s="1"/>
  <c r="S1410" i="4"/>
  <c r="N1411" i="4"/>
  <c r="O1411" i="4"/>
  <c r="P1411" i="4" s="1"/>
  <c r="S1411" i="4"/>
  <c r="N1412" i="4"/>
  <c r="O1412" i="4"/>
  <c r="P1412" i="4" s="1"/>
  <c r="S1412" i="4"/>
  <c r="N1413" i="4"/>
  <c r="O1413" i="4"/>
  <c r="P1413" i="4" s="1"/>
  <c r="S1413" i="4"/>
  <c r="N1414" i="4"/>
  <c r="O1414" i="4"/>
  <c r="P1414" i="4" s="1"/>
  <c r="S1414" i="4"/>
  <c r="N1415" i="4"/>
  <c r="O1415" i="4"/>
  <c r="P1415" i="4" s="1"/>
  <c r="S1415" i="4"/>
  <c r="N1416" i="4"/>
  <c r="O1416" i="4"/>
  <c r="P1416" i="4" s="1"/>
  <c r="S1416" i="4"/>
  <c r="N1417" i="4"/>
  <c r="O1417" i="4"/>
  <c r="P1417" i="4" s="1"/>
  <c r="S1417" i="4"/>
  <c r="N1418" i="4"/>
  <c r="O1418" i="4"/>
  <c r="P1418" i="4" s="1"/>
  <c r="S1418" i="4"/>
  <c r="N1419" i="4"/>
  <c r="O1419" i="4"/>
  <c r="P1419" i="4" s="1"/>
  <c r="S1419" i="4"/>
  <c r="N1420" i="4"/>
  <c r="O1420" i="4"/>
  <c r="P1420" i="4" s="1"/>
  <c r="S1420" i="4"/>
  <c r="N1421" i="4"/>
  <c r="O1421" i="4"/>
  <c r="P1421" i="4" s="1"/>
  <c r="S1421" i="4"/>
  <c r="N1422" i="4"/>
  <c r="O1422" i="4"/>
  <c r="P1422" i="4" s="1"/>
  <c r="S1422" i="4"/>
  <c r="N1423" i="4"/>
  <c r="O1423" i="4"/>
  <c r="P1423" i="4" s="1"/>
  <c r="S1423" i="4"/>
  <c r="N1424" i="4"/>
  <c r="O1424" i="4"/>
  <c r="P1424" i="4" s="1"/>
  <c r="S1424" i="4"/>
  <c r="N1425" i="4"/>
  <c r="O1425" i="4"/>
  <c r="P1425" i="4" s="1"/>
  <c r="S1425" i="4"/>
  <c r="N1426" i="4"/>
  <c r="O1426" i="4"/>
  <c r="P1426" i="4" s="1"/>
  <c r="S1426" i="4"/>
  <c r="N1427" i="4"/>
  <c r="O1427" i="4"/>
  <c r="P1427" i="4" s="1"/>
  <c r="S1427" i="4"/>
  <c r="N1428" i="4"/>
  <c r="O1428" i="4"/>
  <c r="P1428" i="4" s="1"/>
  <c r="S1428" i="4"/>
  <c r="N1429" i="4"/>
  <c r="O1429" i="4"/>
  <c r="P1429" i="4" s="1"/>
  <c r="S1429" i="4"/>
  <c r="N1430" i="4"/>
  <c r="O1430" i="4"/>
  <c r="P1430" i="4" s="1"/>
  <c r="S1430" i="4"/>
  <c r="N1431" i="4"/>
  <c r="O1431" i="4"/>
  <c r="P1431" i="4" s="1"/>
  <c r="S1431" i="4"/>
  <c r="N1432" i="4"/>
  <c r="O1432" i="4"/>
  <c r="P1432" i="4" s="1"/>
  <c r="S1432" i="4"/>
  <c r="N1433" i="4"/>
  <c r="O1433" i="4"/>
  <c r="P1433" i="4" s="1"/>
  <c r="S1433" i="4"/>
  <c r="N1434" i="4"/>
  <c r="O1434" i="4"/>
  <c r="P1434" i="4" s="1"/>
  <c r="S1434" i="4"/>
  <c r="N1435" i="4"/>
  <c r="O1435" i="4"/>
  <c r="P1435" i="4" s="1"/>
  <c r="S1435" i="4"/>
  <c r="N1436" i="4"/>
  <c r="O1436" i="4"/>
  <c r="P1436" i="4" s="1"/>
  <c r="S1436" i="4"/>
  <c r="D6" i="9"/>
  <c r="D5" i="9"/>
  <c r="D4" i="9"/>
  <c r="C4" i="9"/>
  <c r="D3" i="9"/>
  <c r="C3" i="9"/>
  <c r="D2" i="9"/>
  <c r="C2" i="9"/>
  <c r="N2" i="4"/>
  <c r="N3" i="4"/>
  <c r="N669" i="4"/>
  <c r="N872" i="4"/>
  <c r="N1310" i="4"/>
  <c r="O2" i="4"/>
  <c r="P2" i="4" s="1"/>
  <c r="O3" i="4"/>
  <c r="P3" i="4" s="1"/>
  <c r="O669" i="4"/>
  <c r="P669" i="4" s="1"/>
  <c r="O872" i="4"/>
  <c r="P872" i="4" s="1"/>
  <c r="O1310" i="4"/>
  <c r="P1310" i="4" s="1"/>
  <c r="S2" i="4"/>
  <c r="S3" i="4"/>
  <c r="S669" i="4"/>
  <c r="S872" i="4"/>
  <c r="S1310" i="4"/>
  <c r="D2" i="3"/>
  <c r="D3" i="3"/>
  <c r="D4" i="3"/>
  <c r="D5" i="3"/>
  <c r="D6" i="3"/>
  <c r="D7" i="3"/>
  <c r="D8" i="3"/>
  <c r="D9" i="3"/>
  <c r="D10" i="3"/>
  <c r="B22" i="10" l="1"/>
  <c r="B23" i="10" s="1"/>
  <c r="D5" i="8"/>
  <c r="E5" i="8" s="1"/>
  <c r="D4" i="8"/>
  <c r="E4" i="8" s="1"/>
  <c r="D8" i="8"/>
  <c r="B27" i="7"/>
  <c r="E27" i="7" s="1"/>
  <c r="E20" i="7"/>
  <c r="Q1152" i="4"/>
  <c r="Q1144" i="4"/>
  <c r="Q1112" i="4"/>
  <c r="Q1072" i="4"/>
  <c r="Q1064" i="4"/>
  <c r="Q1296" i="4"/>
  <c r="Q1080" i="4"/>
  <c r="T1080" i="4" s="1"/>
  <c r="Q1216" i="4"/>
  <c r="Q1016" i="4"/>
  <c r="Q992" i="4"/>
  <c r="Q984" i="4"/>
  <c r="Q1200" i="4"/>
  <c r="Q1184" i="4"/>
  <c r="Q1176" i="4"/>
  <c r="Q773" i="4"/>
  <c r="T773" i="4" s="1"/>
  <c r="Q765" i="4"/>
  <c r="Q621" i="4"/>
  <c r="Q613" i="4"/>
  <c r="Q605" i="4"/>
  <c r="T323" i="4"/>
  <c r="Q668" i="4"/>
  <c r="Q660" i="4"/>
  <c r="Q357" i="4"/>
  <c r="T357" i="4" s="1"/>
  <c r="Q1148" i="4"/>
  <c r="Q948" i="4"/>
  <c r="Q932" i="4"/>
  <c r="Q796" i="4"/>
  <c r="Q788" i="4"/>
  <c r="Q780" i="4"/>
  <c r="Q772" i="4"/>
  <c r="Q764" i="4"/>
  <c r="T764" i="4" s="1"/>
  <c r="T591" i="4"/>
  <c r="Q1429" i="4"/>
  <c r="T1429" i="4" s="1"/>
  <c r="Q1421" i="4"/>
  <c r="Q1413" i="4"/>
  <c r="Q1405" i="4"/>
  <c r="T1405" i="4" s="1"/>
  <c r="Q1397" i="4"/>
  <c r="Q1092" i="4"/>
  <c r="Q1068" i="4"/>
  <c r="T1068" i="4" s="1"/>
  <c r="Q924" i="4"/>
  <c r="Q756" i="4"/>
  <c r="Q748" i="4"/>
  <c r="Q732" i="4"/>
  <c r="Q724" i="4"/>
  <c r="Q716" i="4"/>
  <c r="Q700" i="4"/>
  <c r="Q692" i="4"/>
  <c r="T692" i="4" s="1"/>
  <c r="Q684" i="4"/>
  <c r="Q676" i="4"/>
  <c r="Q340" i="4"/>
  <c r="Q332" i="4"/>
  <c r="Q316" i="4"/>
  <c r="Q20" i="4"/>
  <c r="T1235" i="4"/>
  <c r="T583" i="4"/>
  <c r="Q880" i="4"/>
  <c r="T590" i="4"/>
  <c r="Q629" i="4"/>
  <c r="T1259" i="4"/>
  <c r="T1251" i="4"/>
  <c r="Q648" i="4"/>
  <c r="Q459" i="4"/>
  <c r="Q451" i="4"/>
  <c r="T451" i="4" s="1"/>
  <c r="Q307" i="4"/>
  <c r="T1243" i="4"/>
  <c r="T1271" i="4"/>
  <c r="T571" i="4"/>
  <c r="T410" i="4"/>
  <c r="Q750" i="4"/>
  <c r="Q742" i="4"/>
  <c r="T595" i="4"/>
  <c r="Q318" i="4"/>
  <c r="Q109" i="4"/>
  <c r="T109" i="4" s="1"/>
  <c r="Q30" i="4"/>
  <c r="Q22" i="4"/>
  <c r="T1299" i="4"/>
  <c r="T1309" i="4"/>
  <c r="Q1222" i="4"/>
  <c r="Q1158" i="4"/>
  <c r="T1158" i="4" s="1"/>
  <c r="Q1102" i="4"/>
  <c r="Q814" i="4"/>
  <c r="Q726" i="4"/>
  <c r="T683" i="4"/>
  <c r="Q670" i="4"/>
  <c r="T670" i="4" s="1"/>
  <c r="T587" i="4"/>
  <c r="Q1206" i="4"/>
  <c r="Q1150" i="4"/>
  <c r="T1150" i="4" s="1"/>
  <c r="Q1142" i="4"/>
  <c r="Q1086" i="4"/>
  <c r="Q1006" i="4"/>
  <c r="Q806" i="4"/>
  <c r="Q798" i="4"/>
  <c r="Q718" i="4"/>
  <c r="Q710" i="4"/>
  <c r="Q614" i="4"/>
  <c r="T614" i="4" s="1"/>
  <c r="Q13" i="4"/>
  <c r="Q1145" i="4"/>
  <c r="Q1137" i="4"/>
  <c r="Q1097" i="4"/>
  <c r="Q1089" i="4"/>
  <c r="Q945" i="4"/>
  <c r="Q929" i="4"/>
  <c r="Q801" i="4"/>
  <c r="T801" i="4" s="1"/>
  <c r="Q793" i="4"/>
  <c r="Q769" i="4"/>
  <c r="Q705" i="4"/>
  <c r="Q457" i="4"/>
  <c r="Q449" i="4"/>
  <c r="Q8" i="4"/>
  <c r="T8" i="4" s="1"/>
  <c r="T1421" i="4"/>
  <c r="T1397" i="4"/>
  <c r="Q1182" i="4"/>
  <c r="Q1134" i="4"/>
  <c r="Q1078" i="4"/>
  <c r="Q934" i="4"/>
  <c r="Q790" i="4"/>
  <c r="Q606" i="4"/>
  <c r="Q461" i="4"/>
  <c r="T461" i="4" s="1"/>
  <c r="Q443" i="4"/>
  <c r="Q435" i="4"/>
  <c r="Q10" i="4"/>
  <c r="Q1168" i="4"/>
  <c r="Q912" i="4"/>
  <c r="Q848" i="4"/>
  <c r="T848" i="4" s="1"/>
  <c r="Q792" i="4"/>
  <c r="Q776" i="4"/>
  <c r="T776" i="4" s="1"/>
  <c r="Q768" i="4"/>
  <c r="Q752" i="4"/>
  <c r="Q728" i="4"/>
  <c r="Q704" i="4"/>
  <c r="Q680" i="4"/>
  <c r="T680" i="4" s="1"/>
  <c r="Q320" i="4"/>
  <c r="T1263" i="4"/>
  <c r="T1413" i="4"/>
  <c r="Q1070" i="4"/>
  <c r="Q998" i="4"/>
  <c r="T823" i="4"/>
  <c r="Q453" i="4"/>
  <c r="T453" i="4" s="1"/>
  <c r="Q110" i="4"/>
  <c r="T672" i="4"/>
  <c r="T1253" i="4"/>
  <c r="T1245" i="4"/>
  <c r="T1237" i="4"/>
  <c r="Q1129" i="4"/>
  <c r="Q1001" i="4"/>
  <c r="Q864" i="4"/>
  <c r="Q1105" i="4"/>
  <c r="Q1193" i="4"/>
  <c r="T1193" i="4" s="1"/>
  <c r="Q1057" i="4"/>
  <c r="Q1008" i="4"/>
  <c r="Q696" i="4"/>
  <c r="Q361" i="4"/>
  <c r="T361" i="4" s="1"/>
  <c r="Q297" i="4"/>
  <c r="Q17" i="4"/>
  <c r="T17" i="4" s="1"/>
  <c r="Q1430" i="4"/>
  <c r="T1430" i="4" s="1"/>
  <c r="Q1422" i="4"/>
  <c r="T1422" i="4" s="1"/>
  <c r="Q1414" i="4"/>
  <c r="T1414" i="4" s="1"/>
  <c r="Q1406" i="4"/>
  <c r="T1406" i="4" s="1"/>
  <c r="Q1398" i="4"/>
  <c r="T1398" i="4" s="1"/>
  <c r="Q1390" i="4"/>
  <c r="T1390" i="4" s="1"/>
  <c r="Q1382" i="4"/>
  <c r="T1382" i="4" s="1"/>
  <c r="Q1374" i="4"/>
  <c r="T1374" i="4" s="1"/>
  <c r="Q1366" i="4"/>
  <c r="T1366" i="4" s="1"/>
  <c r="Q1358" i="4"/>
  <c r="T1358" i="4" s="1"/>
  <c r="Q1350" i="4"/>
  <c r="T1350" i="4" s="1"/>
  <c r="Q1342" i="4"/>
  <c r="T1342" i="4" s="1"/>
  <c r="Q1334" i="4"/>
  <c r="T1334" i="4" s="1"/>
  <c r="Q1326" i="4"/>
  <c r="T1326" i="4" s="1"/>
  <c r="Q1318" i="4"/>
  <c r="T1318" i="4" s="1"/>
  <c r="Q582" i="4"/>
  <c r="T582" i="4" s="1"/>
  <c r="Q1104" i="4"/>
  <c r="Q896" i="4"/>
  <c r="T896" i="4" s="1"/>
  <c r="Q737" i="4"/>
  <c r="Q681" i="4"/>
  <c r="Q432" i="4"/>
  <c r="T432" i="4" s="1"/>
  <c r="T666" i="4"/>
  <c r="Q1153" i="4"/>
  <c r="Q1128" i="4"/>
  <c r="T1128" i="4" s="1"/>
  <c r="Q1096" i="4"/>
  <c r="T1096" i="4" s="1"/>
  <c r="Q1081" i="4"/>
  <c r="T1081" i="4" s="1"/>
  <c r="Q1041" i="4"/>
  <c r="Q1000" i="4"/>
  <c r="Q993" i="4"/>
  <c r="Q928" i="4"/>
  <c r="Q720" i="4"/>
  <c r="Q712" i="4"/>
  <c r="T712" i="4" s="1"/>
  <c r="T676" i="4"/>
  <c r="Q576" i="4"/>
  <c r="Q1185" i="4"/>
  <c r="Q1408" i="4"/>
  <c r="Q1400" i="4"/>
  <c r="Q1392" i="4"/>
  <c r="Q1384" i="4"/>
  <c r="T1384" i="4" s="1"/>
  <c r="Q1368" i="4"/>
  <c r="T1368" i="4" s="1"/>
  <c r="Q1360" i="4"/>
  <c r="T1360" i="4" s="1"/>
  <c r="Q1352" i="4"/>
  <c r="T1352" i="4" s="1"/>
  <c r="Q1344" i="4"/>
  <c r="T1344" i="4" s="1"/>
  <c r="Q1336" i="4"/>
  <c r="T1336" i="4" s="1"/>
  <c r="Q1328" i="4"/>
  <c r="T1328" i="4" s="1"/>
  <c r="Q1320" i="4"/>
  <c r="T1320" i="4" s="1"/>
  <c r="Q1312" i="4"/>
  <c r="T1312" i="4" s="1"/>
  <c r="Q1281" i="4"/>
  <c r="T1281" i="4" s="1"/>
  <c r="Q1273" i="4"/>
  <c r="Q1265" i="4"/>
  <c r="T1265" i="4" s="1"/>
  <c r="Q1225" i="4"/>
  <c r="Q1056" i="4"/>
  <c r="Q1048" i="4"/>
  <c r="Q977" i="4"/>
  <c r="Q761" i="4"/>
  <c r="Q16" i="4"/>
  <c r="T16" i="4" s="1"/>
  <c r="Q1209" i="4"/>
  <c r="Q1160" i="4"/>
  <c r="T1160" i="4" s="1"/>
  <c r="T933" i="4"/>
  <c r="Q817" i="4"/>
  <c r="T573" i="4"/>
  <c r="Q441" i="4"/>
  <c r="T367" i="4"/>
  <c r="Q312" i="4"/>
  <c r="T312" i="4" s="1"/>
  <c r="Q296" i="4"/>
  <c r="T296" i="4" s="1"/>
  <c r="T681" i="4"/>
  <c r="T27" i="4"/>
  <c r="T19" i="4"/>
  <c r="T15" i="4"/>
  <c r="T13" i="4"/>
  <c r="T668" i="4"/>
  <c r="T679" i="4"/>
  <c r="T576" i="4"/>
  <c r="T110" i="4"/>
  <c r="Q1432" i="4"/>
  <c r="Q1424" i="4"/>
  <c r="Q1416" i="4"/>
  <c r="T1416" i="4" s="1"/>
  <c r="Q1376" i="4"/>
  <c r="T1376" i="4" s="1"/>
  <c r="Q1431" i="4"/>
  <c r="T1431" i="4" s="1"/>
  <c r="Q1423" i="4"/>
  <c r="T1423" i="4" s="1"/>
  <c r="Q1287" i="4"/>
  <c r="T1287" i="4" s="1"/>
  <c r="Q1279" i="4"/>
  <c r="T1279" i="4" s="1"/>
  <c r="Q1103" i="4"/>
  <c r="Q1071" i="4"/>
  <c r="Q1031" i="4"/>
  <c r="Q967" i="4"/>
  <c r="T967" i="4" s="1"/>
  <c r="Q951" i="4"/>
  <c r="Q767" i="4"/>
  <c r="T437" i="4"/>
  <c r="T426" i="4"/>
  <c r="T386" i="4"/>
  <c r="T30" i="4"/>
  <c r="T22" i="4"/>
  <c r="T20" i="4"/>
  <c r="T18" i="4"/>
  <c r="Q1292" i="4"/>
  <c r="T1292" i="4" s="1"/>
  <c r="Q1140" i="4"/>
  <c r="Q1116" i="4"/>
  <c r="T579" i="4"/>
  <c r="Q1167" i="4"/>
  <c r="T1167" i="4" s="1"/>
  <c r="Q1252" i="4"/>
  <c r="T1252" i="4" s="1"/>
  <c r="Q1244" i="4"/>
  <c r="T1244" i="4" s="1"/>
  <c r="Q1236" i="4"/>
  <c r="T1236" i="4" s="1"/>
  <c r="Q1260" i="4"/>
  <c r="T1260" i="4" s="1"/>
  <c r="T613" i="4"/>
  <c r="T418" i="4"/>
  <c r="T378" i="4"/>
  <c r="T402" i="4"/>
  <c r="Q690" i="4"/>
  <c r="T394" i="4"/>
  <c r="T864" i="4"/>
  <c r="Q754" i="4"/>
  <c r="T754" i="4" s="1"/>
  <c r="T629" i="4"/>
  <c r="T605" i="4"/>
  <c r="T445" i="4"/>
  <c r="Q1258" i="4"/>
  <c r="Q1250" i="4"/>
  <c r="T1250" i="4" s="1"/>
  <c r="Q1242" i="4"/>
  <c r="Q1234" i="4"/>
  <c r="T1234" i="4" s="1"/>
  <c r="Q746" i="4"/>
  <c r="Q1290" i="4"/>
  <c r="Q722" i="4"/>
  <c r="T722" i="4" s="1"/>
  <c r="Q714" i="4"/>
  <c r="T714" i="4" s="1"/>
  <c r="T621" i="4"/>
  <c r="T186" i="4"/>
  <c r="Q1291" i="4"/>
  <c r="T1291" i="4" s="1"/>
  <c r="Q1226" i="4"/>
  <c r="Q1217" i="4"/>
  <c r="Q1214" i="4"/>
  <c r="T1214" i="4" s="1"/>
  <c r="Q1040" i="4"/>
  <c r="T1040" i="4" s="1"/>
  <c r="Q1295" i="4"/>
  <c r="T1295" i="4" s="1"/>
  <c r="Q1283" i="4"/>
  <c r="Q1275" i="4"/>
  <c r="Q1267" i="4"/>
  <c r="T1267" i="4" s="1"/>
  <c r="Q1256" i="4"/>
  <c r="T1256" i="4" s="1"/>
  <c r="Q1248" i="4"/>
  <c r="T1248" i="4" s="1"/>
  <c r="Q1240" i="4"/>
  <c r="T1240" i="4" s="1"/>
  <c r="Q1232" i="4"/>
  <c r="T1232" i="4" s="1"/>
  <c r="Q1223" i="4"/>
  <c r="T1223" i="4" s="1"/>
  <c r="Q1208" i="4"/>
  <c r="Q1203" i="4"/>
  <c r="Q1175" i="4"/>
  <c r="T1175" i="4" s="1"/>
  <c r="Q1147" i="4"/>
  <c r="T1147" i="4" s="1"/>
  <c r="T1139" i="4"/>
  <c r="T1133" i="4"/>
  <c r="Q1073" i="4"/>
  <c r="Q942" i="4"/>
  <c r="T942" i="4" s="1"/>
  <c r="Q938" i="4"/>
  <c r="T924" i="4"/>
  <c r="T1432" i="4"/>
  <c r="T1424" i="4"/>
  <c r="T1400" i="4"/>
  <c r="T1392" i="4"/>
  <c r="Q1303" i="4"/>
  <c r="T1303" i="4" s="1"/>
  <c r="T1296" i="4"/>
  <c r="Q1254" i="4"/>
  <c r="T1254" i="4" s="1"/>
  <c r="Q1246" i="4"/>
  <c r="T1246" i="4" s="1"/>
  <c r="Q1238" i="4"/>
  <c r="T1238" i="4" s="1"/>
  <c r="Q1230" i="4"/>
  <c r="T1230" i="4" s="1"/>
  <c r="Q1191" i="4"/>
  <c r="Q1136" i="4"/>
  <c r="Q1088" i="4"/>
  <c r="T1088" i="4" s="1"/>
  <c r="Q1011" i="4"/>
  <c r="Q950" i="4"/>
  <c r="T1408" i="4"/>
  <c r="Q1300" i="4"/>
  <c r="T1300" i="4" s="1"/>
  <c r="Q1224" i="4"/>
  <c r="Q1219" i="4"/>
  <c r="Q947" i="4"/>
  <c r="Q943" i="4"/>
  <c r="Q936" i="4"/>
  <c r="T936" i="4" s="1"/>
  <c r="Q1210" i="4"/>
  <c r="T1210" i="4" s="1"/>
  <c r="Q1207" i="4"/>
  <c r="T1207" i="4" s="1"/>
  <c r="Q1192" i="4"/>
  <c r="T1192" i="4" s="1"/>
  <c r="Q1187" i="4"/>
  <c r="Q1120" i="4"/>
  <c r="Q1043" i="4"/>
  <c r="Q1037" i="4"/>
  <c r="T1037" i="4" s="1"/>
  <c r="Q937" i="4"/>
  <c r="T937" i="4" s="1"/>
  <c r="T930" i="4"/>
  <c r="Q598" i="4"/>
  <c r="T598" i="4" s="1"/>
  <c r="T568" i="4"/>
  <c r="T1112" i="4"/>
  <c r="Q1094" i="4"/>
  <c r="Q1077" i="4"/>
  <c r="T1067" i="4"/>
  <c r="Q1053" i="4"/>
  <c r="Q1032" i="4"/>
  <c r="Q1025" i="4"/>
  <c r="T1025" i="4" s="1"/>
  <c r="Q1022" i="4"/>
  <c r="T1022" i="4" s="1"/>
  <c r="Q989" i="4"/>
  <c r="Q968" i="4"/>
  <c r="Q961" i="4"/>
  <c r="Q958" i="4"/>
  <c r="T958" i="4" s="1"/>
  <c r="Q813" i="4"/>
  <c r="T813" i="4" s="1"/>
  <c r="Q1126" i="4"/>
  <c r="Q1109" i="4"/>
  <c r="T1109" i="4" s="1"/>
  <c r="Q1063" i="4"/>
  <c r="T1063" i="4" s="1"/>
  <c r="Q1060" i="4"/>
  <c r="Q1049" i="4"/>
  <c r="Q1046" i="4"/>
  <c r="T1046" i="4" s="1"/>
  <c r="Q1026" i="4"/>
  <c r="Q1013" i="4"/>
  <c r="T1013" i="4" s="1"/>
  <c r="Q999" i="4"/>
  <c r="T999" i="4" s="1"/>
  <c r="Q996" i="4"/>
  <c r="T996" i="4" s="1"/>
  <c r="Q985" i="4"/>
  <c r="Q982" i="4"/>
  <c r="T973" i="4"/>
  <c r="Q962" i="4"/>
  <c r="T925" i="4"/>
  <c r="Q913" i="4"/>
  <c r="T913" i="4" s="1"/>
  <c r="Q897" i="4"/>
  <c r="T897" i="4" s="1"/>
  <c r="Q881" i="4"/>
  <c r="T881" i="4" s="1"/>
  <c r="Q811" i="4"/>
  <c r="Q757" i="4"/>
  <c r="T757" i="4" s="1"/>
  <c r="Q751" i="4"/>
  <c r="Q740" i="4"/>
  <c r="Q729" i="4"/>
  <c r="Q723" i="4"/>
  <c r="T723" i="4" s="1"/>
  <c r="Q675" i="4"/>
  <c r="T675" i="4" s="1"/>
  <c r="Q586" i="4"/>
  <c r="T586" i="4" s="1"/>
  <c r="T684" i="4"/>
  <c r="Q1301" i="4"/>
  <c r="T1301" i="4" s="1"/>
  <c r="Q1297" i="4"/>
  <c r="T1297" i="4" s="1"/>
  <c r="Q1293" i="4"/>
  <c r="T1293" i="4" s="1"/>
  <c r="Q1289" i="4"/>
  <c r="T1289" i="4" s="1"/>
  <c r="Q1276" i="4"/>
  <c r="T1276" i="4" s="1"/>
  <c r="Q1257" i="4"/>
  <c r="T1257" i="4" s="1"/>
  <c r="Q1249" i="4"/>
  <c r="T1249" i="4" s="1"/>
  <c r="Q1241" i="4"/>
  <c r="T1241" i="4" s="1"/>
  <c r="Q1233" i="4"/>
  <c r="T1233" i="4" s="1"/>
  <c r="Q1228" i="4"/>
  <c r="Q1218" i="4"/>
  <c r="Q1212" i="4"/>
  <c r="T1212" i="4" s="1"/>
  <c r="Q1202" i="4"/>
  <c r="T1202" i="4" s="1"/>
  <c r="Q1196" i="4"/>
  <c r="T1196" i="4" s="1"/>
  <c r="Q1186" i="4"/>
  <c r="T1186" i="4" s="1"/>
  <c r="Q1180" i="4"/>
  <c r="Q1169" i="4"/>
  <c r="Q1162" i="4"/>
  <c r="T1138" i="4"/>
  <c r="Q1061" i="4"/>
  <c r="Q1044" i="4"/>
  <c r="T1044" i="4" s="1"/>
  <c r="Q1033" i="4"/>
  <c r="Q1030" i="4"/>
  <c r="T1030" i="4" s="1"/>
  <c r="Q997" i="4"/>
  <c r="T997" i="4" s="1"/>
  <c r="Q983" i="4"/>
  <c r="Q980" i="4"/>
  <c r="Q969" i="4"/>
  <c r="T969" i="4" s="1"/>
  <c r="Q966" i="4"/>
  <c r="Q852" i="4"/>
  <c r="T852" i="4" s="1"/>
  <c r="Q805" i="4"/>
  <c r="T805" i="4" s="1"/>
  <c r="Q800" i="4"/>
  <c r="T800" i="4" s="1"/>
  <c r="Q652" i="4"/>
  <c r="T927" i="4"/>
  <c r="T921" i="4"/>
  <c r="Q856" i="4"/>
  <c r="T856" i="4" s="1"/>
  <c r="Q688" i="4"/>
  <c r="T688" i="4" s="1"/>
  <c r="Q667" i="4"/>
  <c r="T667" i="4" s="1"/>
  <c r="Q1434" i="4"/>
  <c r="T1434" i="4" s="1"/>
  <c r="Q1426" i="4"/>
  <c r="T1426" i="4" s="1"/>
  <c r="Q1418" i="4"/>
  <c r="T1418" i="4" s="1"/>
  <c r="Q1410" i="4"/>
  <c r="T1410" i="4" s="1"/>
  <c r="Q1402" i="4"/>
  <c r="T1402" i="4" s="1"/>
  <c r="Q1394" i="4"/>
  <c r="T1394" i="4" s="1"/>
  <c r="Q1386" i="4"/>
  <c r="T1386" i="4" s="1"/>
  <c r="Q1302" i="4"/>
  <c r="T1302" i="4" s="1"/>
  <c r="Q1298" i="4"/>
  <c r="T1298" i="4" s="1"/>
  <c r="Q1294" i="4"/>
  <c r="T1294" i="4" s="1"/>
  <c r="Q1255" i="4"/>
  <c r="T1255" i="4" s="1"/>
  <c r="Q1247" i="4"/>
  <c r="T1247" i="4" s="1"/>
  <c r="Q1239" i="4"/>
  <c r="T1239" i="4" s="1"/>
  <c r="Q1231" i="4"/>
  <c r="T1231" i="4" s="1"/>
  <c r="Q1215" i="4"/>
  <c r="T1215" i="4" s="1"/>
  <c r="Q1199" i="4"/>
  <c r="T1199" i="4" s="1"/>
  <c r="Q1183" i="4"/>
  <c r="Q1170" i="4"/>
  <c r="T1170" i="4" s="1"/>
  <c r="Q1149" i="4"/>
  <c r="Q1125" i="4"/>
  <c r="T1125" i="4" s="1"/>
  <c r="Q1121" i="4"/>
  <c r="Q1113" i="4"/>
  <c r="Q1110" i="4"/>
  <c r="T1083" i="4"/>
  <c r="Q1082" i="4"/>
  <c r="Q1058" i="4"/>
  <c r="T1058" i="4" s="1"/>
  <c r="Q1045" i="4"/>
  <c r="T1045" i="4" s="1"/>
  <c r="Q1024" i="4"/>
  <c r="T1024" i="4" s="1"/>
  <c r="Q1017" i="4"/>
  <c r="Q1014" i="4"/>
  <c r="Q981" i="4"/>
  <c r="T981" i="4" s="1"/>
  <c r="Q960" i="4"/>
  <c r="T960" i="4" s="1"/>
  <c r="Q953" i="4"/>
  <c r="Q944" i="4"/>
  <c r="T944" i="4" s="1"/>
  <c r="Q940" i="4"/>
  <c r="T922" i="4"/>
  <c r="Q905" i="4"/>
  <c r="T905" i="4" s="1"/>
  <c r="Q889" i="4"/>
  <c r="T889" i="4" s="1"/>
  <c r="Q873" i="4"/>
  <c r="T873" i="4" s="1"/>
  <c r="Q863" i="4"/>
  <c r="T863" i="4" s="1"/>
  <c r="Q744" i="4"/>
  <c r="T744" i="4" s="1"/>
  <c r="Q736" i="4"/>
  <c r="T736" i="4" s="1"/>
  <c r="Q691" i="4"/>
  <c r="Q671" i="4"/>
  <c r="T671" i="4" s="1"/>
  <c r="Q594" i="4"/>
  <c r="T594" i="4" s="1"/>
  <c r="Q1389" i="4"/>
  <c r="T1389" i="4" s="1"/>
  <c r="Q1381" i="4"/>
  <c r="T1381" i="4" s="1"/>
  <c r="Q1373" i="4"/>
  <c r="T1373" i="4" s="1"/>
  <c r="Q1365" i="4"/>
  <c r="T1365" i="4" s="1"/>
  <c r="Q1357" i="4"/>
  <c r="T1357" i="4" s="1"/>
  <c r="Q1349" i="4"/>
  <c r="T1349" i="4" s="1"/>
  <c r="Q1341" i="4"/>
  <c r="T1341" i="4" s="1"/>
  <c r="Q1333" i="4"/>
  <c r="T1333" i="4" s="1"/>
  <c r="Q1325" i="4"/>
  <c r="T1325" i="4" s="1"/>
  <c r="Q1317" i="4"/>
  <c r="T1317" i="4" s="1"/>
  <c r="Q1308" i="4"/>
  <c r="T1308" i="4" s="1"/>
  <c r="T1290" i="4"/>
  <c r="T1258" i="4"/>
  <c r="T1242" i="4"/>
  <c r="Q1146" i="4"/>
  <c r="T1115" i="4"/>
  <c r="Q1101" i="4"/>
  <c r="T1101" i="4" s="1"/>
  <c r="T1091" i="4"/>
  <c r="Q1090" i="4"/>
  <c r="Q1069" i="4"/>
  <c r="T1069" i="4" s="1"/>
  <c r="Q1055" i="4"/>
  <c r="T1055" i="4" s="1"/>
  <c r="Q1052" i="4"/>
  <c r="Q1005" i="4"/>
  <c r="Q991" i="4"/>
  <c r="Q988" i="4"/>
  <c r="T988" i="4" s="1"/>
  <c r="Q974" i="4"/>
  <c r="T974" i="4" s="1"/>
  <c r="T941" i="4"/>
  <c r="Q935" i="4"/>
  <c r="T923" i="4"/>
  <c r="T912" i="4"/>
  <c r="T880" i="4"/>
  <c r="Q860" i="4"/>
  <c r="T860" i="4" s="1"/>
  <c r="Q819" i="4"/>
  <c r="T819" i="4" s="1"/>
  <c r="Q816" i="4"/>
  <c r="T816" i="4" s="1"/>
  <c r="Q725" i="4"/>
  <c r="T725" i="4" s="1"/>
  <c r="Q719" i="4"/>
  <c r="T719" i="4" s="1"/>
  <c r="Q708" i="4"/>
  <c r="Q697" i="4"/>
  <c r="Q689" i="4"/>
  <c r="T689" i="4" s="1"/>
  <c r="Q673" i="4"/>
  <c r="T673" i="4" s="1"/>
  <c r="T660" i="4"/>
  <c r="Q638" i="4"/>
  <c r="T638" i="4" s="1"/>
  <c r="Q600" i="4"/>
  <c r="T600" i="4" s="1"/>
  <c r="Q596" i="4"/>
  <c r="T596" i="4" s="1"/>
  <c r="Q592" i="4"/>
  <c r="T592" i="4" s="1"/>
  <c r="Q588" i="4"/>
  <c r="T588" i="4" s="1"/>
  <c r="Q584" i="4"/>
  <c r="T584" i="4" s="1"/>
  <c r="T578" i="4"/>
  <c r="Q577" i="4"/>
  <c r="T577" i="4" s="1"/>
  <c r="Q567" i="4"/>
  <c r="T567" i="4" s="1"/>
  <c r="Q511" i="4"/>
  <c r="T511" i="4" s="1"/>
  <c r="Q503" i="4"/>
  <c r="T503" i="4" s="1"/>
  <c r="Q495" i="4"/>
  <c r="Q487" i="4"/>
  <c r="Q479" i="4"/>
  <c r="T479" i="4" s="1"/>
  <c r="Q471" i="4"/>
  <c r="T471" i="4" s="1"/>
  <c r="Q463" i="4"/>
  <c r="T463" i="4" s="1"/>
  <c r="Q455" i="4"/>
  <c r="T455" i="4" s="1"/>
  <c r="Q447" i="4"/>
  <c r="T447" i="4" s="1"/>
  <c r="Q439" i="4"/>
  <c r="T439" i="4" s="1"/>
  <c r="T340" i="4"/>
  <c r="Q313" i="4"/>
  <c r="Q303" i="4"/>
  <c r="T303" i="4" s="1"/>
  <c r="T297" i="4"/>
  <c r="Q292" i="4"/>
  <c r="T292" i="4" s="1"/>
  <c r="Q196" i="4"/>
  <c r="T196" i="4" s="1"/>
  <c r="Q188" i="4"/>
  <c r="T188" i="4" s="1"/>
  <c r="Q182" i="4"/>
  <c r="T182" i="4" s="1"/>
  <c r="Q178" i="4"/>
  <c r="Q174" i="4"/>
  <c r="Q164" i="4"/>
  <c r="T164" i="4" s="1"/>
  <c r="Q148" i="4"/>
  <c r="T148" i="4" s="1"/>
  <c r="Q132" i="4"/>
  <c r="T132" i="4" s="1"/>
  <c r="Q116" i="4"/>
  <c r="T116" i="4" s="1"/>
  <c r="Q107" i="4"/>
  <c r="T107" i="4" s="1"/>
  <c r="Q103" i="4"/>
  <c r="T103" i="4" s="1"/>
  <c r="Q99" i="4"/>
  <c r="T99" i="4" s="1"/>
  <c r="Q95" i="4"/>
  <c r="T95" i="4" s="1"/>
  <c r="Q91" i="4"/>
  <c r="T91" i="4" s="1"/>
  <c r="Q34" i="4"/>
  <c r="T34" i="4" s="1"/>
  <c r="Q31" i="4"/>
  <c r="T31" i="4" s="1"/>
  <c r="Q28" i="4"/>
  <c r="T28" i="4" s="1"/>
  <c r="Q25" i="4"/>
  <c r="T25" i="4" s="1"/>
  <c r="Q815" i="4"/>
  <c r="T815" i="4" s="1"/>
  <c r="Q808" i="4"/>
  <c r="Q804" i="4"/>
  <c r="T804" i="4" s="1"/>
  <c r="Q781" i="4"/>
  <c r="Q775" i="4"/>
  <c r="T775" i="4" s="1"/>
  <c r="Q749" i="4"/>
  <c r="T749" i="4" s="1"/>
  <c r="Q743" i="4"/>
  <c r="T743" i="4" s="1"/>
  <c r="Q734" i="4"/>
  <c r="T734" i="4" s="1"/>
  <c r="Q717" i="4"/>
  <c r="T717" i="4" s="1"/>
  <c r="Q711" i="4"/>
  <c r="Q702" i="4"/>
  <c r="T702" i="4" s="1"/>
  <c r="Q693" i="4"/>
  <c r="Q677" i="4"/>
  <c r="T677" i="4" s="1"/>
  <c r="Q642" i="4"/>
  <c r="T642" i="4" s="1"/>
  <c r="Q597" i="4"/>
  <c r="T597" i="4" s="1"/>
  <c r="Q593" i="4"/>
  <c r="T593" i="4" s="1"/>
  <c r="Q589" i="4"/>
  <c r="T589" i="4" s="1"/>
  <c r="Q585" i="4"/>
  <c r="T585" i="4" s="1"/>
  <c r="T572" i="4"/>
  <c r="Q347" i="4"/>
  <c r="T347" i="4" s="1"/>
  <c r="Q317" i="4"/>
  <c r="T317" i="4" s="1"/>
  <c r="Q310" i="4"/>
  <c r="Q300" i="4"/>
  <c r="T300" i="4" s="1"/>
  <c r="Q183" i="4"/>
  <c r="T183" i="4" s="1"/>
  <c r="Q179" i="4"/>
  <c r="T179" i="4" s="1"/>
  <c r="Q175" i="4"/>
  <c r="T175" i="4" s="1"/>
  <c r="Q171" i="4"/>
  <c r="T171" i="4" s="1"/>
  <c r="Q168" i="4"/>
  <c r="T168" i="4" s="1"/>
  <c r="Q152" i="4"/>
  <c r="T152" i="4" s="1"/>
  <c r="Q136" i="4"/>
  <c r="Q104" i="4"/>
  <c r="T104" i="4" s="1"/>
  <c r="Q100" i="4"/>
  <c r="T100" i="4" s="1"/>
  <c r="Q96" i="4"/>
  <c r="T96" i="4" s="1"/>
  <c r="Q92" i="4"/>
  <c r="T92" i="4" s="1"/>
  <c r="Q88" i="4"/>
  <c r="T88" i="4" s="1"/>
  <c r="Q26" i="4"/>
  <c r="T26" i="4" s="1"/>
  <c r="Q674" i="4"/>
  <c r="T674" i="4" s="1"/>
  <c r="Q664" i="4"/>
  <c r="T664" i="4" s="1"/>
  <c r="Q636" i="4"/>
  <c r="T636" i="4" s="1"/>
  <c r="Q633" i="4"/>
  <c r="Q625" i="4"/>
  <c r="T625" i="4" s="1"/>
  <c r="Q617" i="4"/>
  <c r="T617" i="4" s="1"/>
  <c r="Q609" i="4"/>
  <c r="T609" i="4" s="1"/>
  <c r="Q601" i="4"/>
  <c r="T601" i="4" s="1"/>
  <c r="Q575" i="4"/>
  <c r="T575" i="4" s="1"/>
  <c r="T507" i="4"/>
  <c r="T499" i="4"/>
  <c r="T491" i="4"/>
  <c r="T483" i="4"/>
  <c r="T475" i="4"/>
  <c r="T467" i="4"/>
  <c r="T459" i="4"/>
  <c r="T443" i="4"/>
  <c r="T435" i="4"/>
  <c r="Q381" i="4"/>
  <c r="T381" i="4" s="1"/>
  <c r="Q373" i="4"/>
  <c r="T373" i="4" s="1"/>
  <c r="Q362" i="4"/>
  <c r="T362" i="4" s="1"/>
  <c r="Q358" i="4"/>
  <c r="T358" i="4" s="1"/>
  <c r="Q324" i="4"/>
  <c r="T324" i="4" s="1"/>
  <c r="Q311" i="4"/>
  <c r="Q304" i="4"/>
  <c r="T304" i="4" s="1"/>
  <c r="Q290" i="4"/>
  <c r="T290" i="4" s="1"/>
  <c r="Q32" i="4"/>
  <c r="T32" i="4" s="1"/>
  <c r="Q29" i="4"/>
  <c r="T29" i="4" s="1"/>
  <c r="Q23" i="4"/>
  <c r="T23" i="4" s="1"/>
  <c r="Q14" i="4"/>
  <c r="T14" i="4" s="1"/>
  <c r="Q6" i="4"/>
  <c r="T6" i="4" s="1"/>
  <c r="Q348" i="4"/>
  <c r="T348" i="4" s="1"/>
  <c r="Q331" i="4"/>
  <c r="T331" i="4" s="1"/>
  <c r="Q295" i="4"/>
  <c r="Q291" i="4"/>
  <c r="T291" i="4" s="1"/>
  <c r="Q184" i="4"/>
  <c r="T184" i="4" s="1"/>
  <c r="Q180" i="4"/>
  <c r="Q176" i="4"/>
  <c r="Q156" i="4"/>
  <c r="T156" i="4" s="1"/>
  <c r="Q140" i="4"/>
  <c r="Q124" i="4"/>
  <c r="T124" i="4" s="1"/>
  <c r="Q105" i="4"/>
  <c r="T105" i="4" s="1"/>
  <c r="Q101" i="4"/>
  <c r="T101" i="4" s="1"/>
  <c r="Q97" i="4"/>
  <c r="T97" i="4" s="1"/>
  <c r="Q93" i="4"/>
  <c r="T93" i="4" s="1"/>
  <c r="Q89" i="4"/>
  <c r="T89" i="4" s="1"/>
  <c r="Q38" i="4"/>
  <c r="T38" i="4" s="1"/>
  <c r="T928" i="4"/>
  <c r="Q904" i="4"/>
  <c r="T904" i="4" s="1"/>
  <c r="Q888" i="4"/>
  <c r="T888" i="4" s="1"/>
  <c r="Q871" i="4"/>
  <c r="T871" i="4" s="1"/>
  <c r="Q785" i="4"/>
  <c r="Q782" i="4"/>
  <c r="T782" i="4" s="1"/>
  <c r="Q779" i="4"/>
  <c r="T779" i="4" s="1"/>
  <c r="Q753" i="4"/>
  <c r="Q747" i="4"/>
  <c r="Q738" i="4"/>
  <c r="Q721" i="4"/>
  <c r="Q715" i="4"/>
  <c r="T715" i="4" s="1"/>
  <c r="Q706" i="4"/>
  <c r="Q694" i="4"/>
  <c r="T694" i="4" s="1"/>
  <c r="Q678" i="4"/>
  <c r="T678" i="4" s="1"/>
  <c r="Q655" i="4"/>
  <c r="Q640" i="4"/>
  <c r="T640" i="4" s="1"/>
  <c r="T580" i="4"/>
  <c r="T570" i="4"/>
  <c r="Q569" i="4"/>
  <c r="T569" i="4" s="1"/>
  <c r="T457" i="4"/>
  <c r="T449" i="4"/>
  <c r="T441" i="4"/>
  <c r="Q363" i="4"/>
  <c r="T363" i="4" s="1"/>
  <c r="Q359" i="4"/>
  <c r="T359" i="4" s="1"/>
  <c r="Q355" i="4"/>
  <c r="T355" i="4" s="1"/>
  <c r="T332" i="4"/>
  <c r="Q315" i="4"/>
  <c r="T315" i="4" s="1"/>
  <c r="Q305" i="4"/>
  <c r="T305" i="4" s="1"/>
  <c r="Q298" i="4"/>
  <c r="T298" i="4" s="1"/>
  <c r="Q288" i="4"/>
  <c r="T288" i="4" s="1"/>
  <c r="Q212" i="4"/>
  <c r="T212" i="4" s="1"/>
  <c r="Q203" i="4"/>
  <c r="T203" i="4" s="1"/>
  <c r="Q195" i="4"/>
  <c r="T195" i="4" s="1"/>
  <c r="Q187" i="4"/>
  <c r="T187" i="4" s="1"/>
  <c r="Q172" i="4"/>
  <c r="T172" i="4" s="1"/>
  <c r="Q24" i="4"/>
  <c r="T24" i="4" s="1"/>
  <c r="Q12" i="4"/>
  <c r="T12" i="4" s="1"/>
  <c r="Q181" i="4"/>
  <c r="T181" i="4" s="1"/>
  <c r="Q177" i="4"/>
  <c r="T177" i="4" s="1"/>
  <c r="Q173" i="4"/>
  <c r="T173" i="4" s="1"/>
  <c r="Q160" i="4"/>
  <c r="Q144" i="4"/>
  <c r="Q128" i="4"/>
  <c r="T128" i="4" s="1"/>
  <c r="Q112" i="4"/>
  <c r="T112" i="4" s="1"/>
  <c r="Q106" i="4"/>
  <c r="T106" i="4" s="1"/>
  <c r="Q102" i="4"/>
  <c r="T102" i="4" s="1"/>
  <c r="Q98" i="4"/>
  <c r="T98" i="4" s="1"/>
  <c r="Q94" i="4"/>
  <c r="T94" i="4" s="1"/>
  <c r="Q90" i="4"/>
  <c r="T90" i="4" s="1"/>
  <c r="Q855" i="4"/>
  <c r="T855" i="4" s="1"/>
  <c r="Q777" i="4"/>
  <c r="T777" i="4" s="1"/>
  <c r="Q771" i="4"/>
  <c r="Q745" i="4"/>
  <c r="T745" i="4" s="1"/>
  <c r="Q739" i="4"/>
  <c r="T739" i="4" s="1"/>
  <c r="Q730" i="4"/>
  <c r="Q713" i="4"/>
  <c r="T713" i="4" s="1"/>
  <c r="Q707" i="4"/>
  <c r="T707" i="4" s="1"/>
  <c r="Q698" i="4"/>
  <c r="Q682" i="4"/>
  <c r="T682" i="4" s="1"/>
  <c r="Q659" i="4"/>
  <c r="Q644" i="4"/>
  <c r="T644" i="4" s="1"/>
  <c r="T574" i="4"/>
  <c r="T495" i="4"/>
  <c r="T487" i="4"/>
  <c r="Q360" i="4"/>
  <c r="T360" i="4" s="1"/>
  <c r="Q356" i="4"/>
  <c r="T356" i="4" s="1"/>
  <c r="Q339" i="4"/>
  <c r="T339" i="4" s="1"/>
  <c r="Q319" i="4"/>
  <c r="T319" i="4" s="1"/>
  <c r="Q302" i="4"/>
  <c r="T302" i="4" s="1"/>
  <c r="Q289" i="4"/>
  <c r="T289" i="4" s="1"/>
  <c r="Q216" i="4"/>
  <c r="T216" i="4" s="1"/>
  <c r="Q21" i="4"/>
  <c r="T21" i="4" s="1"/>
  <c r="T10" i="4"/>
  <c r="Q1435" i="4"/>
  <c r="T1435" i="4" s="1"/>
  <c r="Q1427" i="4"/>
  <c r="T1427" i="4" s="1"/>
  <c r="Q1419" i="4"/>
  <c r="T1419" i="4" s="1"/>
  <c r="Q1411" i="4"/>
  <c r="T1411" i="4" s="1"/>
  <c r="Q1403" i="4"/>
  <c r="T1403" i="4" s="1"/>
  <c r="Q1395" i="4"/>
  <c r="T1395" i="4" s="1"/>
  <c r="Q1387" i="4"/>
  <c r="T1387" i="4" s="1"/>
  <c r="Q1379" i="4"/>
  <c r="T1379" i="4" s="1"/>
  <c r="Q1371" i="4"/>
  <c r="T1371" i="4" s="1"/>
  <c r="Q1363" i="4"/>
  <c r="T1363" i="4" s="1"/>
  <c r="Q1355" i="4"/>
  <c r="T1355" i="4" s="1"/>
  <c r="Q1347" i="4"/>
  <c r="T1347" i="4" s="1"/>
  <c r="Q1339" i="4"/>
  <c r="T1339" i="4" s="1"/>
  <c r="Q1331" i="4"/>
  <c r="T1331" i="4" s="1"/>
  <c r="Q1323" i="4"/>
  <c r="T1323" i="4" s="1"/>
  <c r="Q1315" i="4"/>
  <c r="T1315" i="4" s="1"/>
  <c r="Q1306" i="4"/>
  <c r="T1306" i="4" s="1"/>
  <c r="Q1433" i="4"/>
  <c r="T1433" i="4" s="1"/>
  <c r="Q1425" i="4"/>
  <c r="T1425" i="4" s="1"/>
  <c r="Q1417" i="4"/>
  <c r="T1417" i="4" s="1"/>
  <c r="Q1409" i="4"/>
  <c r="T1409" i="4" s="1"/>
  <c r="Q1401" i="4"/>
  <c r="T1401" i="4" s="1"/>
  <c r="Q1393" i="4"/>
  <c r="T1393" i="4" s="1"/>
  <c r="Q1385" i="4"/>
  <c r="T1385" i="4" s="1"/>
  <c r="Q1377" i="4"/>
  <c r="T1377" i="4" s="1"/>
  <c r="Q1369" i="4"/>
  <c r="T1369" i="4" s="1"/>
  <c r="Q1361" i="4"/>
  <c r="T1361" i="4" s="1"/>
  <c r="Q1353" i="4"/>
  <c r="T1353" i="4" s="1"/>
  <c r="Q1345" i="4"/>
  <c r="T1345" i="4" s="1"/>
  <c r="Q1337" i="4"/>
  <c r="T1337" i="4" s="1"/>
  <c r="Q1329" i="4"/>
  <c r="T1329" i="4" s="1"/>
  <c r="Q1321" i="4"/>
  <c r="T1321" i="4" s="1"/>
  <c r="Q1313" i="4"/>
  <c r="T1313" i="4" s="1"/>
  <c r="Q1304" i="4"/>
  <c r="T1304" i="4" s="1"/>
  <c r="Q1436" i="4"/>
  <c r="T1436" i="4" s="1"/>
  <c r="Q1428" i="4"/>
  <c r="T1428" i="4" s="1"/>
  <c r="Q1420" i="4"/>
  <c r="T1420" i="4" s="1"/>
  <c r="Q1412" i="4"/>
  <c r="T1412" i="4" s="1"/>
  <c r="Q1404" i="4"/>
  <c r="T1404" i="4" s="1"/>
  <c r="Q1396" i="4"/>
  <c r="T1396" i="4" s="1"/>
  <c r="Q1388" i="4"/>
  <c r="T1388" i="4" s="1"/>
  <c r="Q1380" i="4"/>
  <c r="T1380" i="4" s="1"/>
  <c r="Q1372" i="4"/>
  <c r="T1372" i="4" s="1"/>
  <c r="Q1364" i="4"/>
  <c r="T1364" i="4" s="1"/>
  <c r="Q1356" i="4"/>
  <c r="T1356" i="4" s="1"/>
  <c r="Q1348" i="4"/>
  <c r="T1348" i="4" s="1"/>
  <c r="Q1340" i="4"/>
  <c r="T1340" i="4" s="1"/>
  <c r="Q1332" i="4"/>
  <c r="T1332" i="4" s="1"/>
  <c r="Q1324" i="4"/>
  <c r="T1324" i="4" s="1"/>
  <c r="Q1316" i="4"/>
  <c r="T1316" i="4" s="1"/>
  <c r="Q1307" i="4"/>
  <c r="T1307" i="4" s="1"/>
  <c r="Q1415" i="4"/>
  <c r="T1415" i="4" s="1"/>
  <c r="Q1407" i="4"/>
  <c r="T1407" i="4" s="1"/>
  <c r="Q1399" i="4"/>
  <c r="T1399" i="4" s="1"/>
  <c r="Q1391" i="4"/>
  <c r="T1391" i="4" s="1"/>
  <c r="Q1383" i="4"/>
  <c r="T1383" i="4" s="1"/>
  <c r="Q1375" i="4"/>
  <c r="T1375" i="4" s="1"/>
  <c r="Q1367" i="4"/>
  <c r="T1367" i="4" s="1"/>
  <c r="Q1359" i="4"/>
  <c r="T1359" i="4" s="1"/>
  <c r="Q1351" i="4"/>
  <c r="T1351" i="4" s="1"/>
  <c r="Q1343" i="4"/>
  <c r="T1343" i="4" s="1"/>
  <c r="Q1335" i="4"/>
  <c r="T1335" i="4" s="1"/>
  <c r="Q1327" i="4"/>
  <c r="T1327" i="4" s="1"/>
  <c r="Q1319" i="4"/>
  <c r="T1319" i="4" s="1"/>
  <c r="Q1311" i="4"/>
  <c r="T1311" i="4" s="1"/>
  <c r="Q1378" i="4"/>
  <c r="T1378" i="4" s="1"/>
  <c r="Q1370" i="4"/>
  <c r="T1370" i="4" s="1"/>
  <c r="Q1362" i="4"/>
  <c r="T1362" i="4" s="1"/>
  <c r="Q1354" i="4"/>
  <c r="T1354" i="4" s="1"/>
  <c r="Q1346" i="4"/>
  <c r="T1346" i="4" s="1"/>
  <c r="Q1338" i="4"/>
  <c r="T1338" i="4" s="1"/>
  <c r="Q1330" i="4"/>
  <c r="T1330" i="4" s="1"/>
  <c r="Q1322" i="4"/>
  <c r="T1322" i="4" s="1"/>
  <c r="Q1314" i="4"/>
  <c r="T1314" i="4" s="1"/>
  <c r="Q1305" i="4"/>
  <c r="T1305" i="4" s="1"/>
  <c r="Q1286" i="4"/>
  <c r="T1286" i="4" s="1"/>
  <c r="Q1278" i="4"/>
  <c r="T1278" i="4" s="1"/>
  <c r="T1273" i="4"/>
  <c r="Q1270" i="4"/>
  <c r="T1270" i="4" s="1"/>
  <c r="Q1262" i="4"/>
  <c r="T1262" i="4" s="1"/>
  <c r="Q1172" i="4"/>
  <c r="T1172" i="4" s="1"/>
  <c r="Q1161" i="4"/>
  <c r="T1161" i="4" s="1"/>
  <c r="Q1284" i="4"/>
  <c r="T1284" i="4" s="1"/>
  <c r="Q1268" i="4"/>
  <c r="T1268" i="4" s="1"/>
  <c r="Q1282" i="4"/>
  <c r="T1282" i="4" s="1"/>
  <c r="Q1274" i="4"/>
  <c r="T1274" i="4" s="1"/>
  <c r="Q1266" i="4"/>
  <c r="T1266" i="4" s="1"/>
  <c r="Q1177" i="4"/>
  <c r="T1177" i="4" s="1"/>
  <c r="Q1156" i="4"/>
  <c r="T1156" i="4" s="1"/>
  <c r="Q1285" i="4"/>
  <c r="T1285" i="4" s="1"/>
  <c r="Q1277" i="4"/>
  <c r="T1277" i="4" s="1"/>
  <c r="Q1269" i="4"/>
  <c r="T1269" i="4" s="1"/>
  <c r="Q1261" i="4"/>
  <c r="T1261" i="4" s="1"/>
  <c r="Q1229" i="4"/>
  <c r="T1229" i="4" s="1"/>
  <c r="Q1213" i="4"/>
  <c r="T1213" i="4" s="1"/>
  <c r="Q1197" i="4"/>
  <c r="T1197" i="4" s="1"/>
  <c r="Q1181" i="4"/>
  <c r="T1181" i="4" s="1"/>
  <c r="Q1288" i="4"/>
  <c r="T1288" i="4" s="1"/>
  <c r="T1283" i="4"/>
  <c r="Q1280" i="4"/>
  <c r="T1280" i="4" s="1"/>
  <c r="T1275" i="4"/>
  <c r="Q1272" i="4"/>
  <c r="T1272" i="4" s="1"/>
  <c r="Q1264" i="4"/>
  <c r="T1264" i="4" s="1"/>
  <c r="Q1220" i="4"/>
  <c r="T1220" i="4" s="1"/>
  <c r="Q1204" i="4"/>
  <c r="T1204" i="4" s="1"/>
  <c r="Q1188" i="4"/>
  <c r="T1188" i="4" s="1"/>
  <c r="Q1164" i="4"/>
  <c r="T1164" i="4" s="1"/>
  <c r="T1225" i="4"/>
  <c r="T1217" i="4"/>
  <c r="T1209" i="4"/>
  <c r="T1201" i="4"/>
  <c r="T1185" i="4"/>
  <c r="T1169" i="4"/>
  <c r="T1149" i="4"/>
  <c r="T1136" i="4"/>
  <c r="Q1135" i="4"/>
  <c r="T1135" i="4" s="1"/>
  <c r="Q1114" i="4"/>
  <c r="Q1095" i="4"/>
  <c r="T1095" i="4" s="1"/>
  <c r="Q1084" i="4"/>
  <c r="T1084" i="4" s="1"/>
  <c r="Q1066" i="4"/>
  <c r="T1066" i="4" s="1"/>
  <c r="Q1039" i="4"/>
  <c r="T1039" i="4" s="1"/>
  <c r="Q1036" i="4"/>
  <c r="T1036" i="4" s="1"/>
  <c r="Q1002" i="4"/>
  <c r="T1002" i="4" s="1"/>
  <c r="Q975" i="4"/>
  <c r="T975" i="4" s="1"/>
  <c r="Q972" i="4"/>
  <c r="T972" i="4" s="1"/>
  <c r="T1226" i="4"/>
  <c r="T1218" i="4"/>
  <c r="T1194" i="4"/>
  <c r="T1178" i="4"/>
  <c r="T1162" i="4"/>
  <c r="Q1127" i="4"/>
  <c r="T1227" i="4"/>
  <c r="T1219" i="4"/>
  <c r="T1211" i="4"/>
  <c r="T1203" i="4"/>
  <c r="T1195" i="4"/>
  <c r="T1187" i="4"/>
  <c r="T1179" i="4"/>
  <c r="T1171" i="4"/>
  <c r="T1163" i="4"/>
  <c r="T1155" i="4"/>
  <c r="Q1154" i="4"/>
  <c r="T1154" i="4" s="1"/>
  <c r="Q1132" i="4"/>
  <c r="T1132" i="4" s="1"/>
  <c r="T1120" i="4"/>
  <c r="Q1119" i="4"/>
  <c r="T1119" i="4" s="1"/>
  <c r="Q1111" i="4"/>
  <c r="T1111" i="4" s="1"/>
  <c r="T1104" i="4"/>
  <c r="Q1100" i="4"/>
  <c r="T1100" i="4" s="1"/>
  <c r="Q1085" i="4"/>
  <c r="T1085" i="4" s="1"/>
  <c r="T1075" i="4"/>
  <c r="Q1074" i="4"/>
  <c r="T1074" i="4" s="1"/>
  <c r="T1061" i="4"/>
  <c r="Q1050" i="4"/>
  <c r="T1050" i="4" s="1"/>
  <c r="Q1023" i="4"/>
  <c r="T1023" i="4" s="1"/>
  <c r="Q986" i="4"/>
  <c r="T986" i="4" s="1"/>
  <c r="Q959" i="4"/>
  <c r="T959" i="4" s="1"/>
  <c r="Q956" i="4"/>
  <c r="T956" i="4" s="1"/>
  <c r="T1228" i="4"/>
  <c r="T1180" i="4"/>
  <c r="T1146" i="4"/>
  <c r="Q1141" i="4"/>
  <c r="T1141" i="4" s="1"/>
  <c r="Q1124" i="4"/>
  <c r="T1124" i="4" s="1"/>
  <c r="Q1108" i="4"/>
  <c r="T1108" i="4" s="1"/>
  <c r="Q1093" i="4"/>
  <c r="T1093" i="4" s="1"/>
  <c r="Q1047" i="4"/>
  <c r="T1047" i="4" s="1"/>
  <c r="T1021" i="4"/>
  <c r="Q1010" i="4"/>
  <c r="T957" i="4"/>
  <c r="T949" i="4"/>
  <c r="T1221" i="4"/>
  <c r="T1205" i="4"/>
  <c r="T1189" i="4"/>
  <c r="T1173" i="4"/>
  <c r="T1165" i="4"/>
  <c r="T1157" i="4"/>
  <c r="T1222" i="4"/>
  <c r="T1206" i="4"/>
  <c r="T1198" i="4"/>
  <c r="T1190" i="4"/>
  <c r="T1182" i="4"/>
  <c r="T1174" i="4"/>
  <c r="T1166" i="4"/>
  <c r="T1152" i="4"/>
  <c r="Q1151" i="4"/>
  <c r="T1151" i="4" s="1"/>
  <c r="T1005" i="4"/>
  <c r="Q994" i="4"/>
  <c r="T994" i="4" s="1"/>
  <c r="T1191" i="4"/>
  <c r="T1183" i="4"/>
  <c r="T1159" i="4"/>
  <c r="T1131" i="4"/>
  <c r="Q1130" i="4"/>
  <c r="T1130" i="4" s="1"/>
  <c r="Q1117" i="4"/>
  <c r="T1117" i="4" s="1"/>
  <c r="T1099" i="4"/>
  <c r="Q1098" i="4"/>
  <c r="T1098" i="4" s="1"/>
  <c r="Q1079" i="4"/>
  <c r="Q1076" i="4"/>
  <c r="T1076" i="4" s="1"/>
  <c r="T1029" i="4"/>
  <c r="Q1018" i="4"/>
  <c r="T1018" i="4" s="1"/>
  <c r="T965" i="4"/>
  <c r="Q954" i="4"/>
  <c r="T1224" i="4"/>
  <c r="T1216" i="4"/>
  <c r="T1208" i="4"/>
  <c r="T1200" i="4"/>
  <c r="T1184" i="4"/>
  <c r="T1176" i="4"/>
  <c r="T1168" i="4"/>
  <c r="T1144" i="4"/>
  <c r="Q1143" i="4"/>
  <c r="T1143" i="4" s="1"/>
  <c r="T1123" i="4"/>
  <c r="Q1122" i="4"/>
  <c r="T1122" i="4" s="1"/>
  <c r="T1107" i="4"/>
  <c r="Q1106" i="4"/>
  <c r="T1106" i="4" s="1"/>
  <c r="Q1087" i="4"/>
  <c r="T1087" i="4" s="1"/>
  <c r="T1077" i="4"/>
  <c r="T1053" i="4"/>
  <c r="Q1042" i="4"/>
  <c r="T1042" i="4" s="1"/>
  <c r="Q1015" i="4"/>
  <c r="T1015" i="4" s="1"/>
  <c r="Q1012" i="4"/>
  <c r="T1012" i="4" s="1"/>
  <c r="T989" i="4"/>
  <c r="Q978" i="4"/>
  <c r="T978" i="4" s="1"/>
  <c r="Q946" i="4"/>
  <c r="T946" i="4" s="1"/>
  <c r="T1148" i="4"/>
  <c r="T1140" i="4"/>
  <c r="T1116" i="4"/>
  <c r="T1092" i="4"/>
  <c r="T1060" i="4"/>
  <c r="T1052" i="4"/>
  <c r="T1028" i="4"/>
  <c r="T1020" i="4"/>
  <c r="T1004" i="4"/>
  <c r="T980" i="4"/>
  <c r="T964" i="4"/>
  <c r="T948" i="4"/>
  <c r="T940" i="4"/>
  <c r="T932" i="4"/>
  <c r="Q901" i="4"/>
  <c r="T1142" i="4"/>
  <c r="T1134" i="4"/>
  <c r="T1126" i="4"/>
  <c r="T1118" i="4"/>
  <c r="T1110" i="4"/>
  <c r="T1102" i="4"/>
  <c r="T1094" i="4"/>
  <c r="T1086" i="4"/>
  <c r="T1078" i="4"/>
  <c r="T1070" i="4"/>
  <c r="T1062" i="4"/>
  <c r="T1054" i="4"/>
  <c r="T1038" i="4"/>
  <c r="T1014" i="4"/>
  <c r="T1006" i="4"/>
  <c r="T998" i="4"/>
  <c r="T990" i="4"/>
  <c r="T982" i="4"/>
  <c r="T966" i="4"/>
  <c r="T950" i="4"/>
  <c r="T934" i="4"/>
  <c r="T926" i="4"/>
  <c r="Q885" i="4"/>
  <c r="T885" i="4" s="1"/>
  <c r="T1127" i="4"/>
  <c r="T1103" i="4"/>
  <c r="T1079" i="4"/>
  <c r="T1071" i="4"/>
  <c r="T1031" i="4"/>
  <c r="T1007" i="4"/>
  <c r="T991" i="4"/>
  <c r="T983" i="4"/>
  <c r="T951" i="4"/>
  <c r="T943" i="4"/>
  <c r="T935" i="4"/>
  <c r="Q909" i="4"/>
  <c r="T909" i="4" s="1"/>
  <c r="T868" i="4"/>
  <c r="T1072" i="4"/>
  <c r="T1064" i="4"/>
  <c r="T1056" i="4"/>
  <c r="T1048" i="4"/>
  <c r="T1032" i="4"/>
  <c r="T1016" i="4"/>
  <c r="T1008" i="4"/>
  <c r="T1000" i="4"/>
  <c r="T992" i="4"/>
  <c r="T984" i="4"/>
  <c r="T976" i="4"/>
  <c r="T968" i="4"/>
  <c r="T952" i="4"/>
  <c r="T1153" i="4"/>
  <c r="T1145" i="4"/>
  <c r="T1137" i="4"/>
  <c r="T1129" i="4"/>
  <c r="T1121" i="4"/>
  <c r="T1113" i="4"/>
  <c r="T1105" i="4"/>
  <c r="T1097" i="4"/>
  <c r="T1089" i="4"/>
  <c r="T1073" i="4"/>
  <c r="T1065" i="4"/>
  <c r="T1057" i="4"/>
  <c r="T1049" i="4"/>
  <c r="T1041" i="4"/>
  <c r="T1033" i="4"/>
  <c r="T1017" i="4"/>
  <c r="T1009" i="4"/>
  <c r="T1001" i="4"/>
  <c r="T993" i="4"/>
  <c r="T985" i="4"/>
  <c r="T977" i="4"/>
  <c r="T961" i="4"/>
  <c r="T953" i="4"/>
  <c r="T945" i="4"/>
  <c r="T929" i="4"/>
  <c r="Q893" i="4"/>
  <c r="T893" i="4" s="1"/>
  <c r="T1114" i="4"/>
  <c r="T1090" i="4"/>
  <c r="T1082" i="4"/>
  <c r="T1034" i="4"/>
  <c r="T1026" i="4"/>
  <c r="T1010" i="4"/>
  <c r="T970" i="4"/>
  <c r="T962" i="4"/>
  <c r="T954" i="4"/>
  <c r="T938" i="4"/>
  <c r="Q917" i="4"/>
  <c r="T917" i="4" s="1"/>
  <c r="T877" i="4"/>
  <c r="T1059" i="4"/>
  <c r="T1051" i="4"/>
  <c r="T1043" i="4"/>
  <c r="T1035" i="4"/>
  <c r="T1027" i="4"/>
  <c r="T1019" i="4"/>
  <c r="T1011" i="4"/>
  <c r="T1003" i="4"/>
  <c r="T995" i="4"/>
  <c r="T987" i="4"/>
  <c r="T979" i="4"/>
  <c r="T971" i="4"/>
  <c r="T963" i="4"/>
  <c r="T955" i="4"/>
  <c r="T947" i="4"/>
  <c r="T939" i="4"/>
  <c r="T931" i="4"/>
  <c r="T901" i="4"/>
  <c r="Q916" i="4"/>
  <c r="T916" i="4" s="1"/>
  <c r="Q908" i="4"/>
  <c r="T908" i="4" s="1"/>
  <c r="Q900" i="4"/>
  <c r="T900" i="4" s="1"/>
  <c r="Q892" i="4"/>
  <c r="T892" i="4" s="1"/>
  <c r="Q884" i="4"/>
  <c r="T884" i="4" s="1"/>
  <c r="Q876" i="4"/>
  <c r="T876" i="4" s="1"/>
  <c r="Q867" i="4"/>
  <c r="T867" i="4" s="1"/>
  <c r="Q859" i="4"/>
  <c r="T859" i="4" s="1"/>
  <c r="Q851" i="4"/>
  <c r="T851" i="4" s="1"/>
  <c r="Q846" i="4"/>
  <c r="T846" i="4" s="1"/>
  <c r="Q842" i="4"/>
  <c r="T842" i="4" s="1"/>
  <c r="Q838" i="4"/>
  <c r="T838" i="4" s="1"/>
  <c r="Q834" i="4"/>
  <c r="T834" i="4" s="1"/>
  <c r="Q830" i="4"/>
  <c r="T830" i="4" s="1"/>
  <c r="Q826" i="4"/>
  <c r="T826" i="4" s="1"/>
  <c r="Q822" i="4"/>
  <c r="T822" i="4" s="1"/>
  <c r="Q818" i="4"/>
  <c r="T818" i="4" s="1"/>
  <c r="Q786" i="4"/>
  <c r="T786" i="4" s="1"/>
  <c r="Q918" i="4"/>
  <c r="T918" i="4" s="1"/>
  <c r="Q910" i="4"/>
  <c r="T910" i="4" s="1"/>
  <c r="Q902" i="4"/>
  <c r="T902" i="4" s="1"/>
  <c r="Q894" i="4"/>
  <c r="T894" i="4" s="1"/>
  <c r="Q886" i="4"/>
  <c r="T886" i="4" s="1"/>
  <c r="Q878" i="4"/>
  <c r="T878" i="4" s="1"/>
  <c r="Q869" i="4"/>
  <c r="T869" i="4" s="1"/>
  <c r="Q861" i="4"/>
  <c r="T861" i="4" s="1"/>
  <c r="Q853" i="4"/>
  <c r="T853" i="4" s="1"/>
  <c r="Q847" i="4"/>
  <c r="T847" i="4" s="1"/>
  <c r="Q843" i="4"/>
  <c r="T843" i="4" s="1"/>
  <c r="Q839" i="4"/>
  <c r="T839" i="4" s="1"/>
  <c r="Q835" i="4"/>
  <c r="T835" i="4" s="1"/>
  <c r="Q831" i="4"/>
  <c r="T831" i="4" s="1"/>
  <c r="Q827" i="4"/>
  <c r="T827" i="4" s="1"/>
  <c r="Q778" i="4"/>
  <c r="T778" i="4" s="1"/>
  <c r="Q919" i="4"/>
  <c r="T919" i="4" s="1"/>
  <c r="Q911" i="4"/>
  <c r="T911" i="4" s="1"/>
  <c r="Q903" i="4"/>
  <c r="T903" i="4" s="1"/>
  <c r="Q895" i="4"/>
  <c r="T895" i="4" s="1"/>
  <c r="Q887" i="4"/>
  <c r="T887" i="4" s="1"/>
  <c r="Q879" i="4"/>
  <c r="T879" i="4" s="1"/>
  <c r="Q870" i="4"/>
  <c r="T870" i="4" s="1"/>
  <c r="Q862" i="4"/>
  <c r="T862" i="4" s="1"/>
  <c r="Q854" i="4"/>
  <c r="T854" i="4" s="1"/>
  <c r="Q812" i="4"/>
  <c r="Q920" i="4"/>
  <c r="T920" i="4" s="1"/>
  <c r="Q844" i="4"/>
  <c r="T844" i="4" s="1"/>
  <c r="Q840" i="4"/>
  <c r="T840" i="4" s="1"/>
  <c r="Q836" i="4"/>
  <c r="T836" i="4" s="1"/>
  <c r="Q832" i="4"/>
  <c r="T832" i="4" s="1"/>
  <c r="Q828" i="4"/>
  <c r="T828" i="4" s="1"/>
  <c r="Q824" i="4"/>
  <c r="T824" i="4" s="1"/>
  <c r="Q820" i="4"/>
  <c r="T820" i="4" s="1"/>
  <c r="Q802" i="4"/>
  <c r="T802" i="4" s="1"/>
  <c r="Q770" i="4"/>
  <c r="T770" i="4" s="1"/>
  <c r="Q914" i="4"/>
  <c r="T914" i="4" s="1"/>
  <c r="Q906" i="4"/>
  <c r="T906" i="4" s="1"/>
  <c r="Q898" i="4"/>
  <c r="T898" i="4" s="1"/>
  <c r="Q890" i="4"/>
  <c r="T890" i="4" s="1"/>
  <c r="Q882" i="4"/>
  <c r="T882" i="4" s="1"/>
  <c r="Q874" i="4"/>
  <c r="T874" i="4" s="1"/>
  <c r="Q865" i="4"/>
  <c r="T865" i="4" s="1"/>
  <c r="Q857" i="4"/>
  <c r="T857" i="4" s="1"/>
  <c r="Q849" i="4"/>
  <c r="T849" i="4" s="1"/>
  <c r="Q845" i="4"/>
  <c r="T845" i="4" s="1"/>
  <c r="Q841" i="4"/>
  <c r="T841" i="4" s="1"/>
  <c r="Q837" i="4"/>
  <c r="T837" i="4" s="1"/>
  <c r="Q833" i="4"/>
  <c r="T833" i="4" s="1"/>
  <c r="Q829" i="4"/>
  <c r="T829" i="4" s="1"/>
  <c r="Q825" i="4"/>
  <c r="T825" i="4" s="1"/>
  <c r="Q821" i="4"/>
  <c r="T821" i="4" s="1"/>
  <c r="Q810" i="4"/>
  <c r="T810" i="4" s="1"/>
  <c r="Q794" i="4"/>
  <c r="T794" i="4" s="1"/>
  <c r="Q762" i="4"/>
  <c r="T762" i="4" s="1"/>
  <c r="Q915" i="4"/>
  <c r="T915" i="4" s="1"/>
  <c r="Q907" i="4"/>
  <c r="T907" i="4" s="1"/>
  <c r="Q899" i="4"/>
  <c r="T899" i="4" s="1"/>
  <c r="Q891" i="4"/>
  <c r="T891" i="4" s="1"/>
  <c r="Q883" i="4"/>
  <c r="T883" i="4" s="1"/>
  <c r="Q875" i="4"/>
  <c r="T875" i="4" s="1"/>
  <c r="Q866" i="4"/>
  <c r="T866" i="4" s="1"/>
  <c r="Q858" i="4"/>
  <c r="T858" i="4" s="1"/>
  <c r="Q850" i="4"/>
  <c r="T850" i="4" s="1"/>
  <c r="Q807" i="4"/>
  <c r="T807" i="4" s="1"/>
  <c r="Q774" i="4"/>
  <c r="T774" i="4" s="1"/>
  <c r="T814" i="4"/>
  <c r="T806" i="4"/>
  <c r="T796" i="4"/>
  <c r="T792" i="4"/>
  <c r="T788" i="4"/>
  <c r="T784" i="4"/>
  <c r="T780" i="4"/>
  <c r="T772" i="4"/>
  <c r="T768" i="4"/>
  <c r="T760" i="4"/>
  <c r="T756" i="4"/>
  <c r="T752" i="4"/>
  <c r="T748" i="4"/>
  <c r="T740" i="4"/>
  <c r="T732" i="4"/>
  <c r="T728" i="4"/>
  <c r="T724" i="4"/>
  <c r="T720" i="4"/>
  <c r="T716" i="4"/>
  <c r="T708" i="4"/>
  <c r="T704" i="4"/>
  <c r="T700" i="4"/>
  <c r="T696" i="4"/>
  <c r="Q651" i="4"/>
  <c r="T651" i="4" s="1"/>
  <c r="T808" i="4"/>
  <c r="T797" i="4"/>
  <c r="T793" i="4"/>
  <c r="T789" i="4"/>
  <c r="T785" i="4"/>
  <c r="T781" i="4"/>
  <c r="T769" i="4"/>
  <c r="T765" i="4"/>
  <c r="T761" i="4"/>
  <c r="T753" i="4"/>
  <c r="T741" i="4"/>
  <c r="T737" i="4"/>
  <c r="T733" i="4"/>
  <c r="T729" i="4"/>
  <c r="T721" i="4"/>
  <c r="T709" i="4"/>
  <c r="T705" i="4"/>
  <c r="T701" i="4"/>
  <c r="T697" i="4"/>
  <c r="T693" i="4"/>
  <c r="T685" i="4"/>
  <c r="T817" i="4"/>
  <c r="T809" i="4"/>
  <c r="T798" i="4"/>
  <c r="T790" i="4"/>
  <c r="T766" i="4"/>
  <c r="T758" i="4"/>
  <c r="T750" i="4"/>
  <c r="T746" i="4"/>
  <c r="T742" i="4"/>
  <c r="T738" i="4"/>
  <c r="T730" i="4"/>
  <c r="T726" i="4"/>
  <c r="T718" i="4"/>
  <c r="T710" i="4"/>
  <c r="T706" i="4"/>
  <c r="T698" i="4"/>
  <c r="T690" i="4"/>
  <c r="T686" i="4"/>
  <c r="T811" i="4"/>
  <c r="T803" i="4"/>
  <c r="T812" i="4"/>
  <c r="T799" i="4"/>
  <c r="T795" i="4"/>
  <c r="T791" i="4"/>
  <c r="T787" i="4"/>
  <c r="T783" i="4"/>
  <c r="T771" i="4"/>
  <c r="T767" i="4"/>
  <c r="T763" i="4"/>
  <c r="T759" i="4"/>
  <c r="T755" i="4"/>
  <c r="T751" i="4"/>
  <c r="T747" i="4"/>
  <c r="T735" i="4"/>
  <c r="T731" i="4"/>
  <c r="T727" i="4"/>
  <c r="T711" i="4"/>
  <c r="T703" i="4"/>
  <c r="T699" i="4"/>
  <c r="T695" i="4"/>
  <c r="T691" i="4"/>
  <c r="T687" i="4"/>
  <c r="Q647" i="4"/>
  <c r="T647" i="4" s="1"/>
  <c r="Q643" i="4"/>
  <c r="T643" i="4" s="1"/>
  <c r="Q639" i="4"/>
  <c r="T639" i="4" s="1"/>
  <c r="Q635" i="4"/>
  <c r="T635" i="4" s="1"/>
  <c r="Q632" i="4"/>
  <c r="T632" i="4" s="1"/>
  <c r="Q624" i="4"/>
  <c r="T624" i="4" s="1"/>
  <c r="Q616" i="4"/>
  <c r="T616" i="4" s="1"/>
  <c r="Q608" i="4"/>
  <c r="T608" i="4" s="1"/>
  <c r="T652" i="4"/>
  <c r="T648" i="4"/>
  <c r="Q627" i="4"/>
  <c r="T627" i="4" s="1"/>
  <c r="Q619" i="4"/>
  <c r="T619" i="4" s="1"/>
  <c r="Q611" i="4"/>
  <c r="T611" i="4" s="1"/>
  <c r="T606" i="4"/>
  <c r="Q603" i="4"/>
  <c r="T603" i="4" s="1"/>
  <c r="Q581" i="4"/>
  <c r="T581" i="4" s="1"/>
  <c r="Q656" i="4"/>
  <c r="T656" i="4" s="1"/>
  <c r="T633" i="4"/>
  <c r="Q630" i="4"/>
  <c r="T630" i="4" s="1"/>
  <c r="Q622" i="4"/>
  <c r="T622" i="4" s="1"/>
  <c r="Q665" i="4"/>
  <c r="T665" i="4" s="1"/>
  <c r="Q661" i="4"/>
  <c r="T661" i="4" s="1"/>
  <c r="Q657" i="4"/>
  <c r="T657" i="4" s="1"/>
  <c r="Q653" i="4"/>
  <c r="T653" i="4" s="1"/>
  <c r="Q649" i="4"/>
  <c r="T649" i="4" s="1"/>
  <c r="Q645" i="4"/>
  <c r="T645" i="4" s="1"/>
  <c r="Q641" i="4"/>
  <c r="T641" i="4" s="1"/>
  <c r="Q637" i="4"/>
  <c r="T637" i="4" s="1"/>
  <c r="Q628" i="4"/>
  <c r="T628" i="4" s="1"/>
  <c r="Q620" i="4"/>
  <c r="T620" i="4" s="1"/>
  <c r="Q612" i="4"/>
  <c r="T612" i="4" s="1"/>
  <c r="Q604" i="4"/>
  <c r="T604" i="4" s="1"/>
  <c r="T646" i="4"/>
  <c r="T634" i="4"/>
  <c r="Q631" i="4"/>
  <c r="T631" i="4" s="1"/>
  <c r="T626" i="4"/>
  <c r="Q623" i="4"/>
  <c r="T623" i="4" s="1"/>
  <c r="T618" i="4"/>
  <c r="Q615" i="4"/>
  <c r="T615" i="4" s="1"/>
  <c r="T610" i="4"/>
  <c r="Q607" i="4"/>
  <c r="T607" i="4" s="1"/>
  <c r="T602" i="4"/>
  <c r="T599" i="4"/>
  <c r="Q662" i="4"/>
  <c r="T662" i="4" s="1"/>
  <c r="Q658" i="4"/>
  <c r="T658" i="4" s="1"/>
  <c r="Q654" i="4"/>
  <c r="T654" i="4" s="1"/>
  <c r="Q650" i="4"/>
  <c r="T650" i="4" s="1"/>
  <c r="T663" i="4"/>
  <c r="T659" i="4"/>
  <c r="T655" i="4"/>
  <c r="Q566" i="4"/>
  <c r="T566" i="4" s="1"/>
  <c r="Q562" i="4"/>
  <c r="T562" i="4" s="1"/>
  <c r="Q558" i="4"/>
  <c r="T558" i="4" s="1"/>
  <c r="Q554" i="4"/>
  <c r="T554" i="4" s="1"/>
  <c r="Q550" i="4"/>
  <c r="T550" i="4" s="1"/>
  <c r="Q546" i="4"/>
  <c r="T546" i="4" s="1"/>
  <c r="Q542" i="4"/>
  <c r="T542" i="4" s="1"/>
  <c r="Q538" i="4"/>
  <c r="T538" i="4" s="1"/>
  <c r="Q534" i="4"/>
  <c r="T534" i="4" s="1"/>
  <c r="Q530" i="4"/>
  <c r="T530" i="4" s="1"/>
  <c r="Q526" i="4"/>
  <c r="T526" i="4" s="1"/>
  <c r="Q522" i="4"/>
  <c r="T522" i="4" s="1"/>
  <c r="Q518" i="4"/>
  <c r="T518" i="4" s="1"/>
  <c r="Q514" i="4"/>
  <c r="T514" i="4" s="1"/>
  <c r="Q510" i="4"/>
  <c r="T510" i="4" s="1"/>
  <c r="Q506" i="4"/>
  <c r="T506" i="4" s="1"/>
  <c r="Q502" i="4"/>
  <c r="T502" i="4" s="1"/>
  <c r="Q498" i="4"/>
  <c r="T498" i="4" s="1"/>
  <c r="Q494" i="4"/>
  <c r="T494" i="4" s="1"/>
  <c r="Q490" i="4"/>
  <c r="T490" i="4" s="1"/>
  <c r="Q486" i="4"/>
  <c r="T486" i="4" s="1"/>
  <c r="Q482" i="4"/>
  <c r="T482" i="4" s="1"/>
  <c r="Q478" i="4"/>
  <c r="T478" i="4" s="1"/>
  <c r="Q474" i="4"/>
  <c r="T474" i="4" s="1"/>
  <c r="Q470" i="4"/>
  <c r="T470" i="4" s="1"/>
  <c r="Q466" i="4"/>
  <c r="T466" i="4" s="1"/>
  <c r="Q462" i="4"/>
  <c r="T462" i="4" s="1"/>
  <c r="Q458" i="4"/>
  <c r="T458" i="4" s="1"/>
  <c r="Q454" i="4"/>
  <c r="T454" i="4" s="1"/>
  <c r="Q450" i="4"/>
  <c r="T450" i="4" s="1"/>
  <c r="Q446" i="4"/>
  <c r="T446" i="4" s="1"/>
  <c r="Q442" i="4"/>
  <c r="T442" i="4" s="1"/>
  <c r="Q438" i="4"/>
  <c r="T438" i="4" s="1"/>
  <c r="Q434" i="4"/>
  <c r="T434" i="4" s="1"/>
  <c r="T431" i="4"/>
  <c r="Q428" i="4"/>
  <c r="T428" i="4" s="1"/>
  <c r="T423" i="4"/>
  <c r="Q420" i="4"/>
  <c r="T420" i="4" s="1"/>
  <c r="T415" i="4"/>
  <c r="Q412" i="4"/>
  <c r="T412" i="4" s="1"/>
  <c r="T407" i="4"/>
  <c r="Q404" i="4"/>
  <c r="T399" i="4"/>
  <c r="Q396" i="4"/>
  <c r="T396" i="4" s="1"/>
  <c r="Q563" i="4"/>
  <c r="T563" i="4" s="1"/>
  <c r="Q559" i="4"/>
  <c r="T559" i="4" s="1"/>
  <c r="Q555" i="4"/>
  <c r="T555" i="4" s="1"/>
  <c r="Q551" i="4"/>
  <c r="T551" i="4" s="1"/>
  <c r="Q547" i="4"/>
  <c r="T547" i="4" s="1"/>
  <c r="Q543" i="4"/>
  <c r="T543" i="4" s="1"/>
  <c r="Q539" i="4"/>
  <c r="T539" i="4" s="1"/>
  <c r="Q535" i="4"/>
  <c r="T535" i="4" s="1"/>
  <c r="Q531" i="4"/>
  <c r="T531" i="4" s="1"/>
  <c r="Q527" i="4"/>
  <c r="T527" i="4" s="1"/>
  <c r="Q523" i="4"/>
  <c r="T523" i="4" s="1"/>
  <c r="Q519" i="4"/>
  <c r="T519" i="4" s="1"/>
  <c r="Q515" i="4"/>
  <c r="T515" i="4" s="1"/>
  <c r="Q564" i="4"/>
  <c r="T564" i="4" s="1"/>
  <c r="Q560" i="4"/>
  <c r="T560" i="4" s="1"/>
  <c r="Q556" i="4"/>
  <c r="T556" i="4" s="1"/>
  <c r="Q552" i="4"/>
  <c r="T552" i="4" s="1"/>
  <c r="Q548" i="4"/>
  <c r="T548" i="4" s="1"/>
  <c r="Q544" i="4"/>
  <c r="T544" i="4" s="1"/>
  <c r="Q540" i="4"/>
  <c r="T540" i="4" s="1"/>
  <c r="Q536" i="4"/>
  <c r="T536" i="4" s="1"/>
  <c r="Q532" i="4"/>
  <c r="T532" i="4" s="1"/>
  <c r="Q528" i="4"/>
  <c r="T528" i="4" s="1"/>
  <c r="Q524" i="4"/>
  <c r="T524" i="4" s="1"/>
  <c r="Q520" i="4"/>
  <c r="T520" i="4" s="1"/>
  <c r="Q516" i="4"/>
  <c r="T516" i="4" s="1"/>
  <c r="Q512" i="4"/>
  <c r="T512" i="4" s="1"/>
  <c r="Q508" i="4"/>
  <c r="T508" i="4" s="1"/>
  <c r="Q504" i="4"/>
  <c r="T504" i="4" s="1"/>
  <c r="Q500" i="4"/>
  <c r="T500" i="4" s="1"/>
  <c r="Q496" i="4"/>
  <c r="T496" i="4" s="1"/>
  <c r="Q492" i="4"/>
  <c r="T492" i="4" s="1"/>
  <c r="Q488" i="4"/>
  <c r="T488" i="4" s="1"/>
  <c r="Q484" i="4"/>
  <c r="T484" i="4" s="1"/>
  <c r="Q480" i="4"/>
  <c r="T480" i="4" s="1"/>
  <c r="Q476" i="4"/>
  <c r="T476" i="4" s="1"/>
  <c r="Q472" i="4"/>
  <c r="T472" i="4" s="1"/>
  <c r="Q468" i="4"/>
  <c r="T468" i="4" s="1"/>
  <c r="Q464" i="4"/>
  <c r="T464" i="4" s="1"/>
  <c r="Q460" i="4"/>
  <c r="T460" i="4" s="1"/>
  <c r="Q456" i="4"/>
  <c r="T456" i="4" s="1"/>
  <c r="Q452" i="4"/>
  <c r="T452" i="4" s="1"/>
  <c r="Q448" i="4"/>
  <c r="T448" i="4" s="1"/>
  <c r="Q444" i="4"/>
  <c r="T444" i="4" s="1"/>
  <c r="Q440" i="4"/>
  <c r="T440" i="4" s="1"/>
  <c r="Q436" i="4"/>
  <c r="T436" i="4" s="1"/>
  <c r="Q565" i="4"/>
  <c r="T565" i="4" s="1"/>
  <c r="Q561" i="4"/>
  <c r="T561" i="4" s="1"/>
  <c r="Q557" i="4"/>
  <c r="T557" i="4" s="1"/>
  <c r="Q553" i="4"/>
  <c r="T553" i="4" s="1"/>
  <c r="Q549" i="4"/>
  <c r="T549" i="4" s="1"/>
  <c r="Q545" i="4"/>
  <c r="T545" i="4" s="1"/>
  <c r="Q541" i="4"/>
  <c r="T541" i="4" s="1"/>
  <c r="Q537" i="4"/>
  <c r="T537" i="4" s="1"/>
  <c r="Q533" i="4"/>
  <c r="T533" i="4" s="1"/>
  <c r="Q529" i="4"/>
  <c r="T529" i="4" s="1"/>
  <c r="Q525" i="4"/>
  <c r="T525" i="4" s="1"/>
  <c r="Q521" i="4"/>
  <c r="T521" i="4" s="1"/>
  <c r="Q517" i="4"/>
  <c r="T517" i="4" s="1"/>
  <c r="Q513" i="4"/>
  <c r="T513" i="4" s="1"/>
  <c r="Q509" i="4"/>
  <c r="T509" i="4" s="1"/>
  <c r="Q505" i="4"/>
  <c r="T505" i="4" s="1"/>
  <c r="Q501" i="4"/>
  <c r="T501" i="4" s="1"/>
  <c r="Q497" i="4"/>
  <c r="T497" i="4" s="1"/>
  <c r="Q493" i="4"/>
  <c r="T493" i="4" s="1"/>
  <c r="Q489" i="4"/>
  <c r="T489" i="4" s="1"/>
  <c r="Q485" i="4"/>
  <c r="T485" i="4" s="1"/>
  <c r="Q481" i="4"/>
  <c r="T481" i="4" s="1"/>
  <c r="Q477" i="4"/>
  <c r="T477" i="4" s="1"/>
  <c r="Q473" i="4"/>
  <c r="T473" i="4" s="1"/>
  <c r="Q469" i="4"/>
  <c r="T469" i="4" s="1"/>
  <c r="Q465" i="4"/>
  <c r="T465" i="4" s="1"/>
  <c r="Q433" i="4"/>
  <c r="T433" i="4" s="1"/>
  <c r="T391" i="4"/>
  <c r="Q388" i="4"/>
  <c r="T388" i="4" s="1"/>
  <c r="T383" i="4"/>
  <c r="Q380" i="4"/>
  <c r="T380" i="4" s="1"/>
  <c r="T375" i="4"/>
  <c r="Q372" i="4"/>
  <c r="T372" i="4" s="1"/>
  <c r="Q364" i="4"/>
  <c r="T364" i="4" s="1"/>
  <c r="Q370" i="4"/>
  <c r="T370" i="4" s="1"/>
  <c r="Q429" i="4"/>
  <c r="T429" i="4" s="1"/>
  <c r="Q421" i="4"/>
  <c r="T421" i="4" s="1"/>
  <c r="Q413" i="4"/>
  <c r="T413" i="4" s="1"/>
  <c r="Q405" i="4"/>
  <c r="T405" i="4" s="1"/>
  <c r="Q397" i="4"/>
  <c r="T397" i="4" s="1"/>
  <c r="Q389" i="4"/>
  <c r="T389" i="4" s="1"/>
  <c r="Q365" i="4"/>
  <c r="T365" i="4" s="1"/>
  <c r="Q424" i="4"/>
  <c r="T424" i="4" s="1"/>
  <c r="Q416" i="4"/>
  <c r="T416" i="4" s="1"/>
  <c r="Q408" i="4"/>
  <c r="T408" i="4" s="1"/>
  <c r="Q400" i="4"/>
  <c r="T400" i="4" s="1"/>
  <c r="Q392" i="4"/>
  <c r="T392" i="4" s="1"/>
  <c r="Q384" i="4"/>
  <c r="T384" i="4" s="1"/>
  <c r="Q376" i="4"/>
  <c r="T376" i="4" s="1"/>
  <c r="Q368" i="4"/>
  <c r="T368" i="4" s="1"/>
  <c r="Q427" i="4"/>
  <c r="T427" i="4" s="1"/>
  <c r="Q419" i="4"/>
  <c r="T419" i="4" s="1"/>
  <c r="Q411" i="4"/>
  <c r="T411" i="4" s="1"/>
  <c r="Q403" i="4"/>
  <c r="T403" i="4" s="1"/>
  <c r="Q395" i="4"/>
  <c r="T395" i="4" s="1"/>
  <c r="Q387" i="4"/>
  <c r="T387" i="4" s="1"/>
  <c r="Q379" i="4"/>
  <c r="T379" i="4" s="1"/>
  <c r="Q371" i="4"/>
  <c r="T371" i="4" s="1"/>
  <c r="Q430" i="4"/>
  <c r="T430" i="4" s="1"/>
  <c r="Q422" i="4"/>
  <c r="T422" i="4" s="1"/>
  <c r="Q414" i="4"/>
  <c r="T414" i="4" s="1"/>
  <c r="Q406" i="4"/>
  <c r="T406" i="4" s="1"/>
  <c r="Q398" i="4"/>
  <c r="T398" i="4" s="1"/>
  <c r="Q390" i="4"/>
  <c r="T390" i="4" s="1"/>
  <c r="Q382" i="4"/>
  <c r="T382" i="4" s="1"/>
  <c r="Q374" i="4"/>
  <c r="T374" i="4" s="1"/>
  <c r="Q366" i="4"/>
  <c r="T366" i="4" s="1"/>
  <c r="Q425" i="4"/>
  <c r="T425" i="4" s="1"/>
  <c r="Q417" i="4"/>
  <c r="T417" i="4" s="1"/>
  <c r="Q409" i="4"/>
  <c r="T409" i="4" s="1"/>
  <c r="T404" i="4"/>
  <c r="Q401" i="4"/>
  <c r="T401" i="4" s="1"/>
  <c r="Q393" i="4"/>
  <c r="T393" i="4" s="1"/>
  <c r="Q385" i="4"/>
  <c r="T385" i="4" s="1"/>
  <c r="Q377" i="4"/>
  <c r="T377" i="4" s="1"/>
  <c r="Q369" i="4"/>
  <c r="T369" i="4" s="1"/>
  <c r="Q350" i="4"/>
  <c r="T350" i="4" s="1"/>
  <c r="Q342" i="4"/>
  <c r="T342" i="4" s="1"/>
  <c r="Q334" i="4"/>
  <c r="T334" i="4" s="1"/>
  <c r="Q326" i="4"/>
  <c r="T326" i="4" s="1"/>
  <c r="T320" i="4"/>
  <c r="T306" i="4"/>
  <c r="Q351" i="4"/>
  <c r="T351" i="4" s="1"/>
  <c r="Q343" i="4"/>
  <c r="T343" i="4" s="1"/>
  <c r="Q335" i="4"/>
  <c r="T335" i="4" s="1"/>
  <c r="Q327" i="4"/>
  <c r="T327" i="4" s="1"/>
  <c r="Q301" i="4"/>
  <c r="T301" i="4" s="1"/>
  <c r="Q293" i="4"/>
  <c r="T293" i="4" s="1"/>
  <c r="Q352" i="4"/>
  <c r="T352" i="4" s="1"/>
  <c r="Q344" i="4"/>
  <c r="T344" i="4" s="1"/>
  <c r="Q336" i="4"/>
  <c r="T336" i="4" s="1"/>
  <c r="Q328" i="4"/>
  <c r="T328" i="4" s="1"/>
  <c r="T316" i="4"/>
  <c r="Q353" i="4"/>
  <c r="T353" i="4" s="1"/>
  <c r="Q345" i="4"/>
  <c r="T345" i="4" s="1"/>
  <c r="Q337" i="4"/>
  <c r="T337" i="4" s="1"/>
  <c r="Q329" i="4"/>
  <c r="T329" i="4" s="1"/>
  <c r="Q321" i="4"/>
  <c r="T321" i="4" s="1"/>
  <c r="Q354" i="4"/>
  <c r="T354" i="4" s="1"/>
  <c r="Q346" i="4"/>
  <c r="T346" i="4" s="1"/>
  <c r="Q338" i="4"/>
  <c r="T338" i="4" s="1"/>
  <c r="Q330" i="4"/>
  <c r="T330" i="4" s="1"/>
  <c r="Q322" i="4"/>
  <c r="T322" i="4" s="1"/>
  <c r="T313" i="4"/>
  <c r="T308" i="4"/>
  <c r="T318" i="4"/>
  <c r="T314" i="4"/>
  <c r="Q349" i="4"/>
  <c r="T349" i="4" s="1"/>
  <c r="Q341" i="4"/>
  <c r="T341" i="4" s="1"/>
  <c r="Q333" i="4"/>
  <c r="T333" i="4" s="1"/>
  <c r="Q325" i="4"/>
  <c r="T325" i="4" s="1"/>
  <c r="T310" i="4"/>
  <c r="Q309" i="4"/>
  <c r="T309" i="4" s="1"/>
  <c r="T311" i="4"/>
  <c r="T295" i="4"/>
  <c r="Q204" i="4"/>
  <c r="Q287" i="4"/>
  <c r="T287" i="4" s="1"/>
  <c r="Q283" i="4"/>
  <c r="T283" i="4" s="1"/>
  <c r="Q279" i="4"/>
  <c r="T279" i="4" s="1"/>
  <c r="Q275" i="4"/>
  <c r="T275" i="4" s="1"/>
  <c r="Q271" i="4"/>
  <c r="T271" i="4" s="1"/>
  <c r="Q267" i="4"/>
  <c r="T267" i="4" s="1"/>
  <c r="Q263" i="4"/>
  <c r="T263" i="4" s="1"/>
  <c r="Q259" i="4"/>
  <c r="T259" i="4" s="1"/>
  <c r="Q255" i="4"/>
  <c r="T255" i="4" s="1"/>
  <c r="Q251" i="4"/>
  <c r="T251" i="4" s="1"/>
  <c r="Q247" i="4"/>
  <c r="T247" i="4" s="1"/>
  <c r="Q243" i="4"/>
  <c r="T243" i="4" s="1"/>
  <c r="Q239" i="4"/>
  <c r="T239" i="4" s="1"/>
  <c r="Q235" i="4"/>
  <c r="T235" i="4" s="1"/>
  <c r="Q231" i="4"/>
  <c r="T231" i="4" s="1"/>
  <c r="Q227" i="4"/>
  <c r="T227" i="4" s="1"/>
  <c r="Q223" i="4"/>
  <c r="T223" i="4" s="1"/>
  <c r="Q219" i="4"/>
  <c r="T219" i="4" s="1"/>
  <c r="Q215" i="4"/>
  <c r="T215" i="4" s="1"/>
  <c r="Q211" i="4"/>
  <c r="T211" i="4" s="1"/>
  <c r="Q207" i="4"/>
  <c r="T207" i="4" s="1"/>
  <c r="T202" i="4"/>
  <c r="Q199" i="4"/>
  <c r="T199" i="4" s="1"/>
  <c r="T194" i="4"/>
  <c r="Q191" i="4"/>
  <c r="T191" i="4" s="1"/>
  <c r="Q284" i="4"/>
  <c r="T284" i="4" s="1"/>
  <c r="Q280" i="4"/>
  <c r="T280" i="4" s="1"/>
  <c r="Q276" i="4"/>
  <c r="T276" i="4" s="1"/>
  <c r="Q272" i="4"/>
  <c r="T272" i="4" s="1"/>
  <c r="Q268" i="4"/>
  <c r="T268" i="4" s="1"/>
  <c r="Q264" i="4"/>
  <c r="T264" i="4" s="1"/>
  <c r="Q260" i="4"/>
  <c r="T260" i="4" s="1"/>
  <c r="Q256" i="4"/>
  <c r="T256" i="4" s="1"/>
  <c r="Q252" i="4"/>
  <c r="T252" i="4" s="1"/>
  <c r="Q248" i="4"/>
  <c r="T248" i="4" s="1"/>
  <c r="Q244" i="4"/>
  <c r="T244" i="4" s="1"/>
  <c r="Q240" i="4"/>
  <c r="T240" i="4" s="1"/>
  <c r="Q236" i="4"/>
  <c r="T236" i="4" s="1"/>
  <c r="Q232" i="4"/>
  <c r="T232" i="4" s="1"/>
  <c r="Q228" i="4"/>
  <c r="T228" i="4" s="1"/>
  <c r="Q224" i="4"/>
  <c r="T224" i="4" s="1"/>
  <c r="Q220" i="4"/>
  <c r="T220" i="4" s="1"/>
  <c r="Q208" i="4"/>
  <c r="T208" i="4" s="1"/>
  <c r="Q205" i="4"/>
  <c r="T205" i="4" s="1"/>
  <c r="T200" i="4"/>
  <c r="Q197" i="4"/>
  <c r="T197" i="4" s="1"/>
  <c r="T192" i="4"/>
  <c r="Q189" i="4"/>
  <c r="T189" i="4" s="1"/>
  <c r="T180" i="4"/>
  <c r="T176" i="4"/>
  <c r="T307" i="4"/>
  <c r="T299" i="4"/>
  <c r="Q285" i="4"/>
  <c r="T285" i="4" s="1"/>
  <c r="Q281" i="4"/>
  <c r="T281" i="4" s="1"/>
  <c r="Q277" i="4"/>
  <c r="T277" i="4" s="1"/>
  <c r="Q273" i="4"/>
  <c r="T273" i="4" s="1"/>
  <c r="Q269" i="4"/>
  <c r="T269" i="4" s="1"/>
  <c r="Q265" i="4"/>
  <c r="T265" i="4" s="1"/>
  <c r="Q261" i="4"/>
  <c r="T261" i="4" s="1"/>
  <c r="Q257" i="4"/>
  <c r="T257" i="4" s="1"/>
  <c r="Q253" i="4"/>
  <c r="T253" i="4" s="1"/>
  <c r="Q249" i="4"/>
  <c r="T249" i="4" s="1"/>
  <c r="Q245" i="4"/>
  <c r="T245" i="4" s="1"/>
  <c r="Q241" i="4"/>
  <c r="T241" i="4" s="1"/>
  <c r="Q237" i="4"/>
  <c r="T237" i="4" s="1"/>
  <c r="Q233" i="4"/>
  <c r="T233" i="4" s="1"/>
  <c r="Q229" i="4"/>
  <c r="T229" i="4" s="1"/>
  <c r="Q225" i="4"/>
  <c r="T225" i="4" s="1"/>
  <c r="Q221" i="4"/>
  <c r="T221" i="4" s="1"/>
  <c r="Q217" i="4"/>
  <c r="T217" i="4" s="1"/>
  <c r="Q213" i="4"/>
  <c r="T213" i="4" s="1"/>
  <c r="Q209" i="4"/>
  <c r="T209" i="4" s="1"/>
  <c r="Q206" i="4"/>
  <c r="T206" i="4" s="1"/>
  <c r="Q198" i="4"/>
  <c r="T198" i="4" s="1"/>
  <c r="Q190" i="4"/>
  <c r="T190" i="4" s="1"/>
  <c r="T294" i="4"/>
  <c r="Q286" i="4"/>
  <c r="T286" i="4" s="1"/>
  <c r="Q282" i="4"/>
  <c r="T282" i="4" s="1"/>
  <c r="Q278" i="4"/>
  <c r="T278" i="4" s="1"/>
  <c r="Q274" i="4"/>
  <c r="T274" i="4" s="1"/>
  <c r="Q270" i="4"/>
  <c r="T270" i="4" s="1"/>
  <c r="Q266" i="4"/>
  <c r="T266" i="4" s="1"/>
  <c r="Q262" i="4"/>
  <c r="T262" i="4" s="1"/>
  <c r="Q258" i="4"/>
  <c r="T258" i="4" s="1"/>
  <c r="Q254" i="4"/>
  <c r="T254" i="4" s="1"/>
  <c r="Q250" i="4"/>
  <c r="T250" i="4" s="1"/>
  <c r="Q246" i="4"/>
  <c r="T246" i="4" s="1"/>
  <c r="Q242" i="4"/>
  <c r="T242" i="4" s="1"/>
  <c r="Q238" i="4"/>
  <c r="T238" i="4" s="1"/>
  <c r="Q234" i="4"/>
  <c r="T234" i="4" s="1"/>
  <c r="Q230" i="4"/>
  <c r="T230" i="4" s="1"/>
  <c r="Q226" i="4"/>
  <c r="T226" i="4" s="1"/>
  <c r="Q222" i="4"/>
  <c r="T222" i="4" s="1"/>
  <c r="Q218" i="4"/>
  <c r="T218" i="4" s="1"/>
  <c r="Q214" i="4"/>
  <c r="T214" i="4" s="1"/>
  <c r="Q210" i="4"/>
  <c r="T210" i="4" s="1"/>
  <c r="T204" i="4"/>
  <c r="Q201" i="4"/>
  <c r="T201" i="4" s="1"/>
  <c r="Q193" i="4"/>
  <c r="T193" i="4" s="1"/>
  <c r="Q185" i="4"/>
  <c r="T185" i="4" s="1"/>
  <c r="T178" i="4"/>
  <c r="T174" i="4"/>
  <c r="Q170" i="4"/>
  <c r="T170" i="4" s="1"/>
  <c r="Q169" i="4"/>
  <c r="T169" i="4" s="1"/>
  <c r="Q165" i="4"/>
  <c r="T165" i="4" s="1"/>
  <c r="Q161" i="4"/>
  <c r="T161" i="4" s="1"/>
  <c r="Q157" i="4"/>
  <c r="T157" i="4" s="1"/>
  <c r="Q153" i="4"/>
  <c r="T153" i="4" s="1"/>
  <c r="Q149" i="4"/>
  <c r="T149" i="4" s="1"/>
  <c r="Q145" i="4"/>
  <c r="T145" i="4" s="1"/>
  <c r="Q141" i="4"/>
  <c r="T141" i="4" s="1"/>
  <c r="Q137" i="4"/>
  <c r="T137" i="4" s="1"/>
  <c r="Q133" i="4"/>
  <c r="T133" i="4" s="1"/>
  <c r="Q129" i="4"/>
  <c r="T129" i="4" s="1"/>
  <c r="Q125" i="4"/>
  <c r="T125" i="4" s="1"/>
  <c r="Q121" i="4"/>
  <c r="T121" i="4" s="1"/>
  <c r="Q117" i="4"/>
  <c r="T117" i="4" s="1"/>
  <c r="Q113" i="4"/>
  <c r="T113" i="4" s="1"/>
  <c r="Q166" i="4"/>
  <c r="T166" i="4" s="1"/>
  <c r="Q162" i="4"/>
  <c r="T162" i="4" s="1"/>
  <c r="Q158" i="4"/>
  <c r="T158" i="4" s="1"/>
  <c r="Q154" i="4"/>
  <c r="T154" i="4" s="1"/>
  <c r="Q150" i="4"/>
  <c r="T150" i="4" s="1"/>
  <c r="Q146" i="4"/>
  <c r="T146" i="4" s="1"/>
  <c r="Q142" i="4"/>
  <c r="T142" i="4" s="1"/>
  <c r="Q138" i="4"/>
  <c r="T138" i="4" s="1"/>
  <c r="Q134" i="4"/>
  <c r="T134" i="4" s="1"/>
  <c r="Q130" i="4"/>
  <c r="T130" i="4" s="1"/>
  <c r="Q126" i="4"/>
  <c r="T126" i="4" s="1"/>
  <c r="Q122" i="4"/>
  <c r="T122" i="4" s="1"/>
  <c r="Q118" i="4"/>
  <c r="T118" i="4" s="1"/>
  <c r="Q114" i="4"/>
  <c r="T114" i="4" s="1"/>
  <c r="Q108" i="4"/>
  <c r="T108" i="4" s="1"/>
  <c r="Q167" i="4"/>
  <c r="T167" i="4" s="1"/>
  <c r="Q163" i="4"/>
  <c r="T163" i="4" s="1"/>
  <c r="Q159" i="4"/>
  <c r="T159" i="4" s="1"/>
  <c r="Q155" i="4"/>
  <c r="T155" i="4" s="1"/>
  <c r="Q151" i="4"/>
  <c r="T151" i="4" s="1"/>
  <c r="Q147" i="4"/>
  <c r="T147" i="4" s="1"/>
  <c r="Q143" i="4"/>
  <c r="T143" i="4" s="1"/>
  <c r="Q139" i="4"/>
  <c r="T139" i="4" s="1"/>
  <c r="Q135" i="4"/>
  <c r="T135" i="4" s="1"/>
  <c r="Q131" i="4"/>
  <c r="T131" i="4" s="1"/>
  <c r="Q127" i="4"/>
  <c r="T127" i="4" s="1"/>
  <c r="Q123" i="4"/>
  <c r="T123" i="4" s="1"/>
  <c r="Q119" i="4"/>
  <c r="T119" i="4" s="1"/>
  <c r="Q115" i="4"/>
  <c r="T115" i="4" s="1"/>
  <c r="Q111" i="4"/>
  <c r="T111" i="4" s="1"/>
  <c r="T160" i="4"/>
  <c r="T144" i="4"/>
  <c r="T140" i="4"/>
  <c r="T136" i="4"/>
  <c r="T120" i="4"/>
  <c r="Q86" i="4"/>
  <c r="T86" i="4" s="1"/>
  <c r="Q82" i="4"/>
  <c r="T82" i="4" s="1"/>
  <c r="Q78" i="4"/>
  <c r="T78" i="4" s="1"/>
  <c r="Q74" i="4"/>
  <c r="T74" i="4" s="1"/>
  <c r="Q70" i="4"/>
  <c r="T70" i="4" s="1"/>
  <c r="Q66" i="4"/>
  <c r="T66" i="4" s="1"/>
  <c r="Q62" i="4"/>
  <c r="T62" i="4" s="1"/>
  <c r="Q58" i="4"/>
  <c r="T58" i="4" s="1"/>
  <c r="Q54" i="4"/>
  <c r="T54" i="4" s="1"/>
  <c r="Q50" i="4"/>
  <c r="T50" i="4" s="1"/>
  <c r="Q46" i="4"/>
  <c r="T46" i="4" s="1"/>
  <c r="Q42" i="4"/>
  <c r="T42" i="4" s="1"/>
  <c r="Q87" i="4"/>
  <c r="T87" i="4" s="1"/>
  <c r="Q83" i="4"/>
  <c r="T83" i="4" s="1"/>
  <c r="Q79" i="4"/>
  <c r="T79" i="4" s="1"/>
  <c r="Q75" i="4"/>
  <c r="T75" i="4" s="1"/>
  <c r="Q71" i="4"/>
  <c r="T71" i="4" s="1"/>
  <c r="Q67" i="4"/>
  <c r="T67" i="4" s="1"/>
  <c r="Q63" i="4"/>
  <c r="T63" i="4" s="1"/>
  <c r="Q59" i="4"/>
  <c r="T59" i="4" s="1"/>
  <c r="Q55" i="4"/>
  <c r="T55" i="4" s="1"/>
  <c r="Q51" i="4"/>
  <c r="T51" i="4" s="1"/>
  <c r="Q47" i="4"/>
  <c r="T47" i="4" s="1"/>
  <c r="Q43" i="4"/>
  <c r="T43" i="4" s="1"/>
  <c r="Q39" i="4"/>
  <c r="T39" i="4" s="1"/>
  <c r="Q35" i="4"/>
  <c r="T35" i="4" s="1"/>
  <c r="Q11" i="4"/>
  <c r="T11" i="4" s="1"/>
  <c r="Q7" i="4"/>
  <c r="T7" i="4" s="1"/>
  <c r="Q84" i="4"/>
  <c r="T84" i="4" s="1"/>
  <c r="Q80" i="4"/>
  <c r="T80" i="4" s="1"/>
  <c r="Q76" i="4"/>
  <c r="T76" i="4" s="1"/>
  <c r="Q72" i="4"/>
  <c r="T72" i="4" s="1"/>
  <c r="Q68" i="4"/>
  <c r="T68" i="4" s="1"/>
  <c r="Q64" i="4"/>
  <c r="T64" i="4" s="1"/>
  <c r="Q60" i="4"/>
  <c r="T60" i="4" s="1"/>
  <c r="Q56" i="4"/>
  <c r="T56" i="4" s="1"/>
  <c r="Q52" i="4"/>
  <c r="T52" i="4" s="1"/>
  <c r="Q48" i="4"/>
  <c r="T48" i="4" s="1"/>
  <c r="Q44" i="4"/>
  <c r="T44" i="4" s="1"/>
  <c r="Q40" i="4"/>
  <c r="T40" i="4" s="1"/>
  <c r="Q36" i="4"/>
  <c r="T36" i="4" s="1"/>
  <c r="Q4" i="4"/>
  <c r="T4" i="4" s="1"/>
  <c r="Q85" i="4"/>
  <c r="T85" i="4" s="1"/>
  <c r="Q81" i="4"/>
  <c r="T81" i="4" s="1"/>
  <c r="Q77" i="4"/>
  <c r="T77" i="4" s="1"/>
  <c r="Q73" i="4"/>
  <c r="T73" i="4" s="1"/>
  <c r="Q69" i="4"/>
  <c r="T69" i="4" s="1"/>
  <c r="Q65" i="4"/>
  <c r="T65" i="4" s="1"/>
  <c r="Q61" i="4"/>
  <c r="T61" i="4" s="1"/>
  <c r="Q57" i="4"/>
  <c r="T57" i="4" s="1"/>
  <c r="Q53" i="4"/>
  <c r="T53" i="4" s="1"/>
  <c r="Q49" i="4"/>
  <c r="T49" i="4" s="1"/>
  <c r="Q45" i="4"/>
  <c r="T45" i="4" s="1"/>
  <c r="Q41" i="4"/>
  <c r="T41" i="4" s="1"/>
  <c r="Q37" i="4"/>
  <c r="T37" i="4" s="1"/>
  <c r="Q33" i="4"/>
  <c r="T33" i="4" s="1"/>
  <c r="Q9" i="4"/>
  <c r="T9" i="4" s="1"/>
  <c r="Q5" i="4"/>
  <c r="T5" i="4" s="1"/>
  <c r="Q669" i="4"/>
  <c r="E2" i="9" s="1"/>
  <c r="Q2" i="4"/>
  <c r="E6" i="9" s="1"/>
  <c r="E4" i="9"/>
  <c r="Q872" i="4"/>
  <c r="E3" i="9" s="1"/>
  <c r="Q1310" i="4"/>
  <c r="E5" i="9" s="1"/>
  <c r="Q3" i="4"/>
  <c r="T3" i="4" s="1"/>
  <c r="B29" i="7" l="1"/>
  <c r="E29" i="7" s="1"/>
  <c r="T2" i="4"/>
  <c r="T669" i="4"/>
  <c r="T1310" i="4"/>
  <c r="T872" i="4"/>
</calcChain>
</file>

<file path=xl/sharedStrings.xml><?xml version="1.0" encoding="utf-8"?>
<sst xmlns="http://schemas.openxmlformats.org/spreadsheetml/2006/main" count="36121" uniqueCount="3884">
  <si>
    <t>Zumi Holdings — Q3 2025 Group Ledger</t>
  </si>
  <si>
    <t>## Your assignment</t>
  </si>
  <si>
    <t>You are the new analyst. The CFO dropped this raw export on your desk Friday at 5pm and wants a clean Q3 P&amp;L by Monday 9am. By brand. By month. With variance commentary.</t>
  </si>
  <si>
    <t/>
  </si>
  <si>
    <t>## What you have</t>
  </si>
  <si>
    <t>Tab 'Raw_Ledger' has 1,200+ entries pulled from three different systems (POS, accounting, payroll). It is messy on purpose. Real exports are.</t>
  </si>
  <si>
    <t>Tab 'Chart_of_Accounts' is the official mapping. Use it.</t>
  </si>
  <si>
    <t>Tab 'FX_Rates' has month-end NGN rates for USD and GHS entries.</t>
  </si>
  <si>
    <t>Tab 'Bank_Statements' is the source of truth for cash. Reconcile against the ledger.</t>
  </si>
  <si>
    <t>## What you must build</t>
  </si>
  <si>
    <t>1. 'Cleaned' tab. One row per transaction, NGN-normalized, properly categorized. Use formulas, not paste-values.</t>
  </si>
  <si>
    <t>2. 'PL_By_Brand_Month' tab. Revenue / COGS / Gross Profit / Opex / EBITDA. Brand x Month matrix.</t>
  </si>
  <si>
    <t>3. 'Reconciliation' tab. Reconcile Cleaned to Bank_Statements. Flag every variance over NGN 50,000.</t>
  </si>
  <si>
    <t>4. 'Issues_Log' tab. Every duplicate, miscoding, missing date, suspicious refund. With row reference.</t>
  </si>
  <si>
    <t>5. 'CEO_Summary' tab. One page. Top three findings. Three numbers the CEO must see. Two recommendations.</t>
  </si>
  <si>
    <t>## Things you will find if you look</t>
  </si>
  <si>
    <t>Duplicate entries. Refunds booked as revenue. USD and GHS amounts not converted. Salary entries booked to wrong brand. A vendor invoice paid twice. One employee on payroll twice.</t>
  </si>
  <si>
    <t>If you do not find at least six issues, you have not looked hard enough.</t>
  </si>
  <si>
    <t>## Voice</t>
  </si>
  <si>
    <t>When you write commentary, write like you mean it. Short sentences. Specific numbers. No fluff. The CEO hates fluff.</t>
  </si>
  <si>
    <t>Account_Code</t>
  </si>
  <si>
    <t>Account_Name</t>
  </si>
  <si>
    <t>Type</t>
  </si>
  <si>
    <t>PL_Bucket</t>
  </si>
  <si>
    <t>4000</t>
  </si>
  <si>
    <t>Order Revenue</t>
  </si>
  <si>
    <t>Revenue</t>
  </si>
  <si>
    <t>4010</t>
  </si>
  <si>
    <t>Subscription Revenue</t>
  </si>
  <si>
    <t>4020</t>
  </si>
  <si>
    <t>Logistics Contract Revenue</t>
  </si>
  <si>
    <t>4900</t>
  </si>
  <si>
    <t>Refunds &amp; Chargebacks</t>
  </si>
  <si>
    <t>5000</t>
  </si>
  <si>
    <t>Food Cost</t>
  </si>
  <si>
    <t>COGS</t>
  </si>
  <si>
    <t>5010</t>
  </si>
  <si>
    <t>Inventory Purchases</t>
  </si>
  <si>
    <t>5020</t>
  </si>
  <si>
    <t>Packaging</t>
  </si>
  <si>
    <t>5030</t>
  </si>
  <si>
    <t>Fuel &amp; Vehicle</t>
  </si>
  <si>
    <t>5040</t>
  </si>
  <si>
    <t>Rider Payouts</t>
  </si>
  <si>
    <t>5050</t>
  </si>
  <si>
    <t>Aggregator Commission</t>
  </si>
  <si>
    <t>6000</t>
  </si>
  <si>
    <t>Salaries &amp; Wages</t>
  </si>
  <si>
    <t>Opex</t>
  </si>
  <si>
    <t>6010</t>
  </si>
  <si>
    <t>Rent</t>
  </si>
  <si>
    <t>6020</t>
  </si>
  <si>
    <t>Utilities</t>
  </si>
  <si>
    <t>6030</t>
  </si>
  <si>
    <t>Marketing</t>
  </si>
  <si>
    <t>6040</t>
  </si>
  <si>
    <t>Software &amp; Tools</t>
  </si>
  <si>
    <t>6050</t>
  </si>
  <si>
    <t>Professional Services</t>
  </si>
  <si>
    <t>6060</t>
  </si>
  <si>
    <t>Bank &amp; Payment Fees</t>
  </si>
  <si>
    <t>6070</t>
  </si>
  <si>
    <t>Travel</t>
  </si>
  <si>
    <t>6080</t>
  </si>
  <si>
    <t>Office Supplies</t>
  </si>
  <si>
    <t>6900</t>
  </si>
  <si>
    <t>Other / Uncategorized</t>
  </si>
  <si>
    <t>Month</t>
  </si>
  <si>
    <t>Currency</t>
  </si>
  <si>
    <t>Rate_to_NGN</t>
  </si>
  <si>
    <t>2025-07</t>
  </si>
  <si>
    <t>NGN</t>
  </si>
  <si>
    <t>USD</t>
  </si>
  <si>
    <t>GHS</t>
  </si>
  <si>
    <t>2025-08</t>
  </si>
  <si>
    <t>2025-09</t>
  </si>
  <si>
    <t>Txn_ID</t>
  </si>
  <si>
    <t>Date</t>
  </si>
  <si>
    <t>Source_System</t>
  </si>
  <si>
    <t>Brand</t>
  </si>
  <si>
    <t>Channel</t>
  </si>
  <si>
    <t>Description</t>
  </si>
  <si>
    <t>Amount</t>
  </si>
  <si>
    <t>Vendor_or_Customer</t>
  </si>
  <si>
    <t>Reference</t>
  </si>
  <si>
    <t>Notes</t>
  </si>
  <si>
    <t>T101434</t>
  </si>
  <si>
    <t>QuickBooks</t>
  </si>
  <si>
    <t>Zumi Logistics</t>
  </si>
  <si>
    <t>Fuel top-up — invoice missing date</t>
  </si>
  <si>
    <t>NNPC Retail</t>
  </si>
  <si>
    <t>BILL-NODATE</t>
  </si>
  <si>
    <t>T100001</t>
  </si>
  <si>
    <t>POS-Square</t>
  </si>
  <si>
    <t>Zumi Eats</t>
  </si>
  <si>
    <t>Mobile App</t>
  </si>
  <si>
    <t>Mobile App daily settlement 2025-07-01</t>
  </si>
  <si>
    <t>INV-20250701-MOB</t>
  </si>
  <si>
    <t>T100002</t>
  </si>
  <si>
    <t>Website</t>
  </si>
  <si>
    <t>Website daily settlement 2025-07-01</t>
  </si>
  <si>
    <t>INV-20250701-WEB</t>
  </si>
  <si>
    <t>T100003</t>
  </si>
  <si>
    <t>Aggregator-Glovo</t>
  </si>
  <si>
    <t>Aggregator-Glovo daily settlement 2025-07-01</t>
  </si>
  <si>
    <t>INV-20250701-AGG</t>
  </si>
  <si>
    <t>T100004</t>
  </si>
  <si>
    <t>Walk-in</t>
  </si>
  <si>
    <t>Walk-in daily settlement 2025-07-01</t>
  </si>
  <si>
    <t>INV-20250701-WAL</t>
  </si>
  <si>
    <t>T100005</t>
  </si>
  <si>
    <t>Zumi Mart</t>
  </si>
  <si>
    <t>POS-Lekki</t>
  </si>
  <si>
    <t>POS-Lekki daily settlement 2025-07-01</t>
  </si>
  <si>
    <t>INV-20250701-POS</t>
  </si>
  <si>
    <t>T100006</t>
  </si>
  <si>
    <t>POS-VI</t>
  </si>
  <si>
    <t>POS-VI daily settlement 2025-07-01</t>
  </si>
  <si>
    <t>T100007</t>
  </si>
  <si>
    <t>POS-Ikeja</t>
  </si>
  <si>
    <t>POS-Ikeja daily settlement 2025-07-01</t>
  </si>
  <si>
    <t>T100008</t>
  </si>
  <si>
    <t>Online</t>
  </si>
  <si>
    <t>Online daily settlement 2025-07-01</t>
  </si>
  <si>
    <t>INV-20250701-ONL</t>
  </si>
  <si>
    <t>T100009</t>
  </si>
  <si>
    <t>NetSuite</t>
  </si>
  <si>
    <t>Contract-Dangote</t>
  </si>
  <si>
    <t>Contract-Dangote daily settlement 2025-07-01</t>
  </si>
  <si>
    <t>Dangote</t>
  </si>
  <si>
    <t>INV-20250701-CON</t>
  </si>
  <si>
    <t>T100010</t>
  </si>
  <si>
    <t>Contract-MTN</t>
  </si>
  <si>
    <t>Contract-MTN daily settlement 2025-07-01</t>
  </si>
  <si>
    <t>MTN</t>
  </si>
  <si>
    <t>T100011</t>
  </si>
  <si>
    <t>Contract-Flutterwave</t>
  </si>
  <si>
    <t>Contract-Flutterwave daily settlement 2025-07-01</t>
  </si>
  <si>
    <t>Flutterwave</t>
  </si>
  <si>
    <t>T100012</t>
  </si>
  <si>
    <t>Spot-Market</t>
  </si>
  <si>
    <t>Spot-Market daily settlement 2025-07-01</t>
  </si>
  <si>
    <t>INV-20250701-SPO</t>
  </si>
  <si>
    <t>T101249</t>
  </si>
  <si>
    <t>Distell Wholesale invoice 2025-07</t>
  </si>
  <si>
    <t>Distell Wholesale</t>
  </si>
  <si>
    <t>BILL-13747</t>
  </si>
  <si>
    <t>T101265</t>
  </si>
  <si>
    <t>NNPC Retail invoice 2025-07</t>
  </si>
  <si>
    <t>BILL-18601</t>
  </si>
  <si>
    <t>T100013</t>
  </si>
  <si>
    <t>Mobile App daily settlement 2025-07-02</t>
  </si>
  <si>
    <t>INV-20250702-MOB</t>
  </si>
  <si>
    <t>T100014</t>
  </si>
  <si>
    <t>Website daily settlement 2025-07-02</t>
  </si>
  <si>
    <t>INV-20250702-WEB</t>
  </si>
  <si>
    <t>T100015</t>
  </si>
  <si>
    <t>Aggregator-Glovo daily settlement 2025-07-02</t>
  </si>
  <si>
    <t>INV-20250702-AGG</t>
  </si>
  <si>
    <t>T100016</t>
  </si>
  <si>
    <t>Aggregator-Bolt</t>
  </si>
  <si>
    <t>Aggregator-Bolt daily settlement 2025-07-02</t>
  </si>
  <si>
    <t>T100017</t>
  </si>
  <si>
    <t>POS-Lekki daily settlement 2025-07-02</t>
  </si>
  <si>
    <t>INV-20250702-POS</t>
  </si>
  <si>
    <t>T100018</t>
  </si>
  <si>
    <t>POS-VI daily settlement 2025-07-02</t>
  </si>
  <si>
    <t>T100019</t>
  </si>
  <si>
    <t>POS-Ikeja daily settlement 2025-07-02</t>
  </si>
  <si>
    <t>T100020</t>
  </si>
  <si>
    <t>POS-Abuja</t>
  </si>
  <si>
    <t>POS-Abuja daily settlement 2025-07-02</t>
  </si>
  <si>
    <t>T100021</t>
  </si>
  <si>
    <t>Online daily settlement 2025-07-02</t>
  </si>
  <si>
    <t>INV-20250702-ONL</t>
  </si>
  <si>
    <t>T100022</t>
  </si>
  <si>
    <t>Contract-Dangote daily settlement 2025-07-02</t>
  </si>
  <si>
    <t>INV-20250702-CON</t>
  </si>
  <si>
    <t>T100023</t>
  </si>
  <si>
    <t>Contract-MTN daily settlement 2025-07-02</t>
  </si>
  <si>
    <t>T100024</t>
  </si>
  <si>
    <t>Contract-Flutterwave daily settlement 2025-07-02</t>
  </si>
  <si>
    <t>T100025</t>
  </si>
  <si>
    <t>Spot-Market daily settlement 2025-07-02</t>
  </si>
  <si>
    <t>INV-20250702-SPO</t>
  </si>
  <si>
    <t>T101239</t>
  </si>
  <si>
    <t>Rider Payroll invoice 2025-07</t>
  </si>
  <si>
    <t>Rider Payroll</t>
  </si>
  <si>
    <t>BILL-47775</t>
  </si>
  <si>
    <t>T101243</t>
  </si>
  <si>
    <t>Bolt Food invoice 2025-07</t>
  </si>
  <si>
    <t>Bolt Food</t>
  </si>
  <si>
    <t>BILL-82046</t>
  </si>
  <si>
    <t>T101254</t>
  </si>
  <si>
    <t>Dangote Sugar invoice 2025-07</t>
  </si>
  <si>
    <t>Dangote Sugar</t>
  </si>
  <si>
    <t>BILL-69162</t>
  </si>
  <si>
    <t>T101394</t>
  </si>
  <si>
    <t>SaaS subscriptions 2025-07</t>
  </si>
  <si>
    <t>Various SaaS</t>
  </si>
  <si>
    <t>SAAS-2025-07</t>
  </si>
  <si>
    <t>T100026</t>
  </si>
  <si>
    <t>Mobile App daily settlement 2025-07-03</t>
  </si>
  <si>
    <t>INV-20250703-MOB</t>
  </si>
  <si>
    <t>T100027</t>
  </si>
  <si>
    <t>Website daily settlement 2025-07-03</t>
  </si>
  <si>
    <t>INV-20250703-WEB</t>
  </si>
  <si>
    <t>T100028</t>
  </si>
  <si>
    <t>Aggregator-Glovo daily settlement 2025-07-03</t>
  </si>
  <si>
    <t>INV-20250703-AGG</t>
  </si>
  <si>
    <t>T100029</t>
  </si>
  <si>
    <t>Aggregator-Bolt daily settlement 2025-07-03</t>
  </si>
  <si>
    <t>T100030</t>
  </si>
  <si>
    <t>POS-Lekki daily settlement 2025-07-03</t>
  </si>
  <si>
    <t>INV-20250703-POS</t>
  </si>
  <si>
    <t>T100031</t>
  </si>
  <si>
    <t>POS-VI daily settlement 2025-07-03</t>
  </si>
  <si>
    <t>T100032</t>
  </si>
  <si>
    <t>POS-Ikeja daily settlement 2025-07-03</t>
  </si>
  <si>
    <t>T100033</t>
  </si>
  <si>
    <t>POS-Abuja daily settlement 2025-07-03</t>
  </si>
  <si>
    <t>T100034</t>
  </si>
  <si>
    <t>Online daily settlement 2025-07-03</t>
  </si>
  <si>
    <t>INV-20250703-ONL</t>
  </si>
  <si>
    <t>T100035</t>
  </si>
  <si>
    <t>Contract-Dangote daily settlement 2025-07-03</t>
  </si>
  <si>
    <t>INV-20250703-CON</t>
  </si>
  <si>
    <t>T100036</t>
  </si>
  <si>
    <t>Contract-MTN daily settlement 2025-07-03</t>
  </si>
  <si>
    <t>T100037</t>
  </si>
  <si>
    <t>Contract-Flutterwave daily settlement 2025-07-03</t>
  </si>
  <si>
    <t>T100038</t>
  </si>
  <si>
    <t>Spot-Market daily settlement 2025-07-03</t>
  </si>
  <si>
    <t>INV-20250703-SPO</t>
  </si>
  <si>
    <t>T101200</t>
  </si>
  <si>
    <t>Customer refund order #263503</t>
  </si>
  <si>
    <t>RFD-4122</t>
  </si>
  <si>
    <t>FLAG: booked positive</t>
  </si>
  <si>
    <t>T100039</t>
  </si>
  <si>
    <t>Mobile App daily settlement 2025-07-04</t>
  </si>
  <si>
    <t>INV-20250704-MOB</t>
  </si>
  <si>
    <t>T100040</t>
  </si>
  <si>
    <t>Website daily settlement 2025-07-04</t>
  </si>
  <si>
    <t>INV-20250704-WEB</t>
  </si>
  <si>
    <t>T100041</t>
  </si>
  <si>
    <t>Aggregator-Glovo daily settlement 2025-07-04</t>
  </si>
  <si>
    <t>INV-20250704-AGG</t>
  </si>
  <si>
    <t>T100042</t>
  </si>
  <si>
    <t>Aggregator-Bolt daily settlement 2025-07-04</t>
  </si>
  <si>
    <t>T100043</t>
  </si>
  <si>
    <t>Walk-in daily settlement 2025-07-04</t>
  </si>
  <si>
    <t>INV-20250704-WAL</t>
  </si>
  <si>
    <t>T100044</t>
  </si>
  <si>
    <t>POS-Lekki daily settlement 2025-07-04</t>
  </si>
  <si>
    <t>INV-20250704-POS</t>
  </si>
  <si>
    <t>T100045</t>
  </si>
  <si>
    <t>POS-VI daily settlement 2025-07-04</t>
  </si>
  <si>
    <t>T100046</t>
  </si>
  <si>
    <t>POS-Ikeja daily settlement 2025-07-04</t>
  </si>
  <si>
    <t>T100047</t>
  </si>
  <si>
    <t>POS-Abuja daily settlement 2025-07-04</t>
  </si>
  <si>
    <t>T100048</t>
  </si>
  <si>
    <t>Online daily settlement 2025-07-04</t>
  </si>
  <si>
    <t>INV-20250704-ONL</t>
  </si>
  <si>
    <t>T100049</t>
  </si>
  <si>
    <t>Contract-Dangote daily settlement 2025-07-04</t>
  </si>
  <si>
    <t>INV-20250704-CON</t>
  </si>
  <si>
    <t>T100050</t>
  </si>
  <si>
    <t>Contract-MTN daily settlement 2025-07-04</t>
  </si>
  <si>
    <t>T100051</t>
  </si>
  <si>
    <t>Contract-Flutterwave daily settlement 2025-07-04</t>
  </si>
  <si>
    <t>T100052</t>
  </si>
  <si>
    <t>Spot-Market daily settlement 2025-07-04</t>
  </si>
  <si>
    <t>INV-20250704-SPO</t>
  </si>
  <si>
    <t>T101233</t>
  </si>
  <si>
    <t>PackPro Ltd invoice 2025-07</t>
  </si>
  <si>
    <t>PackPro Ltd</t>
  </si>
  <si>
    <t>BILL-83931</t>
  </si>
  <si>
    <t>T101270</t>
  </si>
  <si>
    <t>Vehicle Maintenance Co invoice 2025-07</t>
  </si>
  <si>
    <t>Vehicle Maintenance Co</t>
  </si>
  <si>
    <t>BILL-84425</t>
  </si>
  <si>
    <t>T100053</t>
  </si>
  <si>
    <t>Mobile App daily settlement 2025-07-05</t>
  </si>
  <si>
    <t>INV-20250705-MOB</t>
  </si>
  <si>
    <t>T100054</t>
  </si>
  <si>
    <t>Website daily settlement 2025-07-05</t>
  </si>
  <si>
    <t>INV-20250705-WEB</t>
  </si>
  <si>
    <t>T100055</t>
  </si>
  <si>
    <t>Aggregator-Glovo daily settlement 2025-07-05</t>
  </si>
  <si>
    <t>INV-20250705-AGG</t>
  </si>
  <si>
    <t>T100056</t>
  </si>
  <si>
    <t>Aggregator-Bolt daily settlement 2025-07-05</t>
  </si>
  <si>
    <t>T100057</t>
  </si>
  <si>
    <t>Walk-in daily settlement 2025-07-05</t>
  </si>
  <si>
    <t>INV-20250705-WAL</t>
  </si>
  <si>
    <t>T100058</t>
  </si>
  <si>
    <t>POS-Lekki daily settlement 2025-07-05</t>
  </si>
  <si>
    <t>INV-20250705-POS</t>
  </si>
  <si>
    <t>T100059</t>
  </si>
  <si>
    <t>POS-VI daily settlement 2025-07-05</t>
  </si>
  <si>
    <t>T100060</t>
  </si>
  <si>
    <t>POS-Abuja daily settlement 2025-07-05</t>
  </si>
  <si>
    <t>T100061</t>
  </si>
  <si>
    <t>Online daily settlement 2025-07-05</t>
  </si>
  <si>
    <t>INV-20250705-ONL</t>
  </si>
  <si>
    <t>T100062</t>
  </si>
  <si>
    <t>Contract-MTN daily settlement 2025-07-05</t>
  </si>
  <si>
    <t>INV-20250705-CON</t>
  </si>
  <si>
    <t>T100063</t>
  </si>
  <si>
    <t>Contract-Flutterwave daily settlement 2025-07-05</t>
  </si>
  <si>
    <t>T100064</t>
  </si>
  <si>
    <t>Spot-Market daily settlement 2025-07-05</t>
  </si>
  <si>
    <t>INV-20250705-SPO</t>
  </si>
  <si>
    <t>T101225</t>
  </si>
  <si>
    <t>FreshFarms NG invoice 2025-07</t>
  </si>
  <si>
    <t>FreshFarms NG</t>
  </si>
  <si>
    <t>BILL-1434</t>
  </si>
  <si>
    <t>T101386</t>
  </si>
  <si>
    <t>Office &amp; store rent 2025-07</t>
  </si>
  <si>
    <t>Property Holdings Ltd</t>
  </si>
  <si>
    <t>RENT-2025-07-EAT</t>
  </si>
  <si>
    <t>T101388</t>
  </si>
  <si>
    <t>RENT-2025-07-MAR</t>
  </si>
  <si>
    <t>T101390</t>
  </si>
  <si>
    <t>RENT-2025-07-LOG</t>
  </si>
  <si>
    <t>T100065</t>
  </si>
  <si>
    <t>Website daily settlement 2025-07-06</t>
  </si>
  <si>
    <t>INV-20250706-WEB</t>
  </si>
  <si>
    <t>T100066</t>
  </si>
  <si>
    <t>Aggregator-Glovo daily settlement 2025-07-06</t>
  </si>
  <si>
    <t>INV-20250706-AGG</t>
  </si>
  <si>
    <t>T100067</t>
  </si>
  <si>
    <t>Aggregator-Bolt daily settlement 2025-07-06</t>
  </si>
  <si>
    <t>T100068</t>
  </si>
  <si>
    <t>Walk-in daily settlement 2025-07-06</t>
  </si>
  <si>
    <t>INV-20250706-WAL</t>
  </si>
  <si>
    <t>T100069</t>
  </si>
  <si>
    <t>POS-VI daily settlement 2025-07-06</t>
  </si>
  <si>
    <t>INV-20250706-POS</t>
  </si>
  <si>
    <t>T100070</t>
  </si>
  <si>
    <t>POS-Ikeja daily settlement 2025-07-06</t>
  </si>
  <si>
    <t>T100071</t>
  </si>
  <si>
    <t>POS-Abuja daily settlement 2025-07-06</t>
  </si>
  <si>
    <t>T100072</t>
  </si>
  <si>
    <t>Online daily settlement 2025-07-06</t>
  </si>
  <si>
    <t>INV-20250706-ONL</t>
  </si>
  <si>
    <t>T100073</t>
  </si>
  <si>
    <t>Contract-Dangote daily settlement 2025-07-06</t>
  </si>
  <si>
    <t>INV-20250706-CON</t>
  </si>
  <si>
    <t>T100074</t>
  </si>
  <si>
    <t>Contract-MTN daily settlement 2025-07-06</t>
  </si>
  <si>
    <t>T100075</t>
  </si>
  <si>
    <t>Contract-Flutterwave daily settlement 2025-07-06</t>
  </si>
  <si>
    <t>T100076</t>
  </si>
  <si>
    <t>Spot-Market daily settlement 2025-07-06</t>
  </si>
  <si>
    <t>INV-20250706-SPO</t>
  </si>
  <si>
    <t>T101205</t>
  </si>
  <si>
    <t>Customer refund order #180159</t>
  </si>
  <si>
    <t>RFD-5431</t>
  </si>
  <si>
    <t>T101263</t>
  </si>
  <si>
    <t>BILL-25529</t>
  </si>
  <si>
    <t>T100077</t>
  </si>
  <si>
    <t>Mobile App daily settlement 2025-07-07</t>
  </si>
  <si>
    <t>INV-20250707-MOB</t>
  </si>
  <si>
    <t>T100078</t>
  </si>
  <si>
    <t>Website daily settlement 2025-07-07</t>
  </si>
  <si>
    <t>INV-20250707-WEB</t>
  </si>
  <si>
    <t>T100079</t>
  </si>
  <si>
    <t>Aggregator-Glovo daily settlement 2025-07-07</t>
  </si>
  <si>
    <t>INV-20250707-AGG</t>
  </si>
  <si>
    <t>T100080</t>
  </si>
  <si>
    <t>Aggregator-Bolt daily settlement 2025-07-07</t>
  </si>
  <si>
    <t>T100081</t>
  </si>
  <si>
    <t>Walk-in daily settlement 2025-07-07</t>
  </si>
  <si>
    <t>INV-20250707-WAL</t>
  </si>
  <si>
    <t>T100082</t>
  </si>
  <si>
    <t>POS-VI daily settlement 2025-07-07</t>
  </si>
  <si>
    <t>INV-20250707-POS</t>
  </si>
  <si>
    <t>T100083</t>
  </si>
  <si>
    <t>POS-Ikeja daily settlement 2025-07-07</t>
  </si>
  <si>
    <t>T100084</t>
  </si>
  <si>
    <t>POS-Abuja daily settlement 2025-07-07</t>
  </si>
  <si>
    <t>T100085</t>
  </si>
  <si>
    <t>Online daily settlement 2025-07-07</t>
  </si>
  <si>
    <t>INV-20250707-ONL</t>
  </si>
  <si>
    <t>T100086</t>
  </si>
  <si>
    <t>Contract-Dangote daily settlement 2025-07-07</t>
  </si>
  <si>
    <t>INV-20250707-CON</t>
  </si>
  <si>
    <t>T100087</t>
  </si>
  <si>
    <t>Contract-MTN daily settlement 2025-07-07</t>
  </si>
  <si>
    <t>T100088</t>
  </si>
  <si>
    <t>Contract-Flutterwave daily settlement 2025-07-07</t>
  </si>
  <si>
    <t>T100089</t>
  </si>
  <si>
    <t>Spot-Market daily settlement 2025-07-07</t>
  </si>
  <si>
    <t>INV-20250707-SPO</t>
  </si>
  <si>
    <t>T101276</t>
  </si>
  <si>
    <t>Driver Payroll invoice 2025-07</t>
  </si>
  <si>
    <t>Driver Payroll</t>
  </si>
  <si>
    <t>BILL-62738</t>
  </si>
  <si>
    <t>T100090</t>
  </si>
  <si>
    <t>Mobile App daily settlement 2025-07-08</t>
  </si>
  <si>
    <t>INV-20250708-MOB</t>
  </si>
  <si>
    <t>T100091</t>
  </si>
  <si>
    <t>Website daily settlement 2025-07-08</t>
  </si>
  <si>
    <t>INV-20250708-WEB</t>
  </si>
  <si>
    <t>T100092</t>
  </si>
  <si>
    <t>Aggregator-Glovo daily settlement 2025-07-08</t>
  </si>
  <si>
    <t>INV-20250708-AGG</t>
  </si>
  <si>
    <t>T100093</t>
  </si>
  <si>
    <t>Aggregator-Bolt daily settlement 2025-07-08</t>
  </si>
  <si>
    <t>T100094</t>
  </si>
  <si>
    <t>Walk-in daily settlement 2025-07-08</t>
  </si>
  <si>
    <t>INV-20250708-WAL</t>
  </si>
  <si>
    <t>T100095</t>
  </si>
  <si>
    <t>POS-Lekki daily settlement 2025-07-08</t>
  </si>
  <si>
    <t>INV-20250708-POS</t>
  </si>
  <si>
    <t>T100096</t>
  </si>
  <si>
    <t>POS-VI daily settlement 2025-07-08</t>
  </si>
  <si>
    <t>T100097</t>
  </si>
  <si>
    <t>POS-Ikeja daily settlement 2025-07-08</t>
  </si>
  <si>
    <t>T100098</t>
  </si>
  <si>
    <t>POS-Abuja daily settlement 2025-07-08</t>
  </si>
  <si>
    <t>T100099</t>
  </si>
  <si>
    <t>Online daily settlement 2025-07-08</t>
  </si>
  <si>
    <t>INV-20250708-ONL</t>
  </si>
  <si>
    <t>T100100</t>
  </si>
  <si>
    <t>Contract-Dangote daily settlement 2025-07-08</t>
  </si>
  <si>
    <t>INV-20250708-CON</t>
  </si>
  <si>
    <t>T100101</t>
  </si>
  <si>
    <t>Contract-MTN daily settlement 2025-07-08</t>
  </si>
  <si>
    <t>T100102</t>
  </si>
  <si>
    <t>Contract-Flutterwave daily settlement 2025-07-08</t>
  </si>
  <si>
    <t>T100103</t>
  </si>
  <si>
    <t>Spot-Market daily settlement 2025-07-08</t>
  </si>
  <si>
    <t>INV-20250708-SPO</t>
  </si>
  <si>
    <t>T100104</t>
  </si>
  <si>
    <t>Mobile App daily settlement 2025-07-09</t>
  </si>
  <si>
    <t>INV-20250709-MOB</t>
  </si>
  <si>
    <t>T100105</t>
  </si>
  <si>
    <t>Website daily settlement 2025-07-09</t>
  </si>
  <si>
    <t>INV-20250709-WEB</t>
  </si>
  <si>
    <t>T100106</t>
  </si>
  <si>
    <t>Aggregator-Glovo daily settlement 2025-07-09</t>
  </si>
  <si>
    <t>INV-20250709-AGG</t>
  </si>
  <si>
    <t>T100107</t>
  </si>
  <si>
    <t>Aggregator-Bolt daily settlement 2025-07-09</t>
  </si>
  <si>
    <t>T100108</t>
  </si>
  <si>
    <t>Walk-in daily settlement 2025-07-09</t>
  </si>
  <si>
    <t>INV-20250709-WAL</t>
  </si>
  <si>
    <t>T100109</t>
  </si>
  <si>
    <t>POS-Lekki daily settlement 2025-07-09</t>
  </si>
  <si>
    <t>INV-20250709-POS</t>
  </si>
  <si>
    <t>T100110</t>
  </si>
  <si>
    <t>POS-VI daily settlement 2025-07-09</t>
  </si>
  <si>
    <t>T100111</t>
  </si>
  <si>
    <t>POS-Ikeja daily settlement 2025-07-09</t>
  </si>
  <si>
    <t>T100112</t>
  </si>
  <si>
    <t>POS-Abuja daily settlement 2025-07-09</t>
  </si>
  <si>
    <t>T100113</t>
  </si>
  <si>
    <t>Online daily settlement 2025-07-09</t>
  </si>
  <si>
    <t>INV-20250709-ONL</t>
  </si>
  <si>
    <t>T100114</t>
  </si>
  <si>
    <t>Contract-Dangote daily settlement 2025-07-09</t>
  </si>
  <si>
    <t>INV-20250709-CON</t>
  </si>
  <si>
    <t>T100115</t>
  </si>
  <si>
    <t>Contract-MTN daily settlement 2025-07-09</t>
  </si>
  <si>
    <t>T100116</t>
  </si>
  <si>
    <t>Contract-Flutterwave daily settlement 2025-07-09</t>
  </si>
  <si>
    <t>T100117</t>
  </si>
  <si>
    <t>Spot-Market daily settlement 2025-07-09</t>
  </si>
  <si>
    <t>INV-20250709-SPO</t>
  </si>
  <si>
    <t>T101228</t>
  </si>
  <si>
    <t>BILL-18814</t>
  </si>
  <si>
    <t>T100118</t>
  </si>
  <si>
    <t>Mobile App daily settlement 2025-07-10</t>
  </si>
  <si>
    <t>INV-20250710-MOB</t>
  </si>
  <si>
    <t>T100119</t>
  </si>
  <si>
    <t>Website daily settlement 2025-07-10</t>
  </si>
  <si>
    <t>INV-20250710-WEB</t>
  </si>
  <si>
    <t>T100120</t>
  </si>
  <si>
    <t>Aggregator-Glovo daily settlement 2025-07-10</t>
  </si>
  <si>
    <t>INV-20250710-AGG</t>
  </si>
  <si>
    <t>T100121</t>
  </si>
  <si>
    <t>Aggregator-Bolt daily settlement 2025-07-10</t>
  </si>
  <si>
    <t>T100122</t>
  </si>
  <si>
    <t>Walk-in daily settlement 2025-07-10</t>
  </si>
  <si>
    <t>INV-20250710-WAL</t>
  </si>
  <si>
    <t>T100123</t>
  </si>
  <si>
    <t>POS-Lekki daily settlement 2025-07-10</t>
  </si>
  <si>
    <t>INV-20250710-POS</t>
  </si>
  <si>
    <t>T100124</t>
  </si>
  <si>
    <t>POS-VI daily settlement 2025-07-10</t>
  </si>
  <si>
    <t>T100125</t>
  </si>
  <si>
    <t>POS-Ikeja daily settlement 2025-07-10</t>
  </si>
  <si>
    <t>T100126</t>
  </si>
  <si>
    <t>POS-Abuja daily settlement 2025-07-10</t>
  </si>
  <si>
    <t>T100127</t>
  </si>
  <si>
    <t>Online daily settlement 2025-07-10</t>
  </si>
  <si>
    <t>INV-20250710-ONL</t>
  </si>
  <si>
    <t>T100128</t>
  </si>
  <si>
    <t>Contract-Dangote daily settlement 2025-07-10</t>
  </si>
  <si>
    <t>INV-20250710-CON</t>
  </si>
  <si>
    <t>T100129</t>
  </si>
  <si>
    <t>Contract-MTN daily settlement 2025-07-10</t>
  </si>
  <si>
    <t>T100130</t>
  </si>
  <si>
    <t>Contract-Flutterwave daily settlement 2025-07-10</t>
  </si>
  <si>
    <t>T100131</t>
  </si>
  <si>
    <t>Spot-Market daily settlement 2025-07-10</t>
  </si>
  <si>
    <t>INV-20250710-SPO</t>
  </si>
  <si>
    <t>T101237</t>
  </si>
  <si>
    <t>BILL-12441</t>
  </si>
  <si>
    <t>T101387</t>
  </si>
  <si>
    <t>Diesel + Power 2025-07</t>
  </si>
  <si>
    <t>Various</t>
  </si>
  <si>
    <t>UTIL-2025-07-EAT</t>
  </si>
  <si>
    <t>T101389</t>
  </si>
  <si>
    <t>UTIL-2025-07-MAR</t>
  </si>
  <si>
    <t>T101391</t>
  </si>
  <si>
    <t>UTIL-2025-07-LOG</t>
  </si>
  <si>
    <t>T100132</t>
  </si>
  <si>
    <t>Mobile App daily settlement 2025-07-11</t>
  </si>
  <si>
    <t>INV-20250711-MOB</t>
  </si>
  <si>
    <t>T100133</t>
  </si>
  <si>
    <t>Website daily settlement 2025-07-11</t>
  </si>
  <si>
    <t>INV-20250711-WEB</t>
  </si>
  <si>
    <t>T100134</t>
  </si>
  <si>
    <t>Aggregator-Glovo daily settlement 2025-07-11</t>
  </si>
  <si>
    <t>INV-20250711-AGG</t>
  </si>
  <si>
    <t>T100135</t>
  </si>
  <si>
    <t>Aggregator-Bolt daily settlement 2025-07-11</t>
  </si>
  <si>
    <t>T100136</t>
  </si>
  <si>
    <t>Walk-in daily settlement 2025-07-11</t>
  </si>
  <si>
    <t>INV-20250711-WAL</t>
  </si>
  <si>
    <t>T100137</t>
  </si>
  <si>
    <t>POS-Lekki daily settlement 2025-07-11</t>
  </si>
  <si>
    <t>INV-20250711-POS</t>
  </si>
  <si>
    <t>T100138</t>
  </si>
  <si>
    <t>POS-VI daily settlement 2025-07-11</t>
  </si>
  <si>
    <t>T100139</t>
  </si>
  <si>
    <t>POS-Abuja daily settlement 2025-07-11</t>
  </si>
  <si>
    <t>T100140</t>
  </si>
  <si>
    <t>Online daily settlement 2025-07-11</t>
  </si>
  <si>
    <t>INV-20250711-ONL</t>
  </si>
  <si>
    <t>T100141</t>
  </si>
  <si>
    <t>Contract-Dangote daily settlement 2025-07-11</t>
  </si>
  <si>
    <t>INV-20250711-CON</t>
  </si>
  <si>
    <t>T100142</t>
  </si>
  <si>
    <t>Contract-MTN daily settlement 2025-07-11</t>
  </si>
  <si>
    <t>T100143</t>
  </si>
  <si>
    <t>Contract-Flutterwave daily settlement 2025-07-11</t>
  </si>
  <si>
    <t>T100144</t>
  </si>
  <si>
    <t>Spot-Market daily settlement 2025-07-11</t>
  </si>
  <si>
    <t>INV-20250711-SPO</t>
  </si>
  <si>
    <t>T101236</t>
  </si>
  <si>
    <t>BILL-15676</t>
  </si>
  <si>
    <t>T101260</t>
  </si>
  <si>
    <t>BILL-50523</t>
  </si>
  <si>
    <t>T100145</t>
  </si>
  <si>
    <t>Mobile App daily settlement 2025-07-12</t>
  </si>
  <si>
    <t>INV-20250712-MOB</t>
  </si>
  <si>
    <t>T100146</t>
  </si>
  <si>
    <t>Website daily settlement 2025-07-12</t>
  </si>
  <si>
    <t>INV-20250712-WEB</t>
  </si>
  <si>
    <t>T100147</t>
  </si>
  <si>
    <t>Aggregator-Glovo daily settlement 2025-07-12</t>
  </si>
  <si>
    <t>INV-20250712-AGG</t>
  </si>
  <si>
    <t>T100148</t>
  </si>
  <si>
    <t>Aggregator-Bolt daily settlement 2025-07-12</t>
  </si>
  <si>
    <t>T100149</t>
  </si>
  <si>
    <t>Walk-in daily settlement 2025-07-12</t>
  </si>
  <si>
    <t>INV-20250712-WAL</t>
  </si>
  <si>
    <t>T100150</t>
  </si>
  <si>
    <t>POS-Lekki daily settlement 2025-07-12</t>
  </si>
  <si>
    <t>INV-20250712-POS</t>
  </si>
  <si>
    <t>T100151</t>
  </si>
  <si>
    <t>POS-VI daily settlement 2025-07-12</t>
  </si>
  <si>
    <t>T100152</t>
  </si>
  <si>
    <t>POS-Ikeja daily settlement 2025-07-12</t>
  </si>
  <si>
    <t>T100153</t>
  </si>
  <si>
    <t>POS-Abuja daily settlement 2025-07-12</t>
  </si>
  <si>
    <t>T100154</t>
  </si>
  <si>
    <t>Contract-Dangote daily settlement 2025-07-12</t>
  </si>
  <si>
    <t>INV-20250712-CON</t>
  </si>
  <si>
    <t>T100155</t>
  </si>
  <si>
    <t>Contract-MTN daily settlement 2025-07-12</t>
  </si>
  <si>
    <t>T100156</t>
  </si>
  <si>
    <t>Contract-Flutterwave daily settlement 2025-07-12</t>
  </si>
  <si>
    <t>T100157</t>
  </si>
  <si>
    <t>Spot-Market daily settlement 2025-07-12</t>
  </si>
  <si>
    <t>INV-20250712-SPO</t>
  </si>
  <si>
    <t>T101262</t>
  </si>
  <si>
    <t>BILL-94063</t>
  </si>
  <si>
    <t>T101398</t>
  </si>
  <si>
    <t>Audit &amp; legal retainer 2025-07</t>
  </si>
  <si>
    <t>Andersen Tax</t>
  </si>
  <si>
    <t>LEGAL-2025-07</t>
  </si>
  <si>
    <t>T100158</t>
  </si>
  <si>
    <t>Mobile App daily settlement 2025-07-13</t>
  </si>
  <si>
    <t>INV-20250713-MOB</t>
  </si>
  <si>
    <t>T100159</t>
  </si>
  <si>
    <t>Website daily settlement 2025-07-13</t>
  </si>
  <si>
    <t>INV-20250713-WEB</t>
  </si>
  <si>
    <t>T100160</t>
  </si>
  <si>
    <t>Aggregator-Glovo daily settlement 2025-07-13</t>
  </si>
  <si>
    <t>INV-20250713-AGG</t>
  </si>
  <si>
    <t>T100161</t>
  </si>
  <si>
    <t>Aggregator-Bolt daily settlement 2025-07-13</t>
  </si>
  <si>
    <t>T100162</t>
  </si>
  <si>
    <t>Walk-in daily settlement 2025-07-13</t>
  </si>
  <si>
    <t>INV-20250713-WAL</t>
  </si>
  <si>
    <t>T100163</t>
  </si>
  <si>
    <t>POS-Lekki daily settlement 2025-07-13</t>
  </si>
  <si>
    <t>INV-20250713-POS</t>
  </si>
  <si>
    <t>T100164</t>
  </si>
  <si>
    <t>POS-VI daily settlement 2025-07-13</t>
  </si>
  <si>
    <t>T100165</t>
  </si>
  <si>
    <t>POS-Ikeja daily settlement 2025-07-13</t>
  </si>
  <si>
    <t>T100166</t>
  </si>
  <si>
    <t>POS-Abuja daily settlement 2025-07-13</t>
  </si>
  <si>
    <t>T100167</t>
  </si>
  <si>
    <t>Online daily settlement 2025-07-13</t>
  </si>
  <si>
    <t>INV-20250713-ONL</t>
  </si>
  <si>
    <t>T100168</t>
  </si>
  <si>
    <t>Contract-MTN daily settlement 2025-07-13</t>
  </si>
  <si>
    <t>INV-20250713-CON</t>
  </si>
  <si>
    <t>T100169</t>
  </si>
  <si>
    <t>Contract-Flutterwave daily settlement 2025-07-13</t>
  </si>
  <si>
    <t>T100170</t>
  </si>
  <si>
    <t>Spot-Market daily settlement 2025-07-13</t>
  </si>
  <si>
    <t>INV-20250713-SPO</t>
  </si>
  <si>
    <t>T101259</t>
  </si>
  <si>
    <t>BILL-20402</t>
  </si>
  <si>
    <t>T100171</t>
  </si>
  <si>
    <t>Mobile App daily settlement 2025-07-14</t>
  </si>
  <si>
    <t>INV-20250714-MOB</t>
  </si>
  <si>
    <t>T100172</t>
  </si>
  <si>
    <t>Website daily settlement 2025-07-14</t>
  </si>
  <si>
    <t>INV-20250714-WEB</t>
  </si>
  <si>
    <t>T100173</t>
  </si>
  <si>
    <t>Aggregator-Glovo daily settlement 2025-07-14</t>
  </si>
  <si>
    <t>INV-20250714-AGG</t>
  </si>
  <si>
    <t>T100174</t>
  </si>
  <si>
    <t>Aggregator-Bolt daily settlement 2025-07-14</t>
  </si>
  <si>
    <t>T100175</t>
  </si>
  <si>
    <t>Walk-in daily settlement 2025-07-14</t>
  </si>
  <si>
    <t>INV-20250714-WAL</t>
  </si>
  <si>
    <t>T100176</t>
  </si>
  <si>
    <t>POS-Lekki daily settlement 2025-07-14</t>
  </si>
  <si>
    <t>INV-20250714-POS</t>
  </si>
  <si>
    <t>T100177</t>
  </si>
  <si>
    <t>POS-VI daily settlement 2025-07-14</t>
  </si>
  <si>
    <t>T100178</t>
  </si>
  <si>
    <t>POS-Ikeja daily settlement 2025-07-14</t>
  </si>
  <si>
    <t>T100179</t>
  </si>
  <si>
    <t>POS-Abuja daily settlement 2025-07-14</t>
  </si>
  <si>
    <t>T100180</t>
  </si>
  <si>
    <t>Online daily settlement 2025-07-14</t>
  </si>
  <si>
    <t>INV-20250714-ONL</t>
  </si>
  <si>
    <t>T100181</t>
  </si>
  <si>
    <t>Contract-Dangote daily settlement 2025-07-14</t>
  </si>
  <si>
    <t>INV-20250714-CON</t>
  </si>
  <si>
    <t>T100182</t>
  </si>
  <si>
    <t>Contract-MTN daily settlement 2025-07-14</t>
  </si>
  <si>
    <t>T100183</t>
  </si>
  <si>
    <t>Contract-Flutterwave daily settlement 2025-07-14</t>
  </si>
  <si>
    <t>T101242</t>
  </si>
  <si>
    <t>Glovo NG invoice 2025-07</t>
  </si>
  <si>
    <t>Glovo NG</t>
  </si>
  <si>
    <t>BILL-72571</t>
  </si>
  <si>
    <t>T101258</t>
  </si>
  <si>
    <t>BILL-85155</t>
  </si>
  <si>
    <t>T100184</t>
  </si>
  <si>
    <t>Mobile App daily settlement 2025-07-15</t>
  </si>
  <si>
    <t>INV-20250715-MOB</t>
  </si>
  <si>
    <t>T100185</t>
  </si>
  <si>
    <t>Website daily settlement 2025-07-15</t>
  </si>
  <si>
    <t>INV-20250715-WEB</t>
  </si>
  <si>
    <t>T100186</t>
  </si>
  <si>
    <t>Aggregator-Bolt daily settlement 2025-07-15</t>
  </si>
  <si>
    <t>INV-20250715-AGG</t>
  </si>
  <si>
    <t>T100187</t>
  </si>
  <si>
    <t>Walk-in daily settlement 2025-07-15</t>
  </si>
  <si>
    <t>INV-20250715-WAL</t>
  </si>
  <si>
    <t>T100188</t>
  </si>
  <si>
    <t>POS-Lekki daily settlement 2025-07-15</t>
  </si>
  <si>
    <t>INV-20250715-POS</t>
  </si>
  <si>
    <t>T100189</t>
  </si>
  <si>
    <t>POS-Ikeja daily settlement 2025-07-15</t>
  </si>
  <si>
    <t>T100190</t>
  </si>
  <si>
    <t>POS-Abuja daily settlement 2025-07-15</t>
  </si>
  <si>
    <t>T100191</t>
  </si>
  <si>
    <t>Online daily settlement 2025-07-15</t>
  </si>
  <si>
    <t>INV-20250715-ONL</t>
  </si>
  <si>
    <t>T100192</t>
  </si>
  <si>
    <t>Contract-Dangote daily settlement 2025-07-15</t>
  </si>
  <si>
    <t>INV-20250715-CON</t>
  </si>
  <si>
    <t>T100193</t>
  </si>
  <si>
    <t>Contract-MTN daily settlement 2025-07-15</t>
  </si>
  <si>
    <t>T100194</t>
  </si>
  <si>
    <t>Contract-Flutterwave daily settlement 2025-07-15</t>
  </si>
  <si>
    <t>T100195</t>
  </si>
  <si>
    <t>Spot-Market daily settlement 2025-07-15</t>
  </si>
  <si>
    <t>INV-20250715-SPO</t>
  </si>
  <si>
    <t>T101271</t>
  </si>
  <si>
    <t>BILL-76719</t>
  </si>
  <si>
    <t>T101392</t>
  </si>
  <si>
    <t>Meta + Google ads 2025-07</t>
  </si>
  <si>
    <t>Meta Platforms</t>
  </si>
  <si>
    <t>ADS-2025-07-EATS</t>
  </si>
  <si>
    <t>T100196</t>
  </si>
  <si>
    <t>Mobile App daily settlement 2025-07-16</t>
  </si>
  <si>
    <t>INV-20250716-MOB</t>
  </si>
  <si>
    <t>T100197</t>
  </si>
  <si>
    <t>Website daily settlement 2025-07-16</t>
  </si>
  <si>
    <t>INV-20250716-WEB</t>
  </si>
  <si>
    <t>T100198</t>
  </si>
  <si>
    <t>Aggregator-Glovo daily settlement 2025-07-16</t>
  </si>
  <si>
    <t>INV-20250716-AGG</t>
  </si>
  <si>
    <t>T100199</t>
  </si>
  <si>
    <t>Aggregator-Bolt daily settlement 2025-07-16</t>
  </si>
  <si>
    <t>T100200</t>
  </si>
  <si>
    <t>Walk-in daily settlement 2025-07-16</t>
  </si>
  <si>
    <t>INV-20250716-WAL</t>
  </si>
  <si>
    <t>T100201</t>
  </si>
  <si>
    <t>POS-Lekki daily settlement 2025-07-16</t>
  </si>
  <si>
    <t>INV-20250716-POS</t>
  </si>
  <si>
    <t>T100202</t>
  </si>
  <si>
    <t>POS-VI daily settlement 2025-07-16</t>
  </si>
  <si>
    <t>T100203</t>
  </si>
  <si>
    <t>POS-Ikeja daily settlement 2025-07-16</t>
  </si>
  <si>
    <t>T100204</t>
  </si>
  <si>
    <t>POS-Abuja daily settlement 2025-07-16</t>
  </si>
  <si>
    <t>T100205</t>
  </si>
  <si>
    <t>Online daily settlement 2025-07-16</t>
  </si>
  <si>
    <t>INV-20250716-ONL</t>
  </si>
  <si>
    <t>T100206</t>
  </si>
  <si>
    <t>Contract-Dangote daily settlement 2025-07-16</t>
  </si>
  <si>
    <t>INV-20250716-CON</t>
  </si>
  <si>
    <t>T100207</t>
  </si>
  <si>
    <t>Contract-MTN daily settlement 2025-07-16</t>
  </si>
  <si>
    <t>T100208</t>
  </si>
  <si>
    <t>Contract-Flutterwave daily settlement 2025-07-16</t>
  </si>
  <si>
    <t>T100209</t>
  </si>
  <si>
    <t>Spot-Market daily settlement 2025-07-16</t>
  </si>
  <si>
    <t>INV-20250716-SPO</t>
  </si>
  <si>
    <t>T101206</t>
  </si>
  <si>
    <t>Customer refund order #828195</t>
  </si>
  <si>
    <t>RFD-4753</t>
  </si>
  <si>
    <t>T101214</t>
  </si>
  <si>
    <t>Customer refund order #337008</t>
  </si>
  <si>
    <t>RFD-407</t>
  </si>
  <si>
    <t>T101269</t>
  </si>
  <si>
    <t>BILL-20527</t>
  </si>
  <si>
    <t>T100210</t>
  </si>
  <si>
    <t>Mobile App daily settlement 2025-07-17</t>
  </si>
  <si>
    <t>INV-20250717-MOB</t>
  </si>
  <si>
    <t>T100211</t>
  </si>
  <si>
    <t>Website daily settlement 2025-07-17</t>
  </si>
  <si>
    <t>INV-20250717-WEB</t>
  </si>
  <si>
    <t>T100212</t>
  </si>
  <si>
    <t>Aggregator-Glovo daily settlement 2025-07-17</t>
  </si>
  <si>
    <t>INV-20250717-AGG</t>
  </si>
  <si>
    <t>T100213</t>
  </si>
  <si>
    <t>Aggregator-Bolt daily settlement 2025-07-17</t>
  </si>
  <si>
    <t>T100214</t>
  </si>
  <si>
    <t>Walk-in daily settlement 2025-07-17</t>
  </si>
  <si>
    <t>INV-20250717-WAL</t>
  </si>
  <si>
    <t>T100215</t>
  </si>
  <si>
    <t>POS-Lekki daily settlement 2025-07-17</t>
  </si>
  <si>
    <t>INV-20250717-POS</t>
  </si>
  <si>
    <t>T100216</t>
  </si>
  <si>
    <t>POS-VI daily settlement 2025-07-17</t>
  </si>
  <si>
    <t>T100217</t>
  </si>
  <si>
    <t>POS-Ikeja daily settlement 2025-07-17</t>
  </si>
  <si>
    <t>T100218</t>
  </si>
  <si>
    <t>POS-Abuja daily settlement 2025-07-17</t>
  </si>
  <si>
    <t>T100219</t>
  </si>
  <si>
    <t>Online daily settlement 2025-07-17</t>
  </si>
  <si>
    <t>INV-20250717-ONL</t>
  </si>
  <si>
    <t>T100220</t>
  </si>
  <si>
    <t>Contract-Dangote daily settlement 2025-07-17</t>
  </si>
  <si>
    <t>INV-20250717-CON</t>
  </si>
  <si>
    <t>T100221</t>
  </si>
  <si>
    <t>Contract-MTN daily settlement 2025-07-17</t>
  </si>
  <si>
    <t>T100222</t>
  </si>
  <si>
    <t>Contract-Flutterwave daily settlement 2025-07-17</t>
  </si>
  <si>
    <t>T100223</t>
  </si>
  <si>
    <t>Spot-Market daily settlement 2025-07-17</t>
  </si>
  <si>
    <t>INV-20250717-SPO</t>
  </si>
  <si>
    <t>T101224</t>
  </si>
  <si>
    <t>BILL-41926</t>
  </si>
  <si>
    <t>T101244</t>
  </si>
  <si>
    <t>BILL-47188</t>
  </si>
  <si>
    <t>T100224</t>
  </si>
  <si>
    <t>Mobile App daily settlement 2025-07-18</t>
  </si>
  <si>
    <t>INV-20250718-MOB</t>
  </si>
  <si>
    <t>T100225</t>
  </si>
  <si>
    <t>Website daily settlement 2025-07-18</t>
  </si>
  <si>
    <t>INV-20250718-WEB</t>
  </si>
  <si>
    <t>T100226</t>
  </si>
  <si>
    <t>Aggregator-Glovo daily settlement 2025-07-18</t>
  </si>
  <si>
    <t>INV-20250718-AGG</t>
  </si>
  <si>
    <t>T100227</t>
  </si>
  <si>
    <t>Aggregator-Bolt daily settlement 2025-07-18</t>
  </si>
  <si>
    <t>T100228</t>
  </si>
  <si>
    <t>Walk-in daily settlement 2025-07-18</t>
  </si>
  <si>
    <t>INV-20250718-WAL</t>
  </si>
  <si>
    <t>T100229</t>
  </si>
  <si>
    <t>POS-Lekki daily settlement 2025-07-18</t>
  </si>
  <si>
    <t>INV-20250718-POS</t>
  </si>
  <si>
    <t>T100230</t>
  </si>
  <si>
    <t>POS-Abuja daily settlement 2025-07-18</t>
  </si>
  <si>
    <t>T100231</t>
  </si>
  <si>
    <t>Online daily settlement 2025-07-18</t>
  </si>
  <si>
    <t>INV-20250718-ONL</t>
  </si>
  <si>
    <t>T100232</t>
  </si>
  <si>
    <t>Contract-Dangote daily settlement 2025-07-18</t>
  </si>
  <si>
    <t>INV-20250718-CON</t>
  </si>
  <si>
    <t>T100233</t>
  </si>
  <si>
    <t>Contract-Flutterwave daily settlement 2025-07-18</t>
  </si>
  <si>
    <t>T100234</t>
  </si>
  <si>
    <t>Spot-Market daily settlement 2025-07-18</t>
  </si>
  <si>
    <t>INV-20250718-SPO</t>
  </si>
  <si>
    <t>T101235</t>
  </si>
  <si>
    <t>BILL-22061</t>
  </si>
  <si>
    <t>T101241</t>
  </si>
  <si>
    <t>BILL-38936</t>
  </si>
  <si>
    <t>T100235</t>
  </si>
  <si>
    <t>Mobile App daily settlement 2025-07-19</t>
  </si>
  <si>
    <t>INV-20250719-MOB</t>
  </si>
  <si>
    <t>T100236</t>
  </si>
  <si>
    <t>Website daily settlement 2025-07-19</t>
  </si>
  <si>
    <t>INV-20250719-WEB</t>
  </si>
  <si>
    <t>T100237</t>
  </si>
  <si>
    <t>Aggregator-Glovo daily settlement 2025-07-19</t>
  </si>
  <si>
    <t>INV-20250719-AGG</t>
  </si>
  <si>
    <t>T100238</t>
  </si>
  <si>
    <t>Aggregator-Bolt daily settlement 2025-07-19</t>
  </si>
  <si>
    <t>T100239</t>
  </si>
  <si>
    <t>Walk-in daily settlement 2025-07-19</t>
  </si>
  <si>
    <t>INV-20250719-WAL</t>
  </si>
  <si>
    <t>T100240</t>
  </si>
  <si>
    <t>POS-Lekki daily settlement 2025-07-19</t>
  </si>
  <si>
    <t>INV-20250719-POS</t>
  </si>
  <si>
    <t>T100241</t>
  </si>
  <si>
    <t>POS-Ikeja daily settlement 2025-07-19</t>
  </si>
  <si>
    <t>T100242</t>
  </si>
  <si>
    <t>POS-Abuja daily settlement 2025-07-19</t>
  </si>
  <si>
    <t>T100243</t>
  </si>
  <si>
    <t>Online daily settlement 2025-07-19</t>
  </si>
  <si>
    <t>INV-20250719-ONL</t>
  </si>
  <si>
    <t>T100244</t>
  </si>
  <si>
    <t>Contract-Dangote daily settlement 2025-07-19</t>
  </si>
  <si>
    <t>INV-20250719-CON</t>
  </si>
  <si>
    <t>T100245</t>
  </si>
  <si>
    <t>Contract-MTN daily settlement 2025-07-19</t>
  </si>
  <si>
    <t>T100246</t>
  </si>
  <si>
    <t>Contract-Flutterwave daily settlement 2025-07-19</t>
  </si>
  <si>
    <t>T100247</t>
  </si>
  <si>
    <t>Spot-Market daily settlement 2025-07-19</t>
  </si>
  <si>
    <t>INV-20250719-SPO</t>
  </si>
  <si>
    <t>T101238</t>
  </si>
  <si>
    <t>BILL-3004</t>
  </si>
  <si>
    <t>T101246</t>
  </si>
  <si>
    <t>BILL-76265</t>
  </si>
  <si>
    <t>T101267</t>
  </si>
  <si>
    <t>BILL-43153</t>
  </si>
  <si>
    <t>T101393</t>
  </si>
  <si>
    <t>Influencer campaign 2025-07</t>
  </si>
  <si>
    <t>Various Influencers</t>
  </si>
  <si>
    <t>INFL-2025-07</t>
  </si>
  <si>
    <t>T100248</t>
  </si>
  <si>
    <t>Mobile App daily settlement 2025-07-20</t>
  </si>
  <si>
    <t>INV-20250720-MOB</t>
  </si>
  <si>
    <t>T100249</t>
  </si>
  <si>
    <t>Website daily settlement 2025-07-20</t>
  </si>
  <si>
    <t>INV-20250720-WEB</t>
  </si>
  <si>
    <t>T100250</t>
  </si>
  <si>
    <t>Aggregator-Glovo daily settlement 2025-07-20</t>
  </si>
  <si>
    <t>INV-20250720-AGG</t>
  </si>
  <si>
    <t>T100251</t>
  </si>
  <si>
    <t>Aggregator-Bolt daily settlement 2025-07-20</t>
  </si>
  <si>
    <t>T100252</t>
  </si>
  <si>
    <t>Walk-in daily settlement 2025-07-20</t>
  </si>
  <si>
    <t>INV-20250720-WAL</t>
  </si>
  <si>
    <t>T100253</t>
  </si>
  <si>
    <t>POS-Lekki daily settlement 2025-07-20</t>
  </si>
  <si>
    <t>INV-20250720-POS</t>
  </si>
  <si>
    <t>T100254</t>
  </si>
  <si>
    <t>POS-VI daily settlement 2025-07-20</t>
  </si>
  <si>
    <t>T100255</t>
  </si>
  <si>
    <t>POS-Ikeja daily settlement 2025-07-20</t>
  </si>
  <si>
    <t>T100256</t>
  </si>
  <si>
    <t>Online daily settlement 2025-07-20</t>
  </si>
  <si>
    <t>INV-20250720-ONL</t>
  </si>
  <si>
    <t>T100257</t>
  </si>
  <si>
    <t>Contract-Dangote daily settlement 2025-07-20</t>
  </si>
  <si>
    <t>INV-20250720-CON</t>
  </si>
  <si>
    <t>T100258</t>
  </si>
  <si>
    <t>Contract-MTN daily settlement 2025-07-20</t>
  </si>
  <si>
    <t>T100259</t>
  </si>
  <si>
    <t>Contract-Flutterwave daily settlement 2025-07-20</t>
  </si>
  <si>
    <t>T100260</t>
  </si>
  <si>
    <t>Spot-Market daily settlement 2025-07-20</t>
  </si>
  <si>
    <t>INV-20250720-SPO</t>
  </si>
  <si>
    <t>T100261</t>
  </si>
  <si>
    <t>Mobile App daily settlement 2025-07-21</t>
  </si>
  <si>
    <t>INV-20250721-MOB</t>
  </si>
  <si>
    <t>T100262</t>
  </si>
  <si>
    <t>Website daily settlement 2025-07-21</t>
  </si>
  <si>
    <t>INV-20250721-WEB</t>
  </si>
  <si>
    <t>T100263</t>
  </si>
  <si>
    <t>Aggregator-Glovo daily settlement 2025-07-21</t>
  </si>
  <si>
    <t>INV-20250721-AGG</t>
  </si>
  <si>
    <t>T100264</t>
  </si>
  <si>
    <t>Aggregator-Bolt daily settlement 2025-07-21</t>
  </si>
  <si>
    <t>T100265</t>
  </si>
  <si>
    <t>Walk-in daily settlement 2025-07-21</t>
  </si>
  <si>
    <t>INV-20250721-WAL</t>
  </si>
  <si>
    <t>T100266</t>
  </si>
  <si>
    <t>POS-Lekki daily settlement 2025-07-21</t>
  </si>
  <si>
    <t>INV-20250721-POS</t>
  </si>
  <si>
    <t>T100267</t>
  </si>
  <si>
    <t>POS-VI daily settlement 2025-07-21</t>
  </si>
  <si>
    <t>T100268</t>
  </si>
  <si>
    <t>POS-Ikeja daily settlement 2025-07-21</t>
  </si>
  <si>
    <t>T100269</t>
  </si>
  <si>
    <t>POS-Abuja daily settlement 2025-07-21</t>
  </si>
  <si>
    <t>T100270</t>
  </si>
  <si>
    <t>Online daily settlement 2025-07-21</t>
  </si>
  <si>
    <t>INV-20250721-ONL</t>
  </si>
  <si>
    <t>T100271</t>
  </si>
  <si>
    <t>Contract-Dangote daily settlement 2025-07-21</t>
  </si>
  <si>
    <t>INV-20250721-CON</t>
  </si>
  <si>
    <t>T100272</t>
  </si>
  <si>
    <t>Contract-MTN daily settlement 2025-07-21</t>
  </si>
  <si>
    <t>T100273</t>
  </si>
  <si>
    <t>Contract-Flutterwave daily settlement 2025-07-21</t>
  </si>
  <si>
    <t>T100274</t>
  </si>
  <si>
    <t>Spot-Market daily settlement 2025-07-21</t>
  </si>
  <si>
    <t>INV-20250721-SPO</t>
  </si>
  <si>
    <t>T101207</t>
  </si>
  <si>
    <t>Customer refund order #63998</t>
  </si>
  <si>
    <t>RFD-1925</t>
  </si>
  <si>
    <t>T101226</t>
  </si>
  <si>
    <t>BILL-35100</t>
  </si>
  <si>
    <t>T101234</t>
  </si>
  <si>
    <t>BILL-22838</t>
  </si>
  <si>
    <t>T101268</t>
  </si>
  <si>
    <t>BILL-13191</t>
  </si>
  <si>
    <t>T100275</t>
  </si>
  <si>
    <t>Mobile App daily settlement 2025-07-22</t>
  </si>
  <si>
    <t>INV-20250722-MOB</t>
  </si>
  <si>
    <t>T100276</t>
  </si>
  <si>
    <t>Website daily settlement 2025-07-22</t>
  </si>
  <si>
    <t>INV-20250722-WEB</t>
  </si>
  <si>
    <t>T100277</t>
  </si>
  <si>
    <t>Aggregator-Glovo daily settlement 2025-07-22</t>
  </si>
  <si>
    <t>INV-20250722-AGG</t>
  </si>
  <si>
    <t>T100278</t>
  </si>
  <si>
    <t>Aggregator-Bolt daily settlement 2025-07-22</t>
  </si>
  <si>
    <t>T100279</t>
  </si>
  <si>
    <t>Walk-in daily settlement 2025-07-22</t>
  </si>
  <si>
    <t>INV-20250722-WAL</t>
  </si>
  <si>
    <t>T100280</t>
  </si>
  <si>
    <t>POS-VI daily settlement 2025-07-22</t>
  </si>
  <si>
    <t>INV-20250722-POS</t>
  </si>
  <si>
    <t>T100281</t>
  </si>
  <si>
    <t>POS-Ikeja daily settlement 2025-07-22</t>
  </si>
  <si>
    <t>T100282</t>
  </si>
  <si>
    <t>POS-Abuja daily settlement 2025-07-22</t>
  </si>
  <si>
    <t>T100283</t>
  </si>
  <si>
    <t>Online daily settlement 2025-07-22</t>
  </si>
  <si>
    <t>INV-20250722-ONL</t>
  </si>
  <si>
    <t>T100284</t>
  </si>
  <si>
    <t>Contract-Dangote daily settlement 2025-07-22</t>
  </si>
  <si>
    <t>INV-20250722-CON</t>
  </si>
  <si>
    <t>T100285</t>
  </si>
  <si>
    <t>Contract-MTN daily settlement 2025-07-22</t>
  </si>
  <si>
    <t>T100286</t>
  </si>
  <si>
    <t>Contract-Flutterwave daily settlement 2025-07-22</t>
  </si>
  <si>
    <t>T100287</t>
  </si>
  <si>
    <t>Spot-Market daily settlement 2025-07-22</t>
  </si>
  <si>
    <t>INV-20250722-SPO</t>
  </si>
  <si>
    <t>T101250</t>
  </si>
  <si>
    <t>PZ Cussons invoice 2025-07</t>
  </si>
  <si>
    <t>PZ Cussons</t>
  </si>
  <si>
    <t>BILL-86253</t>
  </si>
  <si>
    <t>T101273</t>
  </si>
  <si>
    <t>BILL-6049</t>
  </si>
  <si>
    <t>T101274</t>
  </si>
  <si>
    <t>BILL-140</t>
  </si>
  <si>
    <t>T100288</t>
  </si>
  <si>
    <t>Mobile App daily settlement 2025-07-23</t>
  </si>
  <si>
    <t>INV-20250723-MOB</t>
  </si>
  <si>
    <t>T100289</t>
  </si>
  <si>
    <t>Website daily settlement 2025-07-23</t>
  </si>
  <si>
    <t>INV-20250723-WEB</t>
  </si>
  <si>
    <t>T100290</t>
  </si>
  <si>
    <t>Aggregator-Glovo daily settlement 2025-07-23</t>
  </si>
  <si>
    <t>INV-20250723-AGG</t>
  </si>
  <si>
    <t>T100291</t>
  </si>
  <si>
    <t>Aggregator-Bolt daily settlement 2025-07-23</t>
  </si>
  <si>
    <t>T100292</t>
  </si>
  <si>
    <t>Walk-in daily settlement 2025-07-23</t>
  </si>
  <si>
    <t>INV-20250723-WAL</t>
  </si>
  <si>
    <t>T100293</t>
  </si>
  <si>
    <t>POS-Lekki daily settlement 2025-07-23</t>
  </si>
  <si>
    <t>INV-20250723-POS</t>
  </si>
  <si>
    <t>T100294</t>
  </si>
  <si>
    <t>POS-VI daily settlement 2025-07-23</t>
  </si>
  <si>
    <t>T100295</t>
  </si>
  <si>
    <t>POS-Ikeja daily settlement 2025-07-23</t>
  </si>
  <si>
    <t>T100296</t>
  </si>
  <si>
    <t>POS-Abuja daily settlement 2025-07-23</t>
  </si>
  <si>
    <t>T100297</t>
  </si>
  <si>
    <t>Online daily settlement 2025-07-23</t>
  </si>
  <si>
    <t>INV-20250723-ONL</t>
  </si>
  <si>
    <t>T100298</t>
  </si>
  <si>
    <t>Contract-Dangote daily settlement 2025-07-23</t>
  </si>
  <si>
    <t>INV-20250723-CON</t>
  </si>
  <si>
    <t>T100299</t>
  </si>
  <si>
    <t>Contract-MTN daily settlement 2025-07-23</t>
  </si>
  <si>
    <t>T100300</t>
  </si>
  <si>
    <t>Contract-Flutterwave daily settlement 2025-07-23</t>
  </si>
  <si>
    <t>T100301</t>
  </si>
  <si>
    <t>Spot-Market daily settlement 2025-07-23</t>
  </si>
  <si>
    <t>INV-20250723-SPO</t>
  </si>
  <si>
    <t>T101231</t>
  </si>
  <si>
    <t>BILL-53967</t>
  </si>
  <si>
    <t>T100302</t>
  </si>
  <si>
    <t>Website daily settlement 2025-07-24</t>
  </si>
  <si>
    <t>INV-20250724-WEB</t>
  </si>
  <si>
    <t>T100303</t>
  </si>
  <si>
    <t>Aggregator-Glovo daily settlement 2025-07-24</t>
  </si>
  <si>
    <t>INV-20250724-AGG</t>
  </si>
  <si>
    <t>T100304</t>
  </si>
  <si>
    <t>Walk-in daily settlement 2025-07-24</t>
  </si>
  <si>
    <t>INV-20250724-WAL</t>
  </si>
  <si>
    <t>T100305</t>
  </si>
  <si>
    <t>POS-VI daily settlement 2025-07-24</t>
  </si>
  <si>
    <t>INV-20250724-POS</t>
  </si>
  <si>
    <t>T100306</t>
  </si>
  <si>
    <t>POS-Ikeja daily settlement 2025-07-24</t>
  </si>
  <si>
    <t>T100307</t>
  </si>
  <si>
    <t>POS-Abuja daily settlement 2025-07-24</t>
  </si>
  <si>
    <t>T100308</t>
  </si>
  <si>
    <t>Online daily settlement 2025-07-24</t>
  </si>
  <si>
    <t>INV-20250724-ONL</t>
  </si>
  <si>
    <t>T100309</t>
  </si>
  <si>
    <t>Contract-Dangote daily settlement 2025-07-24</t>
  </si>
  <si>
    <t>INV-20250724-CON</t>
  </si>
  <si>
    <t>T100310</t>
  </si>
  <si>
    <t>Contract-MTN daily settlement 2025-07-24</t>
  </si>
  <si>
    <t>T100311</t>
  </si>
  <si>
    <t>Contract-Flutterwave daily settlement 2025-07-24</t>
  </si>
  <si>
    <t>T100312</t>
  </si>
  <si>
    <t>Spot-Market daily settlement 2025-07-24</t>
  </si>
  <si>
    <t>INV-20250724-SPO</t>
  </si>
  <si>
    <t>T101229</t>
  </si>
  <si>
    <t>BILL-2916</t>
  </si>
  <si>
    <t>T101248</t>
  </si>
  <si>
    <t>BILL-45719</t>
  </si>
  <si>
    <t>T101253</t>
  </si>
  <si>
    <t>BILL-8640</t>
  </si>
  <si>
    <t>T101266</t>
  </si>
  <si>
    <t>BILL-75082</t>
  </si>
  <si>
    <t>T100313</t>
  </si>
  <si>
    <t>Mobile App daily settlement 2025-07-25</t>
  </si>
  <si>
    <t>INV-20250725-MOB</t>
  </si>
  <si>
    <t>T100314</t>
  </si>
  <si>
    <t>Website daily settlement 2025-07-25</t>
  </si>
  <si>
    <t>INV-20250725-WEB</t>
  </si>
  <si>
    <t>T100315</t>
  </si>
  <si>
    <t>Aggregator-Glovo daily settlement 2025-07-25</t>
  </si>
  <si>
    <t>INV-20250725-AGG</t>
  </si>
  <si>
    <t>T100316</t>
  </si>
  <si>
    <t>Aggregator-Bolt daily settlement 2025-07-25</t>
  </si>
  <si>
    <t>T100317</t>
  </si>
  <si>
    <t>Walk-in daily settlement 2025-07-25</t>
  </si>
  <si>
    <t>INV-20250725-WAL</t>
  </si>
  <si>
    <t>T100318</t>
  </si>
  <si>
    <t>POS-Lekki daily settlement 2025-07-25</t>
  </si>
  <si>
    <t>INV-20250725-POS</t>
  </si>
  <si>
    <t>T100319</t>
  </si>
  <si>
    <t>POS-VI daily settlement 2025-07-25</t>
  </si>
  <si>
    <t>T100320</t>
  </si>
  <si>
    <t>POS-Ikeja daily settlement 2025-07-25</t>
  </si>
  <si>
    <t>T100321</t>
  </si>
  <si>
    <t>POS-Abuja daily settlement 2025-07-25</t>
  </si>
  <si>
    <t>T100322</t>
  </si>
  <si>
    <t>Contract-Dangote daily settlement 2025-07-25</t>
  </si>
  <si>
    <t>INV-20250725-CON</t>
  </si>
  <si>
    <t>T100323</t>
  </si>
  <si>
    <t>Contract-MTN daily settlement 2025-07-25</t>
  </si>
  <si>
    <t>T100324</t>
  </si>
  <si>
    <t>Contract-Flutterwave daily settlement 2025-07-25</t>
  </si>
  <si>
    <t>T100325</t>
  </si>
  <si>
    <t>Spot-Market daily settlement 2025-07-25</t>
  </si>
  <si>
    <t>INV-20250725-SPO</t>
  </si>
  <si>
    <t>T101230</t>
  </si>
  <si>
    <t>BILL-23337</t>
  </si>
  <si>
    <t>T101245</t>
  </si>
  <si>
    <t>BILL-22467</t>
  </si>
  <si>
    <t>T101383</t>
  </si>
  <si>
    <t>Payroll-Bento</t>
  </si>
  <si>
    <t>Payroll 2025-07</t>
  </si>
  <si>
    <t>Bento Africa</t>
  </si>
  <si>
    <t>PAY-2025-07</t>
  </si>
  <si>
    <t>T101384</t>
  </si>
  <si>
    <t>T101385</t>
  </si>
  <si>
    <t>T100326</t>
  </si>
  <si>
    <t>Mobile App daily settlement 2025-07-26</t>
  </si>
  <si>
    <t>INV-20250726-MOB</t>
  </si>
  <si>
    <t>T100327</t>
  </si>
  <si>
    <t>Website daily settlement 2025-07-26</t>
  </si>
  <si>
    <t>INV-20250726-WEB</t>
  </si>
  <si>
    <t>T100328</t>
  </si>
  <si>
    <t>Aggregator-Glovo daily settlement 2025-07-26</t>
  </si>
  <si>
    <t>INV-20250726-AGG</t>
  </si>
  <si>
    <t>T100329</t>
  </si>
  <si>
    <t>Aggregator-Bolt daily settlement 2025-07-26</t>
  </si>
  <si>
    <t>T100330</t>
  </si>
  <si>
    <t>Walk-in daily settlement 2025-07-26</t>
  </si>
  <si>
    <t>INV-20250726-WAL</t>
  </si>
  <si>
    <t>T100331</t>
  </si>
  <si>
    <t>POS-Lekki daily settlement 2025-07-26</t>
  </si>
  <si>
    <t>INV-20250726-POS</t>
  </si>
  <si>
    <t>T100332</t>
  </si>
  <si>
    <t>POS-VI daily settlement 2025-07-26</t>
  </si>
  <si>
    <t>T100333</t>
  </si>
  <si>
    <t>POS-Ikeja daily settlement 2025-07-26</t>
  </si>
  <si>
    <t>T100334</t>
  </si>
  <si>
    <t>POS-Abuja daily settlement 2025-07-26</t>
  </si>
  <si>
    <t>T100335</t>
  </si>
  <si>
    <t>Online daily settlement 2025-07-26</t>
  </si>
  <si>
    <t>INV-20250726-ONL</t>
  </si>
  <si>
    <t>T100336</t>
  </si>
  <si>
    <t>Contract-Dangote daily settlement 2025-07-26</t>
  </si>
  <si>
    <t>INV-20250726-CON</t>
  </si>
  <si>
    <t>T100337</t>
  </si>
  <si>
    <t>Contract-MTN daily settlement 2025-07-26</t>
  </si>
  <si>
    <t>T100338</t>
  </si>
  <si>
    <t>Contract-Flutterwave daily settlement 2025-07-26</t>
  </si>
  <si>
    <t>T100339</t>
  </si>
  <si>
    <t>Spot-Market daily settlement 2025-07-26</t>
  </si>
  <si>
    <t>INV-20250726-SPO</t>
  </si>
  <si>
    <t>T101222</t>
  </si>
  <si>
    <t>Customer refund order #967504</t>
  </si>
  <si>
    <t>RFD-8914</t>
  </si>
  <si>
    <t>T101227</t>
  </si>
  <si>
    <t>BILL-17688</t>
  </si>
  <si>
    <t>T101240</t>
  </si>
  <si>
    <t>BILL-72581</t>
  </si>
  <si>
    <t>T101255</t>
  </si>
  <si>
    <t>BILL-11415</t>
  </si>
  <si>
    <t>T101272</t>
  </si>
  <si>
    <t>BILL-50323</t>
  </si>
  <si>
    <t>T100340</t>
  </si>
  <si>
    <t>Mobile App daily settlement 2025-07-27</t>
  </si>
  <si>
    <t>INV-20250727-MOB</t>
  </si>
  <si>
    <t>T100341</t>
  </si>
  <si>
    <t>Website daily settlement 2025-07-27</t>
  </si>
  <si>
    <t>INV-20250727-WEB</t>
  </si>
  <si>
    <t>T100342</t>
  </si>
  <si>
    <t>Aggregator-Bolt daily settlement 2025-07-27</t>
  </si>
  <si>
    <t>INV-20250727-AGG</t>
  </si>
  <si>
    <t>T100343</t>
  </si>
  <si>
    <t>Walk-in daily settlement 2025-07-27</t>
  </si>
  <si>
    <t>INV-20250727-WAL</t>
  </si>
  <si>
    <t>T100344</t>
  </si>
  <si>
    <t>POS-VI daily settlement 2025-07-27</t>
  </si>
  <si>
    <t>INV-20250727-POS</t>
  </si>
  <si>
    <t>T100345</t>
  </si>
  <si>
    <t>POS-Ikeja daily settlement 2025-07-27</t>
  </si>
  <si>
    <t>T100346</t>
  </si>
  <si>
    <t>POS-Abuja daily settlement 2025-07-27</t>
  </si>
  <si>
    <t>T100347</t>
  </si>
  <si>
    <t>Online daily settlement 2025-07-27</t>
  </si>
  <si>
    <t>INV-20250727-ONL</t>
  </si>
  <si>
    <t>T100348</t>
  </si>
  <si>
    <t>Contract-Dangote daily settlement 2025-07-27</t>
  </si>
  <si>
    <t>INV-20250727-CON</t>
  </si>
  <si>
    <t>T100349</t>
  </si>
  <si>
    <t>Contract-MTN daily settlement 2025-07-27</t>
  </si>
  <si>
    <t>T100350</t>
  </si>
  <si>
    <t>Spot-Market daily settlement 2025-07-27</t>
  </si>
  <si>
    <t>INV-20250727-SPO</t>
  </si>
  <si>
    <t>T101264</t>
  </si>
  <si>
    <t>BILL-40821</t>
  </si>
  <si>
    <t>T100351</t>
  </si>
  <si>
    <t>Mobile App daily settlement 2025-07-28</t>
  </si>
  <si>
    <t>INV-20250728-MOB</t>
  </si>
  <si>
    <t>T100352</t>
  </si>
  <si>
    <t>Website daily settlement 2025-07-28</t>
  </si>
  <si>
    <t>INV-20250728-WEB</t>
  </si>
  <si>
    <t>T100353</t>
  </si>
  <si>
    <t>Aggregator-Glovo daily settlement 2025-07-28</t>
  </si>
  <si>
    <t>INV-20250728-AGG</t>
  </si>
  <si>
    <t>T100354</t>
  </si>
  <si>
    <t>Aggregator-Bolt daily settlement 2025-07-28</t>
  </si>
  <si>
    <t>T100355</t>
  </si>
  <si>
    <t>Walk-in daily settlement 2025-07-28</t>
  </si>
  <si>
    <t>INV-20250728-WAL</t>
  </si>
  <si>
    <t>T100356</t>
  </si>
  <si>
    <t>POS-Lekki daily settlement 2025-07-28</t>
  </si>
  <si>
    <t>INV-20250728-POS</t>
  </si>
  <si>
    <t>T100357</t>
  </si>
  <si>
    <t>POS-VI daily settlement 2025-07-28</t>
  </si>
  <si>
    <t>T100358</t>
  </si>
  <si>
    <t>POS-Ikeja daily settlement 2025-07-28</t>
  </si>
  <si>
    <t>T100359</t>
  </si>
  <si>
    <t>POS-Abuja daily settlement 2025-07-28</t>
  </si>
  <si>
    <t>T100360</t>
  </si>
  <si>
    <t>Online daily settlement 2025-07-28</t>
  </si>
  <si>
    <t>INV-20250728-ONL</t>
  </si>
  <si>
    <t>T100361</t>
  </si>
  <si>
    <t>Contract-Dangote daily settlement 2025-07-28</t>
  </si>
  <si>
    <t>INV-20250728-CON</t>
  </si>
  <si>
    <t>T100362</t>
  </si>
  <si>
    <t>Contract-MTN daily settlement 2025-07-28</t>
  </si>
  <si>
    <t>T100363</t>
  </si>
  <si>
    <t>Contract-Flutterwave daily settlement 2025-07-28</t>
  </si>
  <si>
    <t>T100364</t>
  </si>
  <si>
    <t>Spot-Market daily settlement 2025-07-28</t>
  </si>
  <si>
    <t>INV-20250728-SPO</t>
  </si>
  <si>
    <t>T101232</t>
  </si>
  <si>
    <t>BILL-73349</t>
  </si>
  <si>
    <t>T101247</t>
  </si>
  <si>
    <t>BILL-31164</t>
  </si>
  <si>
    <t>T101252</t>
  </si>
  <si>
    <t>BILL-87146</t>
  </si>
  <si>
    <t>T100365</t>
  </si>
  <si>
    <t>Mobile App daily settlement 2025-07-29</t>
  </si>
  <si>
    <t>INV-20250729-MOB</t>
  </si>
  <si>
    <t>T100366</t>
  </si>
  <si>
    <t>Website daily settlement 2025-07-29</t>
  </si>
  <si>
    <t>INV-20250729-WEB</t>
  </si>
  <si>
    <t>T100367</t>
  </si>
  <si>
    <t>Aggregator-Glovo daily settlement 2025-07-29</t>
  </si>
  <si>
    <t>INV-20250729-AGG</t>
  </si>
  <si>
    <t>T100368</t>
  </si>
  <si>
    <t>Aggregator-Bolt daily settlement 2025-07-29</t>
  </si>
  <si>
    <t>T100369</t>
  </si>
  <si>
    <t>Walk-in daily settlement 2025-07-29</t>
  </si>
  <si>
    <t>INV-20250729-WAL</t>
  </si>
  <si>
    <t>T100370</t>
  </si>
  <si>
    <t>POS-Lekki daily settlement 2025-07-29</t>
  </si>
  <si>
    <t>INV-20250729-POS</t>
  </si>
  <si>
    <t>T100371</t>
  </si>
  <si>
    <t>POS-VI daily settlement 2025-07-29</t>
  </si>
  <si>
    <t>T100372</t>
  </si>
  <si>
    <t>POS-Ikeja daily settlement 2025-07-29</t>
  </si>
  <si>
    <t>T100373</t>
  </si>
  <si>
    <t>POS-Abuja daily settlement 2025-07-29</t>
  </si>
  <si>
    <t>T100374</t>
  </si>
  <si>
    <t>Online daily settlement 2025-07-29</t>
  </si>
  <si>
    <t>INV-20250729-ONL</t>
  </si>
  <si>
    <t>T100375</t>
  </si>
  <si>
    <t>Contract-Dangote daily settlement 2025-07-29</t>
  </si>
  <si>
    <t>INV-20250729-CON</t>
  </si>
  <si>
    <t>T100376</t>
  </si>
  <si>
    <t>Contract-Flutterwave daily settlement 2025-07-29</t>
  </si>
  <si>
    <t>T100377</t>
  </si>
  <si>
    <t>Spot-Market daily settlement 2025-07-29</t>
  </si>
  <si>
    <t>INV-20250729-SPO</t>
  </si>
  <si>
    <t>T101256</t>
  </si>
  <si>
    <t>BILL-22128</t>
  </si>
  <si>
    <t>T101261</t>
  </si>
  <si>
    <t>BILL-11018</t>
  </si>
  <si>
    <t>T101275</t>
  </si>
  <si>
    <t>BILL-89933</t>
  </si>
  <si>
    <t>T101395</t>
  </si>
  <si>
    <t>Bank-GTB</t>
  </si>
  <si>
    <t>Paystack + bank fees 2025-07</t>
  </si>
  <si>
    <t>Paystack / GTBank</t>
  </si>
  <si>
    <t>FEE-2025-07-EAT</t>
  </si>
  <si>
    <t>T101396</t>
  </si>
  <si>
    <t>FEE-2025-07-MAR</t>
  </si>
  <si>
    <t>T101397</t>
  </si>
  <si>
    <t>FEE-2025-07-LOG</t>
  </si>
  <si>
    <t>T100378</t>
  </si>
  <si>
    <t>Mobile App daily settlement 2025-07-30</t>
  </si>
  <si>
    <t>INV-20250730-MOB</t>
  </si>
  <si>
    <t>T100379</t>
  </si>
  <si>
    <t>Website daily settlement 2025-07-30</t>
  </si>
  <si>
    <t>INV-20250730-WEB</t>
  </si>
  <si>
    <t>T100380</t>
  </si>
  <si>
    <t>Aggregator-Glovo daily settlement 2025-07-30</t>
  </si>
  <si>
    <t>INV-20250730-AGG</t>
  </si>
  <si>
    <t>T100381</t>
  </si>
  <si>
    <t>Aggregator-Bolt daily settlement 2025-07-30</t>
  </si>
  <si>
    <t>T100382</t>
  </si>
  <si>
    <t>Walk-in daily settlement 2025-07-30</t>
  </si>
  <si>
    <t>INV-20250730-WAL</t>
  </si>
  <si>
    <t>T100383</t>
  </si>
  <si>
    <t>POS-Lekki daily settlement 2025-07-30</t>
  </si>
  <si>
    <t>INV-20250730-POS</t>
  </si>
  <si>
    <t>T100384</t>
  </si>
  <si>
    <t>POS-VI daily settlement 2025-07-30</t>
  </si>
  <si>
    <t>T100385</t>
  </si>
  <si>
    <t>POS-Abuja daily settlement 2025-07-30</t>
  </si>
  <si>
    <t>T100386</t>
  </si>
  <si>
    <t>Online daily settlement 2025-07-30</t>
  </si>
  <si>
    <t>INV-20250730-ONL</t>
  </si>
  <si>
    <t>T100387</t>
  </si>
  <si>
    <t>Contract-Dangote daily settlement 2025-07-30</t>
  </si>
  <si>
    <t>INV-20250730-CON</t>
  </si>
  <si>
    <t>T100388</t>
  </si>
  <si>
    <t>Contract-MTN daily settlement 2025-07-30</t>
  </si>
  <si>
    <t>T100389</t>
  </si>
  <si>
    <t>Contract-Flutterwave daily settlement 2025-07-30</t>
  </si>
  <si>
    <t>T101251</t>
  </si>
  <si>
    <t>BILL-90254</t>
  </si>
  <si>
    <t>T100390</t>
  </si>
  <si>
    <t>Mobile App daily settlement 2025-07-31</t>
  </si>
  <si>
    <t>INV-20250731-MOB</t>
  </si>
  <si>
    <t>T100391</t>
  </si>
  <si>
    <t>Website daily settlement 2025-07-31</t>
  </si>
  <si>
    <t>INV-20250731-WEB</t>
  </si>
  <si>
    <t>T100392</t>
  </si>
  <si>
    <t>Aggregator-Glovo daily settlement 2025-07-31</t>
  </si>
  <si>
    <t>INV-20250731-AGG</t>
  </si>
  <si>
    <t>T100393</t>
  </si>
  <si>
    <t>Aggregator-Bolt daily settlement 2025-07-31</t>
  </si>
  <si>
    <t>T100394</t>
  </si>
  <si>
    <t>Walk-in daily settlement 2025-07-31</t>
  </si>
  <si>
    <t>INV-20250731-WAL</t>
  </si>
  <si>
    <t>T100395</t>
  </si>
  <si>
    <t>POS-Lekki daily settlement 2025-07-31</t>
  </si>
  <si>
    <t>INV-20250731-POS</t>
  </si>
  <si>
    <t>T100396</t>
  </si>
  <si>
    <t>POS-VI daily settlement 2025-07-31</t>
  </si>
  <si>
    <t>T100397</t>
  </si>
  <si>
    <t>POS-Ikeja daily settlement 2025-07-31</t>
  </si>
  <si>
    <t>T100398</t>
  </si>
  <si>
    <t>POS-Abuja daily settlement 2025-07-31</t>
  </si>
  <si>
    <t>T100399</t>
  </si>
  <si>
    <t>Online daily settlement 2025-07-31</t>
  </si>
  <si>
    <t>INV-20250731-ONL</t>
  </si>
  <si>
    <t>T100400</t>
  </si>
  <si>
    <t>Contract-Dangote daily settlement 2025-07-31</t>
  </si>
  <si>
    <t>INV-20250731-CON</t>
  </si>
  <si>
    <t>T100401</t>
  </si>
  <si>
    <t>Contract-MTN daily settlement 2025-07-31</t>
  </si>
  <si>
    <t>T100402</t>
  </si>
  <si>
    <t>Contract-Flutterwave daily settlement 2025-07-31</t>
  </si>
  <si>
    <t>T100403</t>
  </si>
  <si>
    <t>Spot-Market daily settlement 2025-07-31</t>
  </si>
  <si>
    <t>INV-20250731-SPO</t>
  </si>
  <si>
    <t>T101257</t>
  </si>
  <si>
    <t>BILL-49688</t>
  </si>
  <si>
    <t>T100404</t>
  </si>
  <si>
    <t>Mobile App daily settlement 2025-08-01</t>
  </si>
  <si>
    <t>INV-20250801-MOB</t>
  </si>
  <si>
    <t>T100405</t>
  </si>
  <si>
    <t>Website daily settlement 2025-08-01</t>
  </si>
  <si>
    <t>INV-20250801-WEB</t>
  </si>
  <si>
    <t>T100406</t>
  </si>
  <si>
    <t>Aggregator-Glovo daily settlement 2025-08-01</t>
  </si>
  <si>
    <t>INV-20250801-AGG</t>
  </si>
  <si>
    <t>T100407</t>
  </si>
  <si>
    <t>Aggregator-Bolt daily settlement 2025-08-01</t>
  </si>
  <si>
    <t>T100408</t>
  </si>
  <si>
    <t>Walk-in daily settlement 2025-08-01</t>
  </si>
  <si>
    <t>INV-20250801-WAL</t>
  </si>
  <si>
    <t>T100409</t>
  </si>
  <si>
    <t>POS-Lekki daily settlement 2025-08-01</t>
  </si>
  <si>
    <t>INV-20250801-POS</t>
  </si>
  <si>
    <t>T100410</t>
  </si>
  <si>
    <t>POS-VI daily settlement 2025-08-01</t>
  </si>
  <si>
    <t>T100411</t>
  </si>
  <si>
    <t>POS-Ikeja daily settlement 2025-08-01</t>
  </si>
  <si>
    <t>T100412</t>
  </si>
  <si>
    <t>POS-Abuja daily settlement 2025-08-01</t>
  </si>
  <si>
    <t>T100413</t>
  </si>
  <si>
    <t>Contract-Dangote daily settlement 2025-08-01</t>
  </si>
  <si>
    <t>INV-20250801-CON</t>
  </si>
  <si>
    <t>T100414</t>
  </si>
  <si>
    <t>Contract-MTN daily settlement 2025-08-01</t>
  </si>
  <si>
    <t>T100415</t>
  </si>
  <si>
    <t>Contract-Flutterwave daily settlement 2025-08-01</t>
  </si>
  <si>
    <t>T100416</t>
  </si>
  <si>
    <t>Spot-Market daily settlement 2025-08-01</t>
  </si>
  <si>
    <t>INV-20250801-SPO</t>
  </si>
  <si>
    <t>T101292</t>
  </si>
  <si>
    <t>Rider Payroll invoice 2025-08</t>
  </si>
  <si>
    <t>BILL-53300</t>
  </si>
  <si>
    <t>T100417</t>
  </si>
  <si>
    <t>Mobile App daily settlement 2025-08-02</t>
  </si>
  <si>
    <t>INV-20250802-MOB</t>
  </si>
  <si>
    <t>T100418</t>
  </si>
  <si>
    <t>Website daily settlement 2025-08-02</t>
  </si>
  <si>
    <t>INV-20250802-WEB</t>
  </si>
  <si>
    <t>T100419</t>
  </si>
  <si>
    <t>Aggregator-Glovo daily settlement 2025-08-02</t>
  </si>
  <si>
    <t>INV-20250802-AGG</t>
  </si>
  <si>
    <t>T100420</t>
  </si>
  <si>
    <t>Aggregator-Bolt daily settlement 2025-08-02</t>
  </si>
  <si>
    <t>T100421</t>
  </si>
  <si>
    <t>Walk-in daily settlement 2025-08-02</t>
  </si>
  <si>
    <t>INV-20250802-WAL</t>
  </si>
  <si>
    <t>T100422</t>
  </si>
  <si>
    <t>POS-Lekki daily settlement 2025-08-02</t>
  </si>
  <si>
    <t>INV-20250802-POS</t>
  </si>
  <si>
    <t>T100423</t>
  </si>
  <si>
    <t>POS-VI daily settlement 2025-08-02</t>
  </si>
  <si>
    <t>T100424</t>
  </si>
  <si>
    <t>POS-Ikeja daily settlement 2025-08-02</t>
  </si>
  <si>
    <t>T100425</t>
  </si>
  <si>
    <t>POS-Abuja daily settlement 2025-08-02</t>
  </si>
  <si>
    <t>T100426</t>
  </si>
  <si>
    <t>Online daily settlement 2025-08-02</t>
  </si>
  <si>
    <t>INV-20250802-ONL</t>
  </si>
  <si>
    <t>T100427</t>
  </si>
  <si>
    <t>Contract-Dangote daily settlement 2025-08-02</t>
  </si>
  <si>
    <t>INV-20250802-CON</t>
  </si>
  <si>
    <t>T100428</t>
  </si>
  <si>
    <t>Contract-MTN daily settlement 2025-08-02</t>
  </si>
  <si>
    <t>T100429</t>
  </si>
  <si>
    <t>Contract-Flutterwave daily settlement 2025-08-02</t>
  </si>
  <si>
    <t>T101285</t>
  </si>
  <si>
    <t>PackPro Ltd invoice 2025-08</t>
  </si>
  <si>
    <t>BILL-18054</t>
  </si>
  <si>
    <t>T101312</t>
  </si>
  <si>
    <t>BILL-80639</t>
  </si>
  <si>
    <t>T101321</t>
  </si>
  <si>
    <t>NNPC Retail invoice 2025-08</t>
  </si>
  <si>
    <t>BILL-37974</t>
  </si>
  <si>
    <t>T101328</t>
  </si>
  <si>
    <t>Driver Payroll invoice 2025-08</t>
  </si>
  <si>
    <t>BILL-25013</t>
  </si>
  <si>
    <t>T101411</t>
  </si>
  <si>
    <t>SaaS subscriptions 2025-08</t>
  </si>
  <si>
    <t>SAAS-2025-08</t>
  </si>
  <si>
    <t>T100430</t>
  </si>
  <si>
    <t>Mobile App daily settlement 2025-08-03</t>
  </si>
  <si>
    <t>INV-20250803-MOB</t>
  </si>
  <si>
    <t>T100431</t>
  </si>
  <si>
    <t>Website daily settlement 2025-08-03</t>
  </si>
  <si>
    <t>INV-20250803-WEB</t>
  </si>
  <si>
    <t>T100432</t>
  </si>
  <si>
    <t>Aggregator-Glovo daily settlement 2025-08-03</t>
  </si>
  <si>
    <t>INV-20250803-AGG</t>
  </si>
  <si>
    <t>T100433</t>
  </si>
  <si>
    <t>Aggregator-Bolt daily settlement 2025-08-03</t>
  </si>
  <si>
    <t>T100434</t>
  </si>
  <si>
    <t>Walk-in daily settlement 2025-08-03</t>
  </si>
  <si>
    <t>INV-20250803-WAL</t>
  </si>
  <si>
    <t>T100435</t>
  </si>
  <si>
    <t>POS-VI daily settlement 2025-08-03</t>
  </si>
  <si>
    <t>INV-20250803-POS</t>
  </si>
  <si>
    <t>T100436</t>
  </si>
  <si>
    <t>POS-Ikeja daily settlement 2025-08-03</t>
  </si>
  <si>
    <t>T100437</t>
  </si>
  <si>
    <t>POS-Abuja daily settlement 2025-08-03</t>
  </si>
  <si>
    <t>T100438</t>
  </si>
  <si>
    <t>Online daily settlement 2025-08-03</t>
  </si>
  <si>
    <t>INV-20250803-ONL</t>
  </si>
  <si>
    <t>T100439</t>
  </si>
  <si>
    <t>Contract-Dangote daily settlement 2025-08-03</t>
  </si>
  <si>
    <t>INV-20250803-CON</t>
  </si>
  <si>
    <t>T100440</t>
  </si>
  <si>
    <t>Contract-MTN daily settlement 2025-08-03</t>
  </si>
  <si>
    <t>T100441</t>
  </si>
  <si>
    <t>Contract-Flutterwave daily settlement 2025-08-03</t>
  </si>
  <si>
    <t>T100442</t>
  </si>
  <si>
    <t>Spot-Market daily settlement 2025-08-03</t>
  </si>
  <si>
    <t>INV-20250803-SPO</t>
  </si>
  <si>
    <t>T101325</t>
  </si>
  <si>
    <t>Vehicle Maintenance Co invoice 2025-08</t>
  </si>
  <si>
    <t>BILL-42064</t>
  </si>
  <si>
    <t>T100443</t>
  </si>
  <si>
    <t>Mobile App daily settlement 2025-08-04</t>
  </si>
  <si>
    <t>INV-20250804-MOB</t>
  </si>
  <si>
    <t>T100444</t>
  </si>
  <si>
    <t>Website daily settlement 2025-08-04</t>
  </si>
  <si>
    <t>INV-20250804-WEB</t>
  </si>
  <si>
    <t>T100445</t>
  </si>
  <si>
    <t>Aggregator-Glovo daily settlement 2025-08-04</t>
  </si>
  <si>
    <t>INV-20250804-AGG</t>
  </si>
  <si>
    <t>T100446</t>
  </si>
  <si>
    <t>Aggregator-Bolt daily settlement 2025-08-04</t>
  </si>
  <si>
    <t>T100447</t>
  </si>
  <si>
    <t>Walk-in daily settlement 2025-08-04</t>
  </si>
  <si>
    <t>INV-20250804-WAL</t>
  </si>
  <si>
    <t>T100448</t>
  </si>
  <si>
    <t>POS-Lekki daily settlement 2025-08-04</t>
  </si>
  <si>
    <t>INV-20250804-POS</t>
  </si>
  <si>
    <t>T100449</t>
  </si>
  <si>
    <t>POS-VI daily settlement 2025-08-04</t>
  </si>
  <si>
    <t>T100450</t>
  </si>
  <si>
    <t>POS-Ikeja daily settlement 2025-08-04</t>
  </si>
  <si>
    <t>T100451</t>
  </si>
  <si>
    <t>POS-Abuja daily settlement 2025-08-04</t>
  </si>
  <si>
    <t>T100452</t>
  </si>
  <si>
    <t>Online daily settlement 2025-08-04</t>
  </si>
  <si>
    <t>INV-20250804-ONL</t>
  </si>
  <si>
    <t>T100453</t>
  </si>
  <si>
    <t>Contract-Dangote daily settlement 2025-08-04</t>
  </si>
  <si>
    <t>INV-20250804-CON</t>
  </si>
  <si>
    <t>T100454</t>
  </si>
  <si>
    <t>Contract-MTN daily settlement 2025-08-04</t>
  </si>
  <si>
    <t>T100455</t>
  </si>
  <si>
    <t>Contract-Flutterwave daily settlement 2025-08-04</t>
  </si>
  <si>
    <t>T100456</t>
  </si>
  <si>
    <t>Spot-Market daily settlement 2025-08-04</t>
  </si>
  <si>
    <t>INV-20250804-SPO</t>
  </si>
  <si>
    <t>T100457</t>
  </si>
  <si>
    <t>Mobile App daily settlement 2025-08-05</t>
  </si>
  <si>
    <t>INV-20250805-MOB</t>
  </si>
  <si>
    <t>T100458</t>
  </si>
  <si>
    <t>Website daily settlement 2025-08-05</t>
  </si>
  <si>
    <t>INV-20250805-WEB</t>
  </si>
  <si>
    <t>T100459</t>
  </si>
  <si>
    <t>Aggregator-Glovo daily settlement 2025-08-05</t>
  </si>
  <si>
    <t>INV-20250805-AGG</t>
  </si>
  <si>
    <t>T100460</t>
  </si>
  <si>
    <t>Aggregator-Bolt daily settlement 2025-08-05</t>
  </si>
  <si>
    <t>T100461</t>
  </si>
  <si>
    <t>POS-Lekki daily settlement 2025-08-05</t>
  </si>
  <si>
    <t>INV-20250805-POS</t>
  </si>
  <si>
    <t>T100462</t>
  </si>
  <si>
    <t>POS-VI daily settlement 2025-08-05</t>
  </si>
  <si>
    <t>T100463</t>
  </si>
  <si>
    <t>POS-Ikeja daily settlement 2025-08-05</t>
  </si>
  <si>
    <t>T100464</t>
  </si>
  <si>
    <t>POS-Abuja daily settlement 2025-08-05</t>
  </si>
  <si>
    <t>T100465</t>
  </si>
  <si>
    <t>Online daily settlement 2025-08-05</t>
  </si>
  <si>
    <t>INV-20250805-ONL</t>
  </si>
  <si>
    <t>T100466</t>
  </si>
  <si>
    <t>Contract-Dangote daily settlement 2025-08-05</t>
  </si>
  <si>
    <t>INV-20250805-CON</t>
  </si>
  <si>
    <t>T100467</t>
  </si>
  <si>
    <t>Contract-MTN daily settlement 2025-08-05</t>
  </si>
  <si>
    <t>T100468</t>
  </si>
  <si>
    <t>Contract-Flutterwave daily settlement 2025-08-05</t>
  </si>
  <si>
    <t>T100469</t>
  </si>
  <si>
    <t>Spot-Market daily settlement 2025-08-05</t>
  </si>
  <si>
    <t>INV-20250805-SPO</t>
  </si>
  <si>
    <t>T101201</t>
  </si>
  <si>
    <t>Customer refund order #290000</t>
  </si>
  <si>
    <t>RFD-8482</t>
  </si>
  <si>
    <t>T101210</t>
  </si>
  <si>
    <t>Customer refund order #80663</t>
  </si>
  <si>
    <t>RFD-4604</t>
  </si>
  <si>
    <t>T101403</t>
  </si>
  <si>
    <t>Office &amp; store rent 2025-08</t>
  </si>
  <si>
    <t>RENT-2025-08-EAT</t>
  </si>
  <si>
    <t>T101405</t>
  </si>
  <si>
    <t>RENT-2025-08-MAR</t>
  </si>
  <si>
    <t>T101407</t>
  </si>
  <si>
    <t>RENT-2025-08-LOG</t>
  </si>
  <si>
    <t>T100470</t>
  </si>
  <si>
    <t>Mobile App daily settlement 2025-08-06</t>
  </si>
  <si>
    <t>INV-20250806-MOB</t>
  </si>
  <si>
    <t>T100471</t>
  </si>
  <si>
    <t>Website daily settlement 2025-08-06</t>
  </si>
  <si>
    <t>INV-20250806-WEB</t>
  </si>
  <si>
    <t>T100472</t>
  </si>
  <si>
    <t>Aggregator-Glovo daily settlement 2025-08-06</t>
  </si>
  <si>
    <t>INV-20250806-AGG</t>
  </si>
  <si>
    <t>T100473</t>
  </si>
  <si>
    <t>Aggregator-Bolt daily settlement 2025-08-06</t>
  </si>
  <si>
    <t>T100474</t>
  </si>
  <si>
    <t>Walk-in daily settlement 2025-08-06</t>
  </si>
  <si>
    <t>INV-20250806-WAL</t>
  </si>
  <si>
    <t>T100475</t>
  </si>
  <si>
    <t>POS-Lekki daily settlement 2025-08-06</t>
  </si>
  <si>
    <t>INV-20250806-POS</t>
  </si>
  <si>
    <t>T100476</t>
  </si>
  <si>
    <t>POS-VI daily settlement 2025-08-06</t>
  </si>
  <si>
    <t>T100477</t>
  </si>
  <si>
    <t>POS-Ikeja daily settlement 2025-08-06</t>
  </si>
  <si>
    <t>T100478</t>
  </si>
  <si>
    <t>Online daily settlement 2025-08-06</t>
  </si>
  <si>
    <t>INV-20250806-ONL</t>
  </si>
  <si>
    <t>T100479</t>
  </si>
  <si>
    <t>Contract-Dangote daily settlement 2025-08-06</t>
  </si>
  <si>
    <t>INV-20250806-CON</t>
  </si>
  <si>
    <t>T100480</t>
  </si>
  <si>
    <t>Contract-MTN daily settlement 2025-08-06</t>
  </si>
  <si>
    <t>T100481</t>
  </si>
  <si>
    <t>Contract-Flutterwave daily settlement 2025-08-06</t>
  </si>
  <si>
    <t>T100482</t>
  </si>
  <si>
    <t>Spot-Market daily settlement 2025-08-06</t>
  </si>
  <si>
    <t>INV-20250806-SPO</t>
  </si>
  <si>
    <t>T101208</t>
  </si>
  <si>
    <t>Customer refund order #471506</t>
  </si>
  <si>
    <t>RFD-8836</t>
  </si>
  <si>
    <t>T101305</t>
  </si>
  <si>
    <t>PZ Cussons invoice 2025-08</t>
  </si>
  <si>
    <t>BILL-99454</t>
  </si>
  <si>
    <t>T100483</t>
  </si>
  <si>
    <t>Mobile App daily settlement 2025-08-07</t>
  </si>
  <si>
    <t>INV-20250807-MOB</t>
  </si>
  <si>
    <t>T100484</t>
  </si>
  <si>
    <t>Website daily settlement 2025-08-07</t>
  </si>
  <si>
    <t>INV-20250807-WEB</t>
  </si>
  <si>
    <t>T100485</t>
  </si>
  <si>
    <t>Aggregator-Glovo daily settlement 2025-08-07</t>
  </si>
  <si>
    <t>INV-20250807-AGG</t>
  </si>
  <si>
    <t>T100486</t>
  </si>
  <si>
    <t>Aggregator-Bolt daily settlement 2025-08-07</t>
  </si>
  <si>
    <t>T100487</t>
  </si>
  <si>
    <t>Walk-in daily settlement 2025-08-07</t>
  </si>
  <si>
    <t>INV-20250807-WAL</t>
  </si>
  <si>
    <t>T100488</t>
  </si>
  <si>
    <t>POS-Lekki daily settlement 2025-08-07</t>
  </si>
  <si>
    <t>INV-20250807-POS</t>
  </si>
  <si>
    <t>T100489</t>
  </si>
  <si>
    <t>POS-VI daily settlement 2025-08-07</t>
  </si>
  <si>
    <t>T100490</t>
  </si>
  <si>
    <t>POS-Ikeja daily settlement 2025-08-07</t>
  </si>
  <si>
    <t>T100491</t>
  </si>
  <si>
    <t>Online daily settlement 2025-08-07</t>
  </si>
  <si>
    <t>INV-20250807-ONL</t>
  </si>
  <si>
    <t>T100492</t>
  </si>
  <si>
    <t>Contract-Dangote daily settlement 2025-08-07</t>
  </si>
  <si>
    <t>INV-20250807-CON</t>
  </si>
  <si>
    <t>T100493</t>
  </si>
  <si>
    <t>Contract-MTN daily settlement 2025-08-07</t>
  </si>
  <si>
    <t>T100494</t>
  </si>
  <si>
    <t>Contract-Flutterwave daily settlement 2025-08-07</t>
  </si>
  <si>
    <t>T100495</t>
  </si>
  <si>
    <t>Spot-Market daily settlement 2025-08-07</t>
  </si>
  <si>
    <t>INV-20250807-SPO</t>
  </si>
  <si>
    <t>T101278</t>
  </si>
  <si>
    <t>FreshFarms NG invoice 2025-08</t>
  </si>
  <si>
    <t>BILL-68869</t>
  </si>
  <si>
    <t>T101281</t>
  </si>
  <si>
    <t>BILL-51995</t>
  </si>
  <si>
    <t>T101317</t>
  </si>
  <si>
    <t>BILL-88411</t>
  </si>
  <si>
    <t>T100496</t>
  </si>
  <si>
    <t>Mobile App daily settlement 2025-08-08</t>
  </si>
  <si>
    <t>INV-20250808-MOB</t>
  </si>
  <si>
    <t>T100497</t>
  </si>
  <si>
    <t>Website daily settlement 2025-08-08</t>
  </si>
  <si>
    <t>INV-20250808-WEB</t>
  </si>
  <si>
    <t>T100498</t>
  </si>
  <si>
    <t>Aggregator-Glovo daily settlement 2025-08-08</t>
  </si>
  <si>
    <t>INV-20250808-AGG</t>
  </si>
  <si>
    <t>T100499</t>
  </si>
  <si>
    <t>Aggregator-Bolt daily settlement 2025-08-08</t>
  </si>
  <si>
    <t>T100500</t>
  </si>
  <si>
    <t>Walk-in daily settlement 2025-08-08</t>
  </si>
  <si>
    <t>INV-20250808-WAL</t>
  </si>
  <si>
    <t>T100501</t>
  </si>
  <si>
    <t>POS-Lekki daily settlement 2025-08-08</t>
  </si>
  <si>
    <t>INV-20250808-POS</t>
  </si>
  <si>
    <t>T100502</t>
  </si>
  <si>
    <t>POS-VI daily settlement 2025-08-08</t>
  </si>
  <si>
    <t>T100503</t>
  </si>
  <si>
    <t>POS-Ikeja daily settlement 2025-08-08</t>
  </si>
  <si>
    <t>T100504</t>
  </si>
  <si>
    <t>POS-Abuja daily settlement 2025-08-08</t>
  </si>
  <si>
    <t>T100505</t>
  </si>
  <si>
    <t>Online daily settlement 2025-08-08</t>
  </si>
  <si>
    <t>INV-20250808-ONL</t>
  </si>
  <si>
    <t>T100506</t>
  </si>
  <si>
    <t>Contract-Dangote daily settlement 2025-08-08</t>
  </si>
  <si>
    <t>INV-20250808-CON</t>
  </si>
  <si>
    <t>T100507</t>
  </si>
  <si>
    <t>Contract-MTN daily settlement 2025-08-08</t>
  </si>
  <si>
    <t>T100508</t>
  </si>
  <si>
    <t>Spot-Market daily settlement 2025-08-08</t>
  </si>
  <si>
    <t>INV-20250808-SPO</t>
  </si>
  <si>
    <t>T100509</t>
  </si>
  <si>
    <t>Mobile App daily settlement 2025-08-09</t>
  </si>
  <si>
    <t>INV-20250809-MOB</t>
  </si>
  <si>
    <t>T100510</t>
  </si>
  <si>
    <t>Website daily settlement 2025-08-09</t>
  </si>
  <si>
    <t>INV-20250809-WEB</t>
  </si>
  <si>
    <t>T100511</t>
  </si>
  <si>
    <t>Aggregator-Glovo daily settlement 2025-08-09</t>
  </si>
  <si>
    <t>INV-20250809-AGG</t>
  </si>
  <si>
    <t>T100512</t>
  </si>
  <si>
    <t>Aggregator-Bolt daily settlement 2025-08-09</t>
  </si>
  <si>
    <t>T100513</t>
  </si>
  <si>
    <t>Walk-in daily settlement 2025-08-09</t>
  </si>
  <si>
    <t>INV-20250809-WAL</t>
  </si>
  <si>
    <t>T100514</t>
  </si>
  <si>
    <t>POS-Lekki daily settlement 2025-08-09</t>
  </si>
  <si>
    <t>INV-20250809-POS</t>
  </si>
  <si>
    <t>T100515</t>
  </si>
  <si>
    <t>POS-VI daily settlement 2025-08-09</t>
  </si>
  <si>
    <t>T100516</t>
  </si>
  <si>
    <t>POS-Ikeja daily settlement 2025-08-09</t>
  </si>
  <si>
    <t>T100517</t>
  </si>
  <si>
    <t>POS-Abuja daily settlement 2025-08-09</t>
  </si>
  <si>
    <t>T100518</t>
  </si>
  <si>
    <t>Online daily settlement 2025-08-09</t>
  </si>
  <si>
    <t>INV-20250809-ONL</t>
  </si>
  <si>
    <t>T100519</t>
  </si>
  <si>
    <t>Contract-Dangote daily settlement 2025-08-09</t>
  </si>
  <si>
    <t>INV-20250809-CON</t>
  </si>
  <si>
    <t>T100520</t>
  </si>
  <si>
    <t>Contract-MTN daily settlement 2025-08-09</t>
  </si>
  <si>
    <t>T100521</t>
  </si>
  <si>
    <t>Contract-Flutterwave daily settlement 2025-08-09</t>
  </si>
  <si>
    <t>T100522</t>
  </si>
  <si>
    <t>Spot-Market daily settlement 2025-08-09</t>
  </si>
  <si>
    <t>INV-20250809-SPO</t>
  </si>
  <si>
    <t>T101277</t>
  </si>
  <si>
    <t>BILL-29427</t>
  </si>
  <si>
    <t>T101279</t>
  </si>
  <si>
    <t>BILL-93276</t>
  </si>
  <si>
    <t>T101297</t>
  </si>
  <si>
    <t>Bolt Food invoice 2025-08</t>
  </si>
  <si>
    <t>BILL-76810</t>
  </si>
  <si>
    <t>T101304</t>
  </si>
  <si>
    <t>BILL-84335</t>
  </si>
  <si>
    <t>T101311</t>
  </si>
  <si>
    <t>BILL-34432</t>
  </si>
  <si>
    <t>T100523</t>
  </si>
  <si>
    <t>Mobile App daily settlement 2025-08-10</t>
  </si>
  <si>
    <t>INV-20250810-MOB</t>
  </si>
  <si>
    <t>T100524</t>
  </si>
  <si>
    <t>Website daily settlement 2025-08-10</t>
  </si>
  <si>
    <t>INV-20250810-WEB</t>
  </si>
  <si>
    <t>T100525</t>
  </si>
  <si>
    <t>Aggregator-Glovo daily settlement 2025-08-10</t>
  </si>
  <si>
    <t>INV-20250810-AGG</t>
  </si>
  <si>
    <t>T100526</t>
  </si>
  <si>
    <t>Walk-in daily settlement 2025-08-10</t>
  </si>
  <si>
    <t>INV-20250810-WAL</t>
  </si>
  <si>
    <t>T100527</t>
  </si>
  <si>
    <t>POS-Lekki daily settlement 2025-08-10</t>
  </si>
  <si>
    <t>INV-20250810-POS</t>
  </si>
  <si>
    <t>T100528</t>
  </si>
  <si>
    <t>POS-VI daily settlement 2025-08-10</t>
  </si>
  <si>
    <t>T100529</t>
  </si>
  <si>
    <t>POS-Ikeja daily settlement 2025-08-10</t>
  </si>
  <si>
    <t>T100530</t>
  </si>
  <si>
    <t>POS-Abuja daily settlement 2025-08-10</t>
  </si>
  <si>
    <t>T100531</t>
  </si>
  <si>
    <t>Online daily settlement 2025-08-10</t>
  </si>
  <si>
    <t>INV-20250810-ONL</t>
  </si>
  <si>
    <t>T100532</t>
  </si>
  <si>
    <t>Contract-Dangote daily settlement 2025-08-10</t>
  </si>
  <si>
    <t>INV-20250810-CON</t>
  </si>
  <si>
    <t>T100533</t>
  </si>
  <si>
    <t>Contract-MTN daily settlement 2025-08-10</t>
  </si>
  <si>
    <t>T100534</t>
  </si>
  <si>
    <t>Contract-Flutterwave daily settlement 2025-08-10</t>
  </si>
  <si>
    <t>T100535</t>
  </si>
  <si>
    <t>Spot-Market daily settlement 2025-08-10</t>
  </si>
  <si>
    <t>INV-20250810-SPO</t>
  </si>
  <si>
    <t>T101404</t>
  </si>
  <si>
    <t>Diesel + Power 2025-08</t>
  </si>
  <si>
    <t>UTIL-2025-08-EAT</t>
  </si>
  <si>
    <t>T101406</t>
  </si>
  <si>
    <t>UTIL-2025-08-MAR</t>
  </si>
  <si>
    <t>T101408</t>
  </si>
  <si>
    <t>UTIL-2025-08-LOG</t>
  </si>
  <si>
    <t>T100536</t>
  </si>
  <si>
    <t>Website daily settlement 2025-08-11</t>
  </si>
  <si>
    <t>INV-20250811-WEB</t>
  </si>
  <si>
    <t>T100537</t>
  </si>
  <si>
    <t>Aggregator-Bolt daily settlement 2025-08-11</t>
  </si>
  <si>
    <t>INV-20250811-AGG</t>
  </si>
  <si>
    <t>T100538</t>
  </si>
  <si>
    <t>Walk-in daily settlement 2025-08-11</t>
  </si>
  <si>
    <t>INV-20250811-WAL</t>
  </si>
  <si>
    <t>T100539</t>
  </si>
  <si>
    <t>POS-Lekki daily settlement 2025-08-11</t>
  </si>
  <si>
    <t>INV-20250811-POS</t>
  </si>
  <si>
    <t>T100540</t>
  </si>
  <si>
    <t>POS-VI daily settlement 2025-08-11</t>
  </si>
  <si>
    <t>T100541</t>
  </si>
  <si>
    <t>POS-Ikeja daily settlement 2025-08-11</t>
  </si>
  <si>
    <t>T100542</t>
  </si>
  <si>
    <t>POS-Abuja daily settlement 2025-08-11</t>
  </si>
  <si>
    <t>T100543</t>
  </si>
  <si>
    <t>Online daily settlement 2025-08-11</t>
  </si>
  <si>
    <t>INV-20250811-ONL</t>
  </si>
  <si>
    <t>T100544</t>
  </si>
  <si>
    <t>Contract-MTN daily settlement 2025-08-11</t>
  </si>
  <si>
    <t>INV-20250811-CON</t>
  </si>
  <si>
    <t>T100545</t>
  </si>
  <si>
    <t>Contract-Flutterwave daily settlement 2025-08-11</t>
  </si>
  <si>
    <t>T101218</t>
  </si>
  <si>
    <t>Customer refund order #362822</t>
  </si>
  <si>
    <t>RFD-433</t>
  </si>
  <si>
    <t>T101286</t>
  </si>
  <si>
    <t>BILL-24627</t>
  </si>
  <si>
    <t>T101288</t>
  </si>
  <si>
    <t>BILL-46583</t>
  </si>
  <si>
    <t>T101310</t>
  </si>
  <si>
    <t>Dangote Sugar invoice 2025-08</t>
  </si>
  <si>
    <t>BILL-90535</t>
  </si>
  <si>
    <t>T100546</t>
  </si>
  <si>
    <t>Mobile App daily settlement 2025-08-12</t>
  </si>
  <si>
    <t>INV-20250812-MOB</t>
  </si>
  <si>
    <t>T100547</t>
  </si>
  <si>
    <t>Website daily settlement 2025-08-12</t>
  </si>
  <si>
    <t>INV-20250812-WEB</t>
  </si>
  <si>
    <t>T100548</t>
  </si>
  <si>
    <t>Aggregator-Glovo daily settlement 2025-08-12</t>
  </si>
  <si>
    <t>INV-20250812-AGG</t>
  </si>
  <si>
    <t>T100549</t>
  </si>
  <si>
    <t>Aggregator-Bolt daily settlement 2025-08-12</t>
  </si>
  <si>
    <t>T100550</t>
  </si>
  <si>
    <t>Walk-in daily settlement 2025-08-12</t>
  </si>
  <si>
    <t>INV-20250812-WAL</t>
  </si>
  <si>
    <t>T100551</t>
  </si>
  <si>
    <t>POS-Lekki daily settlement 2025-08-12</t>
  </si>
  <si>
    <t>INV-20250812-POS</t>
  </si>
  <si>
    <t>T100552</t>
  </si>
  <si>
    <t>POS-VI daily settlement 2025-08-12</t>
  </si>
  <si>
    <t>T100553</t>
  </si>
  <si>
    <t>POS-Ikeja daily settlement 2025-08-12</t>
  </si>
  <si>
    <t>T100554</t>
  </si>
  <si>
    <t>POS-Abuja daily settlement 2025-08-12</t>
  </si>
  <si>
    <t>T100555</t>
  </si>
  <si>
    <t>Contract-Dangote daily settlement 2025-08-12</t>
  </si>
  <si>
    <t>INV-20250812-CON</t>
  </si>
  <si>
    <t>T100556</t>
  </si>
  <si>
    <t>Contract-MTN daily settlement 2025-08-12</t>
  </si>
  <si>
    <t>T100557</t>
  </si>
  <si>
    <t>Contract-Flutterwave daily settlement 2025-08-12</t>
  </si>
  <si>
    <t>T100558</t>
  </si>
  <si>
    <t>Spot-Market daily settlement 2025-08-12</t>
  </si>
  <si>
    <t>INV-20250812-SPO</t>
  </si>
  <si>
    <t>T101298</t>
  </si>
  <si>
    <t>BILL-60979</t>
  </si>
  <si>
    <t>T101307</t>
  </si>
  <si>
    <t>BILL-48921</t>
  </si>
  <si>
    <t>T101316</t>
  </si>
  <si>
    <t>BILL-69803</t>
  </si>
  <si>
    <t>T101415</t>
  </si>
  <si>
    <t>Audit &amp; legal retainer 2025-08</t>
  </si>
  <si>
    <t>LEGAL-2025-08</t>
  </si>
  <si>
    <t>T101433</t>
  </si>
  <si>
    <t>Distell Wholesale invoice DUP-AUG (paid twice)</t>
  </si>
  <si>
    <t>BILL-AUG-DUP</t>
  </si>
  <si>
    <t>FLAG: matches BILL-AUG-1840 amount + vendor</t>
  </si>
  <si>
    <t>T100559</t>
  </si>
  <si>
    <t>Mobile App daily settlement 2025-08-13</t>
  </si>
  <si>
    <t>INV-20250813-MOB</t>
  </si>
  <si>
    <t>T100560</t>
  </si>
  <si>
    <t>Website daily settlement 2025-08-13</t>
  </si>
  <si>
    <t>INV-20250813-WEB</t>
  </si>
  <si>
    <t>T100561</t>
  </si>
  <si>
    <t>Aggregator-Glovo daily settlement 2025-08-13</t>
  </si>
  <si>
    <t>INV-20250813-AGG</t>
  </si>
  <si>
    <t>T100562</t>
  </si>
  <si>
    <t>Aggregator-Bolt daily settlement 2025-08-13</t>
  </si>
  <si>
    <t>T100563</t>
  </si>
  <si>
    <t>Walk-in daily settlement 2025-08-13</t>
  </si>
  <si>
    <t>INV-20250813-WAL</t>
  </si>
  <si>
    <t>T100564</t>
  </si>
  <si>
    <t>POS-Lekki daily settlement 2025-08-13</t>
  </si>
  <si>
    <t>INV-20250813-POS</t>
  </si>
  <si>
    <t>T100565</t>
  </si>
  <si>
    <t>POS-VI daily settlement 2025-08-13</t>
  </si>
  <si>
    <t>T100566</t>
  </si>
  <si>
    <t>POS-Ikeja daily settlement 2025-08-13</t>
  </si>
  <si>
    <t>T100567</t>
  </si>
  <si>
    <t>POS-Abuja daily settlement 2025-08-13</t>
  </si>
  <si>
    <t>T100568</t>
  </si>
  <si>
    <t>Online daily settlement 2025-08-13</t>
  </si>
  <si>
    <t>INV-20250813-ONL</t>
  </si>
  <si>
    <t>T100569</t>
  </si>
  <si>
    <t>Contract-Dangote daily settlement 2025-08-13</t>
  </si>
  <si>
    <t>INV-20250813-CON</t>
  </si>
  <si>
    <t>T100570</t>
  </si>
  <si>
    <t>Contract-MTN daily settlement 2025-08-13</t>
  </si>
  <si>
    <t>T100571</t>
  </si>
  <si>
    <t>Contract-Flutterwave daily settlement 2025-08-13</t>
  </si>
  <si>
    <t>T100572</t>
  </si>
  <si>
    <t>Spot-Market daily settlement 2025-08-13</t>
  </si>
  <si>
    <t>INV-20250813-SPO</t>
  </si>
  <si>
    <t>T101280</t>
  </si>
  <si>
    <t>BILL-20146</t>
  </si>
  <si>
    <t>T101302</t>
  </si>
  <si>
    <t>Distell Wholesale invoice 2025-08</t>
  </si>
  <si>
    <t>BILL-29135</t>
  </si>
  <si>
    <t>T101318</t>
  </si>
  <si>
    <t>BILL-94634</t>
  </si>
  <si>
    <t>T101319</t>
  </si>
  <si>
    <t>BILL-19071</t>
  </si>
  <si>
    <t>T100573</t>
  </si>
  <si>
    <t>Mobile App daily settlement 2025-08-14</t>
  </si>
  <si>
    <t>INV-20250814-MOB</t>
  </si>
  <si>
    <t>T100574</t>
  </si>
  <si>
    <t>Website daily settlement 2025-08-14</t>
  </si>
  <si>
    <t>INV-20250814-WEB</t>
  </si>
  <si>
    <t>T100575</t>
  </si>
  <si>
    <t>Aggregator-Glovo daily settlement 2025-08-14</t>
  </si>
  <si>
    <t>INV-20250814-AGG</t>
  </si>
  <si>
    <t>T100576</t>
  </si>
  <si>
    <t>Aggregator-Bolt daily settlement 2025-08-14</t>
  </si>
  <si>
    <t>T100577</t>
  </si>
  <si>
    <t>Walk-in daily settlement 2025-08-14</t>
  </si>
  <si>
    <t>INV-20250814-WAL</t>
  </si>
  <si>
    <t>T100578</t>
  </si>
  <si>
    <t>POS-Lekki daily settlement 2025-08-14</t>
  </si>
  <si>
    <t>INV-20250814-POS</t>
  </si>
  <si>
    <t>T100579</t>
  </si>
  <si>
    <t>POS-VI daily settlement 2025-08-14</t>
  </si>
  <si>
    <t>T100580</t>
  </si>
  <si>
    <t>POS-Ikeja daily settlement 2025-08-14</t>
  </si>
  <si>
    <t>T100581</t>
  </si>
  <si>
    <t>POS-Abuja daily settlement 2025-08-14</t>
  </si>
  <si>
    <t>T100582</t>
  </si>
  <si>
    <t>Online daily settlement 2025-08-14</t>
  </si>
  <si>
    <t>INV-20250814-ONL</t>
  </si>
  <si>
    <t>T100583</t>
  </si>
  <si>
    <t>Contract-Dangote daily settlement 2025-08-14</t>
  </si>
  <si>
    <t>INV-20250814-CON</t>
  </si>
  <si>
    <t>T100584</t>
  </si>
  <si>
    <t>Contract-MTN daily settlement 2025-08-14</t>
  </si>
  <si>
    <t>T100585</t>
  </si>
  <si>
    <t>Contract-Flutterwave daily settlement 2025-08-14</t>
  </si>
  <si>
    <t>T100586</t>
  </si>
  <si>
    <t>Spot-Market daily settlement 2025-08-14</t>
  </si>
  <si>
    <t>INV-20250814-SPO</t>
  </si>
  <si>
    <t>T101306</t>
  </si>
  <si>
    <t>BILL-12253</t>
  </si>
  <si>
    <t>T101324</t>
  </si>
  <si>
    <t>BILL-95503</t>
  </si>
  <si>
    <t>T100587</t>
  </si>
  <si>
    <t>Website daily settlement 2025-08-15</t>
  </si>
  <si>
    <t>INV-20250815-WEB</t>
  </si>
  <si>
    <t>T100588</t>
  </si>
  <si>
    <t>Aggregator-Glovo daily settlement 2025-08-15</t>
  </si>
  <si>
    <t>INV-20250815-AGG</t>
  </si>
  <si>
    <t>T100589</t>
  </si>
  <si>
    <t>Aggregator-Bolt daily settlement 2025-08-15</t>
  </si>
  <si>
    <t>T100590</t>
  </si>
  <si>
    <t>Walk-in daily settlement 2025-08-15</t>
  </si>
  <si>
    <t>INV-20250815-WAL</t>
  </si>
  <si>
    <t>T100591</t>
  </si>
  <si>
    <t>POS-Lekki daily settlement 2025-08-15</t>
  </si>
  <si>
    <t>INV-20250815-POS</t>
  </si>
  <si>
    <t>T100592</t>
  </si>
  <si>
    <t>POS-VI daily settlement 2025-08-15</t>
  </si>
  <si>
    <t>T100593</t>
  </si>
  <si>
    <t>POS-Ikeja daily settlement 2025-08-15</t>
  </si>
  <si>
    <t>T100594</t>
  </si>
  <si>
    <t>POS-Abuja daily settlement 2025-08-15</t>
  </si>
  <si>
    <t>T100595</t>
  </si>
  <si>
    <t>Online daily settlement 2025-08-15</t>
  </si>
  <si>
    <t>INV-20250815-ONL</t>
  </si>
  <si>
    <t>T100596</t>
  </si>
  <si>
    <t>Contract-Dangote daily settlement 2025-08-15</t>
  </si>
  <si>
    <t>INV-20250815-CON</t>
  </si>
  <si>
    <t>T100597</t>
  </si>
  <si>
    <t>Contract-MTN daily settlement 2025-08-15</t>
  </si>
  <si>
    <t>T100598</t>
  </si>
  <si>
    <t>Contract-Flutterwave daily settlement 2025-08-15</t>
  </si>
  <si>
    <t>T100599</t>
  </si>
  <si>
    <t>Spot-Market daily settlement 2025-08-15</t>
  </si>
  <si>
    <t>INV-20250815-SPO</t>
  </si>
  <si>
    <t>T101212</t>
  </si>
  <si>
    <t>Customer refund order #413587</t>
  </si>
  <si>
    <t>RFD-6385</t>
  </si>
  <si>
    <t>T101308</t>
  </si>
  <si>
    <t>BILL-34657</t>
  </si>
  <si>
    <t>T101314</t>
  </si>
  <si>
    <t>BILL-60339</t>
  </si>
  <si>
    <t>T101409</t>
  </si>
  <si>
    <t>Meta + Google ads 2025-08</t>
  </si>
  <si>
    <t>ADS-2025-08-EATS</t>
  </si>
  <si>
    <t>T100600</t>
  </si>
  <si>
    <t>Mobile App daily settlement 2025-08-16</t>
  </si>
  <si>
    <t>INV-20250816-MOB</t>
  </si>
  <si>
    <t>T100601</t>
  </si>
  <si>
    <t>Website daily settlement 2025-08-16</t>
  </si>
  <si>
    <t>INV-20250816-WEB</t>
  </si>
  <si>
    <t>T100602</t>
  </si>
  <si>
    <t>Aggregator-Glovo daily settlement 2025-08-16</t>
  </si>
  <si>
    <t>INV-20250816-AGG</t>
  </si>
  <si>
    <t>T100603</t>
  </si>
  <si>
    <t>Aggregator-Bolt daily settlement 2025-08-16</t>
  </si>
  <si>
    <t>T100604</t>
  </si>
  <si>
    <t>Walk-in daily settlement 2025-08-16</t>
  </si>
  <si>
    <t>INV-20250816-WAL</t>
  </si>
  <si>
    <t>T100605</t>
  </si>
  <si>
    <t>POS-Lekki daily settlement 2025-08-16</t>
  </si>
  <si>
    <t>INV-20250816-POS</t>
  </si>
  <si>
    <t>T100606</t>
  </si>
  <si>
    <t>POS-VI daily settlement 2025-08-16</t>
  </si>
  <si>
    <t>T100607</t>
  </si>
  <si>
    <t>POS-Ikeja daily settlement 2025-08-16</t>
  </si>
  <si>
    <t>T100608</t>
  </si>
  <si>
    <t>POS-Abuja daily settlement 2025-08-16</t>
  </si>
  <si>
    <t>T100609</t>
  </si>
  <si>
    <t>Online daily settlement 2025-08-16</t>
  </si>
  <si>
    <t>INV-20250816-ONL</t>
  </si>
  <si>
    <t>T100610</t>
  </si>
  <si>
    <t>Contract-Dangote daily settlement 2025-08-16</t>
  </si>
  <si>
    <t>INV-20250816-CON</t>
  </si>
  <si>
    <t>T100611</t>
  </si>
  <si>
    <t>Contract-MTN daily settlement 2025-08-16</t>
  </si>
  <si>
    <t>T100612</t>
  </si>
  <si>
    <t>Contract-Flutterwave daily settlement 2025-08-16</t>
  </si>
  <si>
    <t>T100613</t>
  </si>
  <si>
    <t>Spot-Market daily settlement 2025-08-16</t>
  </si>
  <si>
    <t>INV-20250816-SPO</t>
  </si>
  <si>
    <t>T101287</t>
  </si>
  <si>
    <t>BILL-8606</t>
  </si>
  <si>
    <t>T100614</t>
  </si>
  <si>
    <t>Mobile App daily settlement 2025-08-17</t>
  </si>
  <si>
    <t>INV-20250817-MOB</t>
  </si>
  <si>
    <t>T100615</t>
  </si>
  <si>
    <t>Website daily settlement 2025-08-17</t>
  </si>
  <si>
    <t>INV-20250817-WEB</t>
  </si>
  <si>
    <t>T100616</t>
  </si>
  <si>
    <t>Aggregator-Glovo daily settlement 2025-08-17</t>
  </si>
  <si>
    <t>INV-20250817-AGG</t>
  </si>
  <si>
    <t>T100617</t>
  </si>
  <si>
    <t>Aggregator-Bolt daily settlement 2025-08-17</t>
  </si>
  <si>
    <t>T100618</t>
  </si>
  <si>
    <t>Walk-in daily settlement 2025-08-17</t>
  </si>
  <si>
    <t>INV-20250817-WAL</t>
  </si>
  <si>
    <t>T100619</t>
  </si>
  <si>
    <t>POS-Lekki daily settlement 2025-08-17</t>
  </si>
  <si>
    <t>INV-20250817-POS</t>
  </si>
  <si>
    <t>T100620</t>
  </si>
  <si>
    <t>POS-VI daily settlement 2025-08-17</t>
  </si>
  <si>
    <t>T100621</t>
  </si>
  <si>
    <t>POS-Ikeja daily settlement 2025-08-17</t>
  </si>
  <si>
    <t>T100622</t>
  </si>
  <si>
    <t>POS-Abuja daily settlement 2025-08-17</t>
  </si>
  <si>
    <t>T100623</t>
  </si>
  <si>
    <t>Online daily settlement 2025-08-17</t>
  </si>
  <si>
    <t>INV-20250817-ONL</t>
  </si>
  <si>
    <t>T100624</t>
  </si>
  <si>
    <t>Contract-MTN daily settlement 2025-08-17</t>
  </si>
  <si>
    <t>INV-20250817-CON</t>
  </si>
  <si>
    <t>T100625</t>
  </si>
  <si>
    <t>Contract-Flutterwave daily settlement 2025-08-17</t>
  </si>
  <si>
    <t>T100626</t>
  </si>
  <si>
    <t>Spot-Market daily settlement 2025-08-17</t>
  </si>
  <si>
    <t>INV-20250817-SPO</t>
  </si>
  <si>
    <t>T101202</t>
  </si>
  <si>
    <t>Customer refund order #701148</t>
  </si>
  <si>
    <t>RFD-6161</t>
  </si>
  <si>
    <t>T101322</t>
  </si>
  <si>
    <t>BILL-83917</t>
  </si>
  <si>
    <t>T101326</t>
  </si>
  <si>
    <t>BILL-65156</t>
  </si>
  <si>
    <t>T100627</t>
  </si>
  <si>
    <t>Mobile App daily settlement 2025-08-18</t>
  </si>
  <si>
    <t>INV-20250818-MOB</t>
  </si>
  <si>
    <t>T100628</t>
  </si>
  <si>
    <t>Website daily settlement 2025-08-18</t>
  </si>
  <si>
    <t>INV-20250818-WEB</t>
  </si>
  <si>
    <t>T100629</t>
  </si>
  <si>
    <t>Aggregator-Glovo daily settlement 2025-08-18</t>
  </si>
  <si>
    <t>INV-20250818-AGG</t>
  </si>
  <si>
    <t>T100630</t>
  </si>
  <si>
    <t>Aggregator-Bolt daily settlement 2025-08-18</t>
  </si>
  <si>
    <t>T100631</t>
  </si>
  <si>
    <t>Walk-in daily settlement 2025-08-18</t>
  </si>
  <si>
    <t>INV-20250818-WAL</t>
  </si>
  <si>
    <t>T100632</t>
  </si>
  <si>
    <t>POS-Lekki daily settlement 2025-08-18</t>
  </si>
  <si>
    <t>INV-20250818-POS</t>
  </si>
  <si>
    <t>T100633</t>
  </si>
  <si>
    <t>POS-VI daily settlement 2025-08-18</t>
  </si>
  <si>
    <t>T100634</t>
  </si>
  <si>
    <t>POS-Ikeja daily settlement 2025-08-18</t>
  </si>
  <si>
    <t>T100635</t>
  </si>
  <si>
    <t>POS-Abuja daily settlement 2025-08-18</t>
  </si>
  <si>
    <t>T100636</t>
  </si>
  <si>
    <t>Online daily settlement 2025-08-18</t>
  </si>
  <si>
    <t>INV-20250818-ONL</t>
  </si>
  <si>
    <t>T100637</t>
  </si>
  <si>
    <t>Contract-Dangote daily settlement 2025-08-18</t>
  </si>
  <si>
    <t>INV-20250818-CON</t>
  </si>
  <si>
    <t>T100638</t>
  </si>
  <si>
    <t>Contract-MTN daily settlement 2025-08-18</t>
  </si>
  <si>
    <t>T100639</t>
  </si>
  <si>
    <t>Contract-Flutterwave daily settlement 2025-08-18</t>
  </si>
  <si>
    <t>T100640</t>
  </si>
  <si>
    <t>Spot-Market daily settlement 2025-08-18</t>
  </si>
  <si>
    <t>INV-20250818-SPO</t>
  </si>
  <si>
    <t>T101196</t>
  </si>
  <si>
    <t>Customer refund order #113406</t>
  </si>
  <si>
    <t>RFD-944</t>
  </si>
  <si>
    <t>T101301</t>
  </si>
  <si>
    <t>BILL-85589</t>
  </si>
  <si>
    <t>T100641</t>
  </si>
  <si>
    <t>Website daily settlement 2025-08-19</t>
  </si>
  <si>
    <t>INV-20250819-WEB</t>
  </si>
  <si>
    <t>T100642</t>
  </si>
  <si>
    <t>Aggregator-Glovo daily settlement 2025-08-19</t>
  </si>
  <si>
    <t>INV-20250819-AGG</t>
  </si>
  <si>
    <t>T100643</t>
  </si>
  <si>
    <t>Aggregator-Bolt daily settlement 2025-08-19</t>
  </si>
  <si>
    <t>T100644</t>
  </si>
  <si>
    <t>Walk-in daily settlement 2025-08-19</t>
  </si>
  <si>
    <t>INV-20250819-WAL</t>
  </si>
  <si>
    <t>T100645</t>
  </si>
  <si>
    <t>POS-Lekki daily settlement 2025-08-19</t>
  </si>
  <si>
    <t>INV-20250819-POS</t>
  </si>
  <si>
    <t>T100646</t>
  </si>
  <si>
    <t>POS-VI daily settlement 2025-08-19</t>
  </si>
  <si>
    <t>T100647</t>
  </si>
  <si>
    <t>POS-Abuja daily settlement 2025-08-19</t>
  </si>
  <si>
    <t>T100648</t>
  </si>
  <si>
    <t>Online daily settlement 2025-08-19</t>
  </si>
  <si>
    <t>INV-20250819-ONL</t>
  </si>
  <si>
    <t>T100649</t>
  </si>
  <si>
    <t>Contract-Dangote daily settlement 2025-08-19</t>
  </si>
  <si>
    <t>INV-20250819-CON</t>
  </si>
  <si>
    <t>T100650</t>
  </si>
  <si>
    <t>Contract-MTN daily settlement 2025-08-19</t>
  </si>
  <si>
    <t>T100651</t>
  </si>
  <si>
    <t>Contract-Flutterwave daily settlement 2025-08-19</t>
  </si>
  <si>
    <t>T100652</t>
  </si>
  <si>
    <t>Spot-Market daily settlement 2025-08-19</t>
  </si>
  <si>
    <t>INV-20250819-SPO</t>
  </si>
  <si>
    <t>T101410</t>
  </si>
  <si>
    <t>Influencer campaign 2025-08</t>
  </si>
  <si>
    <t>INFL-2025-08</t>
  </si>
  <si>
    <t>T100653</t>
  </si>
  <si>
    <t>Mobile App daily settlement 2025-08-20</t>
  </si>
  <si>
    <t>INV-20250820-MOB</t>
  </si>
  <si>
    <t>T100654</t>
  </si>
  <si>
    <t>Aggregator-Glovo daily settlement 2025-08-20</t>
  </si>
  <si>
    <t>INV-20250820-AGG</t>
  </si>
  <si>
    <t>T100655</t>
  </si>
  <si>
    <t>Aggregator-Bolt daily settlement 2025-08-20</t>
  </si>
  <si>
    <t>T100656</t>
  </si>
  <si>
    <t>Walk-in daily settlement 2025-08-20</t>
  </si>
  <si>
    <t>INV-20250820-WAL</t>
  </si>
  <si>
    <t>T100657</t>
  </si>
  <si>
    <t>POS-Lekki daily settlement 2025-08-20</t>
  </si>
  <si>
    <t>INV-20250820-POS</t>
  </si>
  <si>
    <t>T100658</t>
  </si>
  <si>
    <t>POS-VI daily settlement 2025-08-20</t>
  </si>
  <si>
    <t>T100659</t>
  </si>
  <si>
    <t>POS-Ikeja daily settlement 2025-08-20</t>
  </si>
  <si>
    <t>T100660</t>
  </si>
  <si>
    <t>POS-Abuja daily settlement 2025-08-20</t>
  </si>
  <si>
    <t>T100661</t>
  </si>
  <si>
    <t>Online daily settlement 2025-08-20</t>
  </si>
  <si>
    <t>INV-20250820-ONL</t>
  </si>
  <si>
    <t>T100662</t>
  </si>
  <si>
    <t>Contract-Dangote daily settlement 2025-08-20</t>
  </si>
  <si>
    <t>INV-20250820-CON</t>
  </si>
  <si>
    <t>T100663</t>
  </si>
  <si>
    <t>Contract-MTN daily settlement 2025-08-20</t>
  </si>
  <si>
    <t>T100664</t>
  </si>
  <si>
    <t>Spot-Market daily settlement 2025-08-20</t>
  </si>
  <si>
    <t>INV-20250820-SPO</t>
  </si>
  <si>
    <t>T101209</t>
  </si>
  <si>
    <t>Customer refund order #364809</t>
  </si>
  <si>
    <t>RFD-8235</t>
  </si>
  <si>
    <t>T101293</t>
  </si>
  <si>
    <t>Glovo NG invoice 2025-08</t>
  </si>
  <si>
    <t>BILL-15372</t>
  </si>
  <si>
    <t>T100665</t>
  </si>
  <si>
    <t>Mobile App daily settlement 2025-08-21</t>
  </si>
  <si>
    <t>INV-20250821-MOB</t>
  </si>
  <si>
    <t>T100666</t>
  </si>
  <si>
    <t>Website daily settlement 2025-08-21</t>
  </si>
  <si>
    <t>INV-20250821-WEB</t>
  </si>
  <si>
    <t>T100667</t>
  </si>
  <si>
    <t>Aggregator-Glovo daily settlement 2025-08-21</t>
  </si>
  <si>
    <t>INV-20250821-AGG</t>
  </si>
  <si>
    <t>T100668</t>
  </si>
  <si>
    <t>Aggregator-Bolt daily settlement 2025-08-21</t>
  </si>
  <si>
    <t>T100669</t>
  </si>
  <si>
    <t>Walk-in daily settlement 2025-08-21</t>
  </si>
  <si>
    <t>INV-20250821-WAL</t>
  </si>
  <si>
    <t>T100670</t>
  </si>
  <si>
    <t>POS-Lekki daily settlement 2025-08-21</t>
  </si>
  <si>
    <t>INV-20250821-POS</t>
  </si>
  <si>
    <t>T100671</t>
  </si>
  <si>
    <t>POS-VI daily settlement 2025-08-21</t>
  </si>
  <si>
    <t>T100672</t>
  </si>
  <si>
    <t>POS-Ikeja daily settlement 2025-08-21</t>
  </si>
  <si>
    <t>T100673</t>
  </si>
  <si>
    <t>POS-Abuja daily settlement 2025-08-21</t>
  </si>
  <si>
    <t>T100674</t>
  </si>
  <si>
    <t>Online daily settlement 2025-08-21</t>
  </si>
  <si>
    <t>INV-20250821-ONL</t>
  </si>
  <si>
    <t>T100675</t>
  </si>
  <si>
    <t>Contract-Dangote daily settlement 2025-08-21</t>
  </si>
  <si>
    <t>INV-20250821-CON</t>
  </si>
  <si>
    <t>T100676</t>
  </si>
  <si>
    <t>Contract-MTN daily settlement 2025-08-21</t>
  </si>
  <si>
    <t>T100677</t>
  </si>
  <si>
    <t>Contract-Flutterwave daily settlement 2025-08-21</t>
  </si>
  <si>
    <t>T100678</t>
  </si>
  <si>
    <t>Spot-Market daily settlement 2025-08-21</t>
  </si>
  <si>
    <t>INV-20250821-SPO</t>
  </si>
  <si>
    <t>T101291</t>
  </si>
  <si>
    <t>BILL-53483</t>
  </si>
  <si>
    <t>T101329</t>
  </si>
  <si>
    <t>BILL-1321</t>
  </si>
  <si>
    <t>T100679</t>
  </si>
  <si>
    <t>Mobile App daily settlement 2025-08-22</t>
  </si>
  <si>
    <t>INV-20250822-MOB</t>
  </si>
  <si>
    <t>T100680</t>
  </si>
  <si>
    <t>Website daily settlement 2025-08-22</t>
  </si>
  <si>
    <t>INV-20250822-WEB</t>
  </si>
  <si>
    <t>T100681</t>
  </si>
  <si>
    <t>Aggregator-Glovo daily settlement 2025-08-22</t>
  </si>
  <si>
    <t>INV-20250822-AGG</t>
  </si>
  <si>
    <t>T100682</t>
  </si>
  <si>
    <t>Walk-in daily settlement 2025-08-22</t>
  </si>
  <si>
    <t>INV-20250822-WAL</t>
  </si>
  <si>
    <t>T100683</t>
  </si>
  <si>
    <t>POS-Lekki daily settlement 2025-08-22</t>
  </si>
  <si>
    <t>INV-20250822-POS</t>
  </si>
  <si>
    <t>T100684</t>
  </si>
  <si>
    <t>POS-VI daily settlement 2025-08-22</t>
  </si>
  <si>
    <t>T100685</t>
  </si>
  <si>
    <t>POS-Ikeja daily settlement 2025-08-22</t>
  </si>
  <si>
    <t>T100686</t>
  </si>
  <si>
    <t>Online daily settlement 2025-08-22</t>
  </si>
  <si>
    <t>INV-20250822-ONL</t>
  </si>
  <si>
    <t>T100687</t>
  </si>
  <si>
    <t>Contract-Dangote daily settlement 2025-08-22</t>
  </si>
  <si>
    <t>INV-20250822-CON</t>
  </si>
  <si>
    <t>T100688</t>
  </si>
  <si>
    <t>Contract-MTN daily settlement 2025-08-22</t>
  </si>
  <si>
    <t>T100689</t>
  </si>
  <si>
    <t>Contract-Flutterwave daily settlement 2025-08-22</t>
  </si>
  <si>
    <t>T100690</t>
  </si>
  <si>
    <t>Spot-Market daily settlement 2025-08-22</t>
  </si>
  <si>
    <t>INV-20250822-SPO</t>
  </si>
  <si>
    <t>T101295</t>
  </si>
  <si>
    <t>BILL-85097</t>
  </si>
  <si>
    <t>T101309</t>
  </si>
  <si>
    <t>BILL-35170</t>
  </si>
  <si>
    <t>T101320</t>
  </si>
  <si>
    <t>BILL-18151</t>
  </si>
  <si>
    <t>T100691</t>
  </si>
  <si>
    <t>Mobile App daily settlement 2025-08-23</t>
  </si>
  <si>
    <t>INV-20250823-MOB</t>
  </si>
  <si>
    <t>T100692</t>
  </si>
  <si>
    <t>Website daily settlement 2025-08-23</t>
  </si>
  <si>
    <t>INV-20250823-WEB</t>
  </si>
  <si>
    <t>T100693</t>
  </si>
  <si>
    <t>Aggregator-Glovo daily settlement 2025-08-23</t>
  </si>
  <si>
    <t>INV-20250823-AGG</t>
  </si>
  <si>
    <t>T100694</t>
  </si>
  <si>
    <t>Aggregator-Bolt daily settlement 2025-08-23</t>
  </si>
  <si>
    <t>T100695</t>
  </si>
  <si>
    <t>Walk-in daily settlement 2025-08-23</t>
  </si>
  <si>
    <t>INV-20250823-WAL</t>
  </si>
  <si>
    <t>T100696</t>
  </si>
  <si>
    <t>POS-VI daily settlement 2025-08-23</t>
  </si>
  <si>
    <t>INV-20250823-POS</t>
  </si>
  <si>
    <t>T100697</t>
  </si>
  <si>
    <t>POS-Ikeja daily settlement 2025-08-23</t>
  </si>
  <si>
    <t>T100698</t>
  </si>
  <si>
    <t>POS-Abuja daily settlement 2025-08-23</t>
  </si>
  <si>
    <t>T100699</t>
  </si>
  <si>
    <t>Contract-Dangote daily settlement 2025-08-23</t>
  </si>
  <si>
    <t>INV-20250823-CON</t>
  </si>
  <si>
    <t>T100700</t>
  </si>
  <si>
    <t>Contract-MTN daily settlement 2025-08-23</t>
  </si>
  <si>
    <t>T100701</t>
  </si>
  <si>
    <t>Contract-Flutterwave daily settlement 2025-08-23</t>
  </si>
  <si>
    <t>T100702</t>
  </si>
  <si>
    <t>Spot-Market daily settlement 2025-08-23</t>
  </si>
  <si>
    <t>INV-20250823-SPO</t>
  </si>
  <si>
    <t>T101313</t>
  </si>
  <si>
    <t>BILL-79045</t>
  </si>
  <si>
    <t>T100703</t>
  </si>
  <si>
    <t>Mobile App daily settlement 2025-08-24</t>
  </si>
  <si>
    <t>INV-20250824-MOB</t>
  </si>
  <si>
    <t>T100704</t>
  </si>
  <si>
    <t>Website daily settlement 2025-08-24</t>
  </si>
  <si>
    <t>INV-20250824-WEB</t>
  </si>
  <si>
    <t>T100705</t>
  </si>
  <si>
    <t>Aggregator-Glovo daily settlement 2025-08-24</t>
  </si>
  <si>
    <t>INV-20250824-AGG</t>
  </si>
  <si>
    <t>T100706</t>
  </si>
  <si>
    <t>Aggregator-Bolt daily settlement 2025-08-24</t>
  </si>
  <si>
    <t>T100707</t>
  </si>
  <si>
    <t>Walk-in daily settlement 2025-08-24</t>
  </si>
  <si>
    <t>INV-20250824-WAL</t>
  </si>
  <si>
    <t>T100708</t>
  </si>
  <si>
    <t>POS-Lekki daily settlement 2025-08-24</t>
  </si>
  <si>
    <t>INV-20250824-POS</t>
  </si>
  <si>
    <t>T100709</t>
  </si>
  <si>
    <t>POS-VI daily settlement 2025-08-24</t>
  </si>
  <si>
    <t>T100710</t>
  </si>
  <si>
    <t>POS-Ikeja daily settlement 2025-08-24</t>
  </si>
  <si>
    <t>T100711</t>
  </si>
  <si>
    <t>POS-Abuja daily settlement 2025-08-24</t>
  </si>
  <si>
    <t>T100712</t>
  </si>
  <si>
    <t>Online daily settlement 2025-08-24</t>
  </si>
  <si>
    <t>INV-20250824-ONL</t>
  </si>
  <si>
    <t>T100713</t>
  </si>
  <si>
    <t>Contract-Dangote daily settlement 2025-08-24</t>
  </si>
  <si>
    <t>INV-20250824-CON</t>
  </si>
  <si>
    <t>T100714</t>
  </si>
  <si>
    <t>Contract-MTN daily settlement 2025-08-24</t>
  </si>
  <si>
    <t>T100715</t>
  </si>
  <si>
    <t>Contract-Flutterwave daily settlement 2025-08-24</t>
  </si>
  <si>
    <t>T101283</t>
  </si>
  <si>
    <t>BILL-28392</t>
  </si>
  <si>
    <t>T100716</t>
  </si>
  <si>
    <t>Mobile App daily settlement 2025-08-25</t>
  </si>
  <si>
    <t>INV-20250825-MOB</t>
  </si>
  <si>
    <t>T100717</t>
  </si>
  <si>
    <t>Website daily settlement 2025-08-25</t>
  </si>
  <si>
    <t>INV-20250825-WEB</t>
  </si>
  <si>
    <t>T100718</t>
  </si>
  <si>
    <t>Aggregator-Glovo daily settlement 2025-08-25</t>
  </si>
  <si>
    <t>INV-20250825-AGG</t>
  </si>
  <si>
    <t>T100719</t>
  </si>
  <si>
    <t>Aggregator-Bolt daily settlement 2025-08-25</t>
  </si>
  <si>
    <t>T100720</t>
  </si>
  <si>
    <t>Walk-in daily settlement 2025-08-25</t>
  </si>
  <si>
    <t>INV-20250825-WAL</t>
  </si>
  <si>
    <t>T100721</t>
  </si>
  <si>
    <t>POS-Lekki daily settlement 2025-08-25</t>
  </si>
  <si>
    <t>INV-20250825-POS</t>
  </si>
  <si>
    <t>T100722</t>
  </si>
  <si>
    <t>POS-VI daily settlement 2025-08-25</t>
  </si>
  <si>
    <t>T100723</t>
  </si>
  <si>
    <t>POS-Ikeja daily settlement 2025-08-25</t>
  </si>
  <si>
    <t>T100724</t>
  </si>
  <si>
    <t>POS-Abuja daily settlement 2025-08-25</t>
  </si>
  <si>
    <t>T100725</t>
  </si>
  <si>
    <t>Online daily settlement 2025-08-25</t>
  </si>
  <si>
    <t>INV-20250825-ONL</t>
  </si>
  <si>
    <t>T100726</t>
  </si>
  <si>
    <t>Contract-Dangote daily settlement 2025-08-25</t>
  </si>
  <si>
    <t>INV-20250825-CON</t>
  </si>
  <si>
    <t>T100727</t>
  </si>
  <si>
    <t>Contract-MTN daily settlement 2025-08-25</t>
  </si>
  <si>
    <t>T100728</t>
  </si>
  <si>
    <t>Contract-Flutterwave daily settlement 2025-08-25</t>
  </si>
  <si>
    <t>T100729</t>
  </si>
  <si>
    <t>Spot-Market daily settlement 2025-08-25</t>
  </si>
  <si>
    <t>INV-20250825-SPO</t>
  </si>
  <si>
    <t>T101289</t>
  </si>
  <si>
    <t>BILL-6097</t>
  </si>
  <si>
    <t>T101296</t>
  </si>
  <si>
    <t>BILL-28854</t>
  </si>
  <si>
    <t>T101399</t>
  </si>
  <si>
    <t>Payroll 2025-08</t>
  </si>
  <si>
    <t>PAY-2025-08</t>
  </si>
  <si>
    <t>T101400</t>
  </si>
  <si>
    <t>T101401</t>
  </si>
  <si>
    <t>T101402</t>
  </si>
  <si>
    <t>Payroll August - DUPLICATE entry Adesuwa O.</t>
  </si>
  <si>
    <t>PAY-2025-08-DUP</t>
  </si>
  <si>
    <t>T100730</t>
  </si>
  <si>
    <t>Mobile App daily settlement 2025-08-26</t>
  </si>
  <si>
    <t>INV-20250826-MOB</t>
  </si>
  <si>
    <t>T100731</t>
  </si>
  <si>
    <t>Website daily settlement 2025-08-26</t>
  </si>
  <si>
    <t>INV-20250826-WEB</t>
  </si>
  <si>
    <t>T100732</t>
  </si>
  <si>
    <t>Aggregator-Glovo daily settlement 2025-08-26</t>
  </si>
  <si>
    <t>INV-20250826-AGG</t>
  </si>
  <si>
    <t>T100733</t>
  </si>
  <si>
    <t>Aggregator-Bolt daily settlement 2025-08-26</t>
  </si>
  <si>
    <t>T100734</t>
  </si>
  <si>
    <t>Walk-in daily settlement 2025-08-26</t>
  </si>
  <si>
    <t>INV-20250826-WAL</t>
  </si>
  <si>
    <t>T100735</t>
  </si>
  <si>
    <t>POS-Lekki daily settlement 2025-08-26</t>
  </si>
  <si>
    <t>INV-20250826-POS</t>
  </si>
  <si>
    <t>T100736</t>
  </si>
  <si>
    <t>POS-VI daily settlement 2025-08-26</t>
  </si>
  <si>
    <t>T100737</t>
  </si>
  <si>
    <t>POS-Ikeja daily settlement 2025-08-26</t>
  </si>
  <si>
    <t>T100738</t>
  </si>
  <si>
    <t>Online daily settlement 2025-08-26</t>
  </si>
  <si>
    <t>INV-20250826-ONL</t>
  </si>
  <si>
    <t>T100739</t>
  </si>
  <si>
    <t>Contract-Dangote daily settlement 2025-08-26</t>
  </si>
  <si>
    <t>INV-20250826-CON</t>
  </si>
  <si>
    <t>T100740</t>
  </si>
  <si>
    <t>Contract-MTN daily settlement 2025-08-26</t>
  </si>
  <si>
    <t>T100741</t>
  </si>
  <si>
    <t>Contract-Flutterwave daily settlement 2025-08-26</t>
  </si>
  <si>
    <t>T100742</t>
  </si>
  <si>
    <t>Spot-Market daily settlement 2025-08-26</t>
  </si>
  <si>
    <t>INV-20250826-SPO</t>
  </si>
  <si>
    <t>T101299</t>
  </si>
  <si>
    <t>BILL-53251</t>
  </si>
  <si>
    <t>T100743</t>
  </si>
  <si>
    <t>Mobile App daily settlement 2025-08-27</t>
  </si>
  <si>
    <t>INV-20250827-MOB</t>
  </si>
  <si>
    <t>T100744</t>
  </si>
  <si>
    <t>Website daily settlement 2025-08-27</t>
  </si>
  <si>
    <t>INV-20250827-WEB</t>
  </si>
  <si>
    <t>T100745</t>
  </si>
  <si>
    <t>Aggregator-Glovo daily settlement 2025-08-27</t>
  </si>
  <si>
    <t>INV-20250827-AGG</t>
  </si>
  <si>
    <t>T100746</t>
  </si>
  <si>
    <t>Aggregator-Bolt daily settlement 2025-08-27</t>
  </si>
  <si>
    <t>T100747</t>
  </si>
  <si>
    <t>Walk-in daily settlement 2025-08-27</t>
  </si>
  <si>
    <t>INV-20250827-WAL</t>
  </si>
  <si>
    <t>T100748</t>
  </si>
  <si>
    <t>POS-Lekki daily settlement 2025-08-27</t>
  </si>
  <si>
    <t>INV-20250827-POS</t>
  </si>
  <si>
    <t>T100749</t>
  </si>
  <si>
    <t>POS-VI daily settlement 2025-08-27</t>
  </si>
  <si>
    <t>T100750</t>
  </si>
  <si>
    <t>POS-Abuja daily settlement 2025-08-27</t>
  </si>
  <si>
    <t>T100751</t>
  </si>
  <si>
    <t>Online daily settlement 2025-08-27</t>
  </si>
  <si>
    <t>INV-20250827-ONL</t>
  </si>
  <si>
    <t>T100752</t>
  </si>
  <si>
    <t>Contract-Dangote daily settlement 2025-08-27</t>
  </si>
  <si>
    <t>INV-20250827-CON</t>
  </si>
  <si>
    <t>T100753</t>
  </si>
  <si>
    <t>Contract-MTN daily settlement 2025-08-27</t>
  </si>
  <si>
    <t>T100754</t>
  </si>
  <si>
    <t>Contract-Flutterwave daily settlement 2025-08-27</t>
  </si>
  <si>
    <t>T100755</t>
  </si>
  <si>
    <t>Spot-Market daily settlement 2025-08-27</t>
  </si>
  <si>
    <t>INV-20250827-SPO</t>
  </si>
  <si>
    <t>T101220</t>
  </si>
  <si>
    <t>Customer refund order #66432</t>
  </si>
  <si>
    <t>RFD-8091</t>
  </si>
  <si>
    <t>T101284</t>
  </si>
  <si>
    <t>BILL-34605</t>
  </si>
  <si>
    <t>T100756</t>
  </si>
  <si>
    <t>Mobile App daily settlement 2025-08-28</t>
  </si>
  <si>
    <t>INV-20250828-MOB</t>
  </si>
  <si>
    <t>T100757</t>
  </si>
  <si>
    <t>Website daily settlement 2025-08-28</t>
  </si>
  <si>
    <t>INV-20250828-WEB</t>
  </si>
  <si>
    <t>T100758</t>
  </si>
  <si>
    <t>Aggregator-Glovo daily settlement 2025-08-28</t>
  </si>
  <si>
    <t>INV-20250828-AGG</t>
  </si>
  <si>
    <t>T100759</t>
  </si>
  <si>
    <t>Aggregator-Bolt daily settlement 2025-08-28</t>
  </si>
  <si>
    <t>T100760</t>
  </si>
  <si>
    <t>Walk-in daily settlement 2025-08-28</t>
  </si>
  <si>
    <t>INV-20250828-WAL</t>
  </si>
  <si>
    <t>T100761</t>
  </si>
  <si>
    <t>POS-Lekki daily settlement 2025-08-28</t>
  </si>
  <si>
    <t>INV-20250828-POS</t>
  </si>
  <si>
    <t>T100762</t>
  </si>
  <si>
    <t>POS-VI daily settlement 2025-08-28</t>
  </si>
  <si>
    <t>T100763</t>
  </si>
  <si>
    <t>POS-Ikeja daily settlement 2025-08-28</t>
  </si>
  <si>
    <t>T100764</t>
  </si>
  <si>
    <t>POS-Abuja daily settlement 2025-08-28</t>
  </si>
  <si>
    <t>T100765</t>
  </si>
  <si>
    <t>Online daily settlement 2025-08-28</t>
  </si>
  <si>
    <t>INV-20250828-ONL</t>
  </si>
  <si>
    <t>T100766</t>
  </si>
  <si>
    <t>Contract-Dangote daily settlement 2025-08-28</t>
  </si>
  <si>
    <t>INV-20250828-CON</t>
  </si>
  <si>
    <t>T100767</t>
  </si>
  <si>
    <t>Contract-MTN daily settlement 2025-08-28</t>
  </si>
  <si>
    <t>T100768</t>
  </si>
  <si>
    <t>Contract-Flutterwave daily settlement 2025-08-28</t>
  </si>
  <si>
    <t>T100769</t>
  </si>
  <si>
    <t>Spot-Market daily settlement 2025-08-28</t>
  </si>
  <si>
    <t>INV-20250828-SPO</t>
  </si>
  <si>
    <t>T101323</t>
  </si>
  <si>
    <t>BILL-88143</t>
  </si>
  <si>
    <t>T100770</t>
  </si>
  <si>
    <t>Mobile App daily settlement 2025-08-29</t>
  </si>
  <si>
    <t>INV-20250829-MOB</t>
  </si>
  <si>
    <t>T100771</t>
  </si>
  <si>
    <t>Website daily settlement 2025-08-29</t>
  </si>
  <si>
    <t>INV-20250829-WEB</t>
  </si>
  <si>
    <t>T100772</t>
  </si>
  <si>
    <t>Aggregator-Bolt daily settlement 2025-08-29</t>
  </si>
  <si>
    <t>INV-20250829-AGG</t>
  </si>
  <si>
    <t>T100773</t>
  </si>
  <si>
    <t>Walk-in daily settlement 2025-08-29</t>
  </si>
  <si>
    <t>INV-20250829-WAL</t>
  </si>
  <si>
    <t>T100774</t>
  </si>
  <si>
    <t>POS-Lekki daily settlement 2025-08-29</t>
  </si>
  <si>
    <t>INV-20250829-POS</t>
  </si>
  <si>
    <t>T100775</t>
  </si>
  <si>
    <t>POS-VI daily settlement 2025-08-29</t>
  </si>
  <si>
    <t>T100776</t>
  </si>
  <si>
    <t>POS-Ikeja daily settlement 2025-08-29</t>
  </si>
  <si>
    <t>T100777</t>
  </si>
  <si>
    <t>POS-Abuja daily settlement 2025-08-29</t>
  </si>
  <si>
    <t>T100778</t>
  </si>
  <si>
    <t>Online daily settlement 2025-08-29</t>
  </si>
  <si>
    <t>INV-20250829-ONL</t>
  </si>
  <si>
    <t>T100779</t>
  </si>
  <si>
    <t>Contract-Dangote daily settlement 2025-08-29</t>
  </si>
  <si>
    <t>INV-20250829-CON</t>
  </si>
  <si>
    <t>T100780</t>
  </si>
  <si>
    <t>Contract-MTN daily settlement 2025-08-29</t>
  </si>
  <si>
    <t>T100781</t>
  </si>
  <si>
    <t>Contract-Flutterwave daily settlement 2025-08-29</t>
  </si>
  <si>
    <t>T101290</t>
  </si>
  <si>
    <t>BILL-44877</t>
  </si>
  <si>
    <t>T101300</t>
  </si>
  <si>
    <t>BILL-30237</t>
  </si>
  <si>
    <t>T101303</t>
  </si>
  <si>
    <t>BILL-49057</t>
  </si>
  <si>
    <t>T101412</t>
  </si>
  <si>
    <t>Paystack + bank fees 2025-08</t>
  </si>
  <si>
    <t>FEE-2025-08-EAT</t>
  </si>
  <si>
    <t>T101413</t>
  </si>
  <si>
    <t>FEE-2025-08-MAR</t>
  </si>
  <si>
    <t>T101414</t>
  </si>
  <si>
    <t>FEE-2025-08-LOG</t>
  </si>
  <si>
    <t>T100782</t>
  </si>
  <si>
    <t>Mobile App daily settlement 2025-08-30</t>
  </si>
  <si>
    <t>INV-20250830-MOB</t>
  </si>
  <si>
    <t>T100783</t>
  </si>
  <si>
    <t>Website daily settlement 2025-08-30</t>
  </si>
  <si>
    <t>INV-20250830-WEB</t>
  </si>
  <si>
    <t>T100784</t>
  </si>
  <si>
    <t>Aggregator-Glovo daily settlement 2025-08-30</t>
  </si>
  <si>
    <t>INV-20250830-AGG</t>
  </si>
  <si>
    <t>T100785</t>
  </si>
  <si>
    <t>Aggregator-Bolt daily settlement 2025-08-30</t>
  </si>
  <si>
    <t>T100786</t>
  </si>
  <si>
    <t>Walk-in daily settlement 2025-08-30</t>
  </si>
  <si>
    <t>INV-20250830-WAL</t>
  </si>
  <si>
    <t>T100787</t>
  </si>
  <si>
    <t>POS-Lekki daily settlement 2025-08-30</t>
  </si>
  <si>
    <t>INV-20250830-POS</t>
  </si>
  <si>
    <t>T100788</t>
  </si>
  <si>
    <t>POS-VI daily settlement 2025-08-30</t>
  </si>
  <si>
    <t>T100789</t>
  </si>
  <si>
    <t>POS-Ikeja daily settlement 2025-08-30</t>
  </si>
  <si>
    <t>T100790</t>
  </si>
  <si>
    <t>Online daily settlement 2025-08-30</t>
  </si>
  <si>
    <t>INV-20250830-ONL</t>
  </si>
  <si>
    <t>T100791</t>
  </si>
  <si>
    <t>Contract-Dangote daily settlement 2025-08-30</t>
  </si>
  <si>
    <t>INV-20250830-CON</t>
  </si>
  <si>
    <t>T100792</t>
  </si>
  <si>
    <t>Contract-MTN daily settlement 2025-08-30</t>
  </si>
  <si>
    <t>T100793</t>
  </si>
  <si>
    <t>Contract-Flutterwave daily settlement 2025-08-30</t>
  </si>
  <si>
    <t>T100794</t>
  </si>
  <si>
    <t>Spot-Market daily settlement 2025-08-30</t>
  </si>
  <si>
    <t>INV-20250830-SPO</t>
  </si>
  <si>
    <t>T101282</t>
  </si>
  <si>
    <t>BILL-40952</t>
  </si>
  <si>
    <t>T101315</t>
  </si>
  <si>
    <t>BILL-95901</t>
  </si>
  <si>
    <t>T100795</t>
  </si>
  <si>
    <t>Mobile App daily settlement 2025-08-31</t>
  </si>
  <si>
    <t>INV-20250831-MOB</t>
  </si>
  <si>
    <t>T100796</t>
  </si>
  <si>
    <t>Website daily settlement 2025-08-31</t>
  </si>
  <si>
    <t>INV-20250831-WEB</t>
  </si>
  <si>
    <t>T100797</t>
  </si>
  <si>
    <t>Aggregator-Glovo daily settlement 2025-08-31</t>
  </si>
  <si>
    <t>INV-20250831-AGG</t>
  </si>
  <si>
    <t>T100798</t>
  </si>
  <si>
    <t>Aggregator-Bolt daily settlement 2025-08-31</t>
  </si>
  <si>
    <t>T100799</t>
  </si>
  <si>
    <t>Walk-in daily settlement 2025-08-31</t>
  </si>
  <si>
    <t>INV-20250831-WAL</t>
  </si>
  <si>
    <t>T100800</t>
  </si>
  <si>
    <t>POS-VI daily settlement 2025-08-31</t>
  </si>
  <si>
    <t>INV-20250831-POS</t>
  </si>
  <si>
    <t>T100801</t>
  </si>
  <si>
    <t>POS-Ikeja daily settlement 2025-08-31</t>
  </si>
  <si>
    <t>T100802</t>
  </si>
  <si>
    <t>POS-Abuja daily settlement 2025-08-31</t>
  </si>
  <si>
    <t>T100803</t>
  </si>
  <si>
    <t>Online daily settlement 2025-08-31</t>
  </si>
  <si>
    <t>INV-20250831-ONL</t>
  </si>
  <si>
    <t>T100804</t>
  </si>
  <si>
    <t>Contract-Dangote daily settlement 2025-08-31</t>
  </si>
  <si>
    <t>INV-20250831-CON</t>
  </si>
  <si>
    <t>T100805</t>
  </si>
  <si>
    <t>Contract-MTN daily settlement 2025-08-31</t>
  </si>
  <si>
    <t>T100806</t>
  </si>
  <si>
    <t>Contract-Flutterwave daily settlement 2025-08-31</t>
  </si>
  <si>
    <t>T100807</t>
  </si>
  <si>
    <t>Spot-Market daily settlement 2025-08-31</t>
  </si>
  <si>
    <t>INV-20250831-SPO</t>
  </si>
  <si>
    <t>T101203</t>
  </si>
  <si>
    <t>Customer refund order #64251</t>
  </si>
  <si>
    <t>RFD-3236</t>
  </si>
  <si>
    <t>T101294</t>
  </si>
  <si>
    <t>BILL-32431</t>
  </si>
  <si>
    <t>T101327</t>
  </si>
  <si>
    <t>BILL-9458</t>
  </si>
  <si>
    <t>T100808</t>
  </si>
  <si>
    <t>Mobile App daily settlement 2025-09-01</t>
  </si>
  <si>
    <t>INV-20250901-MOB</t>
  </si>
  <si>
    <t>T100809</t>
  </si>
  <si>
    <t>Website daily settlement 2025-09-01</t>
  </si>
  <si>
    <t>INV-20250901-WEB</t>
  </si>
  <si>
    <t>T100810</t>
  </si>
  <si>
    <t>Aggregator-Glovo daily settlement 2025-09-01</t>
  </si>
  <si>
    <t>INV-20250901-AGG</t>
  </si>
  <si>
    <t>T100811</t>
  </si>
  <si>
    <t>Aggregator-Bolt daily settlement 2025-09-01</t>
  </si>
  <si>
    <t>T100812</t>
  </si>
  <si>
    <t>Walk-in daily settlement 2025-09-01</t>
  </si>
  <si>
    <t>INV-20250901-WAL</t>
  </si>
  <si>
    <t>T100813</t>
  </si>
  <si>
    <t>POS-VI daily settlement 2025-09-01</t>
  </si>
  <si>
    <t>INV-20250901-POS</t>
  </si>
  <si>
    <t>T100814</t>
  </si>
  <si>
    <t>POS-Ikeja daily settlement 2025-09-01</t>
  </si>
  <si>
    <t>T100815</t>
  </si>
  <si>
    <t>POS-Abuja daily settlement 2025-09-01</t>
  </si>
  <si>
    <t>T100816</t>
  </si>
  <si>
    <t>Online daily settlement 2025-09-01</t>
  </si>
  <si>
    <t>INV-20250901-ONL</t>
  </si>
  <si>
    <t>T100817</t>
  </si>
  <si>
    <t>Contract-Dangote daily settlement 2025-09-01</t>
  </si>
  <si>
    <t>INV-20250901-CON</t>
  </si>
  <si>
    <t>T100818</t>
  </si>
  <si>
    <t>Contract-MTN daily settlement 2025-09-01</t>
  </si>
  <si>
    <t>T100819</t>
  </si>
  <si>
    <t>Contract-Flutterwave daily settlement 2025-09-01</t>
  </si>
  <si>
    <t>T100820</t>
  </si>
  <si>
    <t>Spot-Market daily settlement 2025-09-01</t>
  </si>
  <si>
    <t>INV-20250901-SPO</t>
  </si>
  <si>
    <t>T100821</t>
  </si>
  <si>
    <t>Mobile App daily settlement 2025-09-02</t>
  </si>
  <si>
    <t>INV-20250902-MOB</t>
  </si>
  <si>
    <t>T100822</t>
  </si>
  <si>
    <t>Website daily settlement 2025-09-02</t>
  </si>
  <si>
    <t>INV-20250902-WEB</t>
  </si>
  <si>
    <t>T100823</t>
  </si>
  <si>
    <t>Aggregator-Bolt daily settlement 2025-09-02</t>
  </si>
  <si>
    <t>INV-20250902-AGG</t>
  </si>
  <si>
    <t>T100824</t>
  </si>
  <si>
    <t>Walk-in daily settlement 2025-09-02</t>
  </si>
  <si>
    <t>INV-20250902-WAL</t>
  </si>
  <si>
    <t>T100825</t>
  </si>
  <si>
    <t>POS-Lekki daily settlement 2025-09-02</t>
  </si>
  <si>
    <t>INV-20250902-POS</t>
  </si>
  <si>
    <t>T100826</t>
  </si>
  <si>
    <t>POS-VI daily settlement 2025-09-02</t>
  </si>
  <si>
    <t>T100827</t>
  </si>
  <si>
    <t>POS-Ikeja daily settlement 2025-09-02</t>
  </si>
  <si>
    <t>T100828</t>
  </si>
  <si>
    <t>POS-Abuja daily settlement 2025-09-02</t>
  </si>
  <si>
    <t>T100829</t>
  </si>
  <si>
    <t>Online daily settlement 2025-09-02</t>
  </si>
  <si>
    <t>INV-20250902-ONL</t>
  </si>
  <si>
    <t>T100830</t>
  </si>
  <si>
    <t>Contract-Dangote daily settlement 2025-09-02</t>
  </si>
  <si>
    <t>INV-20250902-CON</t>
  </si>
  <si>
    <t>T100831</t>
  </si>
  <si>
    <t>Contract-MTN daily settlement 2025-09-02</t>
  </si>
  <si>
    <t>T100832</t>
  </si>
  <si>
    <t>Spot-Market daily settlement 2025-09-02</t>
  </si>
  <si>
    <t>INV-20250902-SPO</t>
  </si>
  <si>
    <t>T101374</t>
  </si>
  <si>
    <t>NNPC Retail invoice 2025-09</t>
  </si>
  <si>
    <t>BILL-48741</t>
  </si>
  <si>
    <t>T101428</t>
  </si>
  <si>
    <t>SaaS subscriptions 2025-09</t>
  </si>
  <si>
    <t>SAAS-2025-09</t>
  </si>
  <si>
    <t>T100833</t>
  </si>
  <si>
    <t>Mobile App daily settlement 2025-09-03</t>
  </si>
  <si>
    <t>INV-20250903-MOB</t>
  </si>
  <si>
    <t>T100834</t>
  </si>
  <si>
    <t>Website daily settlement 2025-09-03</t>
  </si>
  <si>
    <t>INV-20250903-WEB</t>
  </si>
  <si>
    <t>T100835</t>
  </si>
  <si>
    <t>Aggregator-Glovo daily settlement 2025-09-03</t>
  </si>
  <si>
    <t>INV-20250903-AGG</t>
  </si>
  <si>
    <t>T100836</t>
  </si>
  <si>
    <t>POS-Lekki daily settlement 2025-09-03</t>
  </si>
  <si>
    <t>INV-20250903-POS</t>
  </si>
  <si>
    <t>T100837</t>
  </si>
  <si>
    <t>POS-VI daily settlement 2025-09-03</t>
  </si>
  <si>
    <t>T100838</t>
  </si>
  <si>
    <t>POS-Ikeja daily settlement 2025-09-03</t>
  </si>
  <si>
    <t>T100839</t>
  </si>
  <si>
    <t>POS-Abuja daily settlement 2025-09-03</t>
  </si>
  <si>
    <t>T100840</t>
  </si>
  <si>
    <t>Online daily settlement 2025-09-03</t>
  </si>
  <si>
    <t>INV-20250903-ONL</t>
  </si>
  <si>
    <t>T100841</t>
  </si>
  <si>
    <t>Contract-Dangote daily settlement 2025-09-03</t>
  </si>
  <si>
    <t>INV-20250903-CON</t>
  </si>
  <si>
    <t>T100842</t>
  </si>
  <si>
    <t>Contract-MTN daily settlement 2025-09-03</t>
  </si>
  <si>
    <t>T100843</t>
  </si>
  <si>
    <t>Spot-Market daily settlement 2025-09-03</t>
  </si>
  <si>
    <t>INV-20250903-SPO</t>
  </si>
  <si>
    <t>T101330</t>
  </si>
  <si>
    <t>FreshFarms NG invoice 2025-09</t>
  </si>
  <si>
    <t>BILL-20340</t>
  </si>
  <si>
    <t>T101366</t>
  </si>
  <si>
    <t>PackPro Ltd invoice 2025-09</t>
  </si>
  <si>
    <t>BILL-47987</t>
  </si>
  <si>
    <t>T100844</t>
  </si>
  <si>
    <t>Mobile App daily settlement 2025-09-04</t>
  </si>
  <si>
    <t>INV-20250904-MOB</t>
  </si>
  <si>
    <t>T100845</t>
  </si>
  <si>
    <t>Website daily settlement 2025-09-04</t>
  </si>
  <si>
    <t>INV-20250904-WEB</t>
  </si>
  <si>
    <t>T100846</t>
  </si>
  <si>
    <t>Aggregator-Glovo daily settlement 2025-09-04</t>
  </si>
  <si>
    <t>INV-20250904-AGG</t>
  </si>
  <si>
    <t>T100847</t>
  </si>
  <si>
    <t>Aggregator-Bolt daily settlement 2025-09-04</t>
  </si>
  <si>
    <t>T100848</t>
  </si>
  <si>
    <t>POS-Lekki daily settlement 2025-09-04</t>
  </si>
  <si>
    <t>INV-20250904-POS</t>
  </si>
  <si>
    <t>T100849</t>
  </si>
  <si>
    <t>POS-VI daily settlement 2025-09-04</t>
  </si>
  <si>
    <t>T100850</t>
  </si>
  <si>
    <t>POS-Ikeja daily settlement 2025-09-04</t>
  </si>
  <si>
    <t>T100851</t>
  </si>
  <si>
    <t>Online daily settlement 2025-09-04</t>
  </si>
  <si>
    <t>INV-20250904-ONL</t>
  </si>
  <si>
    <t>T100852</t>
  </si>
  <si>
    <t>Contract-Dangote daily settlement 2025-09-04</t>
  </si>
  <si>
    <t>INV-20250904-CON</t>
  </si>
  <si>
    <t>T100853</t>
  </si>
  <si>
    <t>Contract-MTN daily settlement 2025-09-04</t>
  </si>
  <si>
    <t>T100854</t>
  </si>
  <si>
    <t>Spot-Market daily settlement 2025-09-04</t>
  </si>
  <si>
    <t>INV-20250904-SPO</t>
  </si>
  <si>
    <t>T101350</t>
  </si>
  <si>
    <t>Bolt Food invoice 2025-09</t>
  </si>
  <si>
    <t>BILL-77641</t>
  </si>
  <si>
    <t>T101354</t>
  </si>
  <si>
    <t>Distell Wholesale invoice 2025-09</t>
  </si>
  <si>
    <t>BILL-59785</t>
  </si>
  <si>
    <t>T101363</t>
  </si>
  <si>
    <t>Dangote Sugar invoice 2025-09</t>
  </si>
  <si>
    <t>BILL-19658</t>
  </si>
  <si>
    <t>T101372</t>
  </si>
  <si>
    <t>T100855</t>
  </si>
  <si>
    <t>Mobile App daily settlement 2025-09-05</t>
  </si>
  <si>
    <t>INV-20250905-MOB</t>
  </si>
  <si>
    <t>T100856</t>
  </si>
  <si>
    <t>Website daily settlement 2025-09-05</t>
  </si>
  <si>
    <t>INV-20250905-WEB</t>
  </si>
  <si>
    <t>T100857</t>
  </si>
  <si>
    <t>Aggregator-Glovo daily settlement 2025-09-05</t>
  </si>
  <si>
    <t>INV-20250905-AGG</t>
  </si>
  <si>
    <t>T100858</t>
  </si>
  <si>
    <t>Aggregator-Bolt daily settlement 2025-09-05</t>
  </si>
  <si>
    <t>T100859</t>
  </si>
  <si>
    <t>Walk-in daily settlement 2025-09-05</t>
  </si>
  <si>
    <t>INV-20250905-WAL</t>
  </si>
  <si>
    <t>T100860</t>
  </si>
  <si>
    <t>POS-Lekki daily settlement 2025-09-05</t>
  </si>
  <si>
    <t>INV-20250905-POS</t>
  </si>
  <si>
    <t>T100861</t>
  </si>
  <si>
    <t>POS-VI daily settlement 2025-09-05</t>
  </si>
  <si>
    <t>T100862</t>
  </si>
  <si>
    <t>POS-Ikeja daily settlement 2025-09-05</t>
  </si>
  <si>
    <t>T100863</t>
  </si>
  <si>
    <t>POS-Abuja daily settlement 2025-09-05</t>
  </si>
  <si>
    <t>T100864</t>
  </si>
  <si>
    <t>Online daily settlement 2025-09-05</t>
  </si>
  <si>
    <t>INV-20250905-ONL</t>
  </si>
  <si>
    <t>T100865</t>
  </si>
  <si>
    <t>Contract-Dangote daily settlement 2025-09-05</t>
  </si>
  <si>
    <t>INV-20250905-CON</t>
  </si>
  <si>
    <t>T100866</t>
  </si>
  <si>
    <t>Contract-MTN daily settlement 2025-09-05</t>
  </si>
  <si>
    <t>T100867</t>
  </si>
  <si>
    <t>Spot-Market daily settlement 2025-09-05</t>
  </si>
  <si>
    <t>INV-20250905-SPO</t>
  </si>
  <si>
    <t>T101358</t>
  </si>
  <si>
    <t>PZ Cussons invoice 2025-09</t>
  </si>
  <si>
    <t>BILL-8531</t>
  </si>
  <si>
    <t>T101420</t>
  </si>
  <si>
    <t>Office &amp; store rent 2025-09</t>
  </si>
  <si>
    <t>RENT-2025-09-EAT</t>
  </si>
  <si>
    <t>T101422</t>
  </si>
  <si>
    <t>RENT-2025-09-MAR</t>
  </si>
  <si>
    <t>T101424</t>
  </si>
  <si>
    <t>RENT-2025-09-LOG</t>
  </si>
  <si>
    <t>T100868</t>
  </si>
  <si>
    <t>Mobile App daily settlement 2025-09-06</t>
  </si>
  <si>
    <t>INV-20250906-MOB</t>
  </si>
  <si>
    <t>T100869</t>
  </si>
  <si>
    <t>Website daily settlement 2025-09-06</t>
  </si>
  <si>
    <t>INV-20250906-WEB</t>
  </si>
  <si>
    <t>T100870</t>
  </si>
  <si>
    <t>Aggregator-Glovo daily settlement 2025-09-06</t>
  </si>
  <si>
    <t>INV-20250906-AGG</t>
  </si>
  <si>
    <t>T100871</t>
  </si>
  <si>
    <t>Aggregator-Bolt daily settlement 2025-09-06</t>
  </si>
  <si>
    <t>T100872</t>
  </si>
  <si>
    <t>Walk-in daily settlement 2025-09-06</t>
  </si>
  <si>
    <t>INV-20250906-WAL</t>
  </si>
  <si>
    <t>T100873</t>
  </si>
  <si>
    <t>POS-Lekki daily settlement 2025-09-06</t>
  </si>
  <si>
    <t>INV-20250906-POS</t>
  </si>
  <si>
    <t>T100874</t>
  </si>
  <si>
    <t>POS-VI daily settlement 2025-09-06</t>
  </si>
  <si>
    <t>T100875</t>
  </si>
  <si>
    <t>POS-Ikeja daily settlement 2025-09-06</t>
  </si>
  <si>
    <t>T100876</t>
  </si>
  <si>
    <t>POS-Abuja daily settlement 2025-09-06</t>
  </si>
  <si>
    <t>T100877</t>
  </si>
  <si>
    <t>Online daily settlement 2025-09-06</t>
  </si>
  <si>
    <t>INV-20250906-ONL</t>
  </si>
  <si>
    <t>T100878</t>
  </si>
  <si>
    <t>Contract-Dangote daily settlement 2025-09-06</t>
  </si>
  <si>
    <t>INV-20250906-CON</t>
  </si>
  <si>
    <t>T100879</t>
  </si>
  <si>
    <t>Contract-MTN daily settlement 2025-09-06</t>
  </si>
  <si>
    <t>T100880</t>
  </si>
  <si>
    <t>Contract-Flutterwave daily settlement 2025-09-06</t>
  </si>
  <si>
    <t>T100881</t>
  </si>
  <si>
    <t>Spot-Market daily settlement 2025-09-06</t>
  </si>
  <si>
    <t>INV-20250906-SPO</t>
  </si>
  <si>
    <t>T101339</t>
  </si>
  <si>
    <t>BILL-73895</t>
  </si>
  <si>
    <t>T101355</t>
  </si>
  <si>
    <t>BILL-36134</t>
  </si>
  <si>
    <t>T101368</t>
  </si>
  <si>
    <t>BILL-51685</t>
  </si>
  <si>
    <t>T101376</t>
  </si>
  <si>
    <t>Vehicle Maintenance Co invoice 2025-09</t>
  </si>
  <si>
    <t>BILL-91430</t>
  </si>
  <si>
    <t>T100882</t>
  </si>
  <si>
    <t>Mobile App daily settlement 2025-09-07</t>
  </si>
  <si>
    <t>INV-20250907-MOB</t>
  </si>
  <si>
    <t>T100883</t>
  </si>
  <si>
    <t>Website daily settlement 2025-09-07</t>
  </si>
  <si>
    <t>INV-20250907-WEB</t>
  </si>
  <si>
    <t>T100884</t>
  </si>
  <si>
    <t>Aggregator-Glovo daily settlement 2025-09-07</t>
  </si>
  <si>
    <t>INV-20250907-AGG</t>
  </si>
  <si>
    <t>T100885</t>
  </si>
  <si>
    <t>Aggregator-Bolt daily settlement 2025-09-07</t>
  </si>
  <si>
    <t>T100886</t>
  </si>
  <si>
    <t>Walk-in daily settlement 2025-09-07</t>
  </si>
  <si>
    <t>INV-20250907-WAL</t>
  </si>
  <si>
    <t>T100887</t>
  </si>
  <si>
    <t>POS-Lekki daily settlement 2025-09-07</t>
  </si>
  <si>
    <t>INV-20250907-POS</t>
  </si>
  <si>
    <t>T100888</t>
  </si>
  <si>
    <t>POS-VI daily settlement 2025-09-07</t>
  </si>
  <si>
    <t>T100889</t>
  </si>
  <si>
    <t>POS-Ikeja daily settlement 2025-09-07</t>
  </si>
  <si>
    <t>T100890</t>
  </si>
  <si>
    <t>POS-Abuja daily settlement 2025-09-07</t>
  </si>
  <si>
    <t>T100891</t>
  </si>
  <si>
    <t>Contract-Dangote daily settlement 2025-09-07</t>
  </si>
  <si>
    <t>INV-20250907-CON</t>
  </si>
  <si>
    <t>T100892</t>
  </si>
  <si>
    <t>Contract-MTN daily settlement 2025-09-07</t>
  </si>
  <si>
    <t>T100893</t>
  </si>
  <si>
    <t>Contract-Flutterwave daily settlement 2025-09-07</t>
  </si>
  <si>
    <t>T100894</t>
  </si>
  <si>
    <t>Spot-Market daily settlement 2025-09-07</t>
  </si>
  <si>
    <t>INV-20250907-SPO</t>
  </si>
  <si>
    <t>T101215</t>
  </si>
  <si>
    <t>Customer refund order #107514</t>
  </si>
  <si>
    <t>RFD-8787</t>
  </si>
  <si>
    <t>T101343</t>
  </si>
  <si>
    <t>Rider Payroll invoice 2025-09</t>
  </si>
  <si>
    <t>BILL-88909</t>
  </si>
  <si>
    <t>T101381</t>
  </si>
  <si>
    <t>Driver Payroll invoice 2025-09</t>
  </si>
  <si>
    <t>BILL-70609</t>
  </si>
  <si>
    <t>T100895</t>
  </si>
  <si>
    <t>Mobile App daily settlement 2025-09-08</t>
  </si>
  <si>
    <t>INV-20250908-MOB</t>
  </si>
  <si>
    <t>T100896</t>
  </si>
  <si>
    <t>Website daily settlement 2025-09-08</t>
  </si>
  <si>
    <t>INV-20250908-WEB</t>
  </si>
  <si>
    <t>T100897</t>
  </si>
  <si>
    <t>Aggregator-Glovo daily settlement 2025-09-08</t>
  </si>
  <si>
    <t>INV-20250908-AGG</t>
  </si>
  <si>
    <t>T100898</t>
  </si>
  <si>
    <t>Aggregator-Bolt daily settlement 2025-09-08</t>
  </si>
  <si>
    <t>T100899</t>
  </si>
  <si>
    <t>Walk-in daily settlement 2025-09-08</t>
  </si>
  <si>
    <t>INV-20250908-WAL</t>
  </si>
  <si>
    <t>T100900</t>
  </si>
  <si>
    <t>POS-VI daily settlement 2025-09-08</t>
  </si>
  <si>
    <t>INV-20250908-POS</t>
  </si>
  <si>
    <t>T100901</t>
  </si>
  <si>
    <t>POS-Ikeja daily settlement 2025-09-08</t>
  </si>
  <si>
    <t>T100902</t>
  </si>
  <si>
    <t>POS-Abuja daily settlement 2025-09-08</t>
  </si>
  <si>
    <t>T100903</t>
  </si>
  <si>
    <t>Online daily settlement 2025-09-08</t>
  </si>
  <si>
    <t>INV-20250908-ONL</t>
  </si>
  <si>
    <t>T100904</t>
  </si>
  <si>
    <t>Contract-Dangote daily settlement 2025-09-08</t>
  </si>
  <si>
    <t>INV-20250908-CON</t>
  </si>
  <si>
    <t>T100905</t>
  </si>
  <si>
    <t>Contract-MTN daily settlement 2025-09-08</t>
  </si>
  <si>
    <t>T100906</t>
  </si>
  <si>
    <t>Contract-Flutterwave daily settlement 2025-09-08</t>
  </si>
  <si>
    <t>T100907</t>
  </si>
  <si>
    <t>Spot-Market daily settlement 2025-09-08</t>
  </si>
  <si>
    <t>INV-20250908-SPO</t>
  </si>
  <si>
    <t>T101211</t>
  </si>
  <si>
    <t>Customer refund order #295137</t>
  </si>
  <si>
    <t>RFD-5084</t>
  </si>
  <si>
    <t>T100908</t>
  </si>
  <si>
    <t>Mobile App daily settlement 2025-09-09</t>
  </si>
  <si>
    <t>INV-20250909-MOB</t>
  </si>
  <si>
    <t>T100909</t>
  </si>
  <si>
    <t>Website daily settlement 2025-09-09</t>
  </si>
  <si>
    <t>INV-20250909-WEB</t>
  </si>
  <si>
    <t>T100910</t>
  </si>
  <si>
    <t>Aggregator-Glovo daily settlement 2025-09-09</t>
  </si>
  <si>
    <t>INV-20250909-AGG</t>
  </si>
  <si>
    <t>T100911</t>
  </si>
  <si>
    <t>Aggregator-Bolt daily settlement 2025-09-09</t>
  </si>
  <si>
    <t>T100912</t>
  </si>
  <si>
    <t>Walk-in daily settlement 2025-09-09</t>
  </si>
  <si>
    <t>INV-20250909-WAL</t>
  </si>
  <si>
    <t>T100913</t>
  </si>
  <si>
    <t>POS-Lekki daily settlement 2025-09-09</t>
  </si>
  <si>
    <t>INV-20250909-POS</t>
  </si>
  <si>
    <t>T100914</t>
  </si>
  <si>
    <t>POS-VI daily settlement 2025-09-09</t>
  </si>
  <si>
    <t>T100915</t>
  </si>
  <si>
    <t>POS-Ikeja daily settlement 2025-09-09</t>
  </si>
  <si>
    <t>T100916</t>
  </si>
  <si>
    <t>POS-Abuja daily settlement 2025-09-09</t>
  </si>
  <si>
    <t>T100917</t>
  </si>
  <si>
    <t>Online daily settlement 2025-09-09</t>
  </si>
  <si>
    <t>INV-20250909-ONL</t>
  </si>
  <si>
    <t>T100918</t>
  </si>
  <si>
    <t>Contract-Dangote daily settlement 2025-09-09</t>
  </si>
  <si>
    <t>INV-20250909-CON</t>
  </si>
  <si>
    <t>T100919</t>
  </si>
  <si>
    <t>Contract-MTN daily settlement 2025-09-09</t>
  </si>
  <si>
    <t>T100920</t>
  </si>
  <si>
    <t>Contract-Flutterwave daily settlement 2025-09-09</t>
  </si>
  <si>
    <t>T100921</t>
  </si>
  <si>
    <t>Spot-Market daily settlement 2025-09-09</t>
  </si>
  <si>
    <t>INV-20250909-SPO</t>
  </si>
  <si>
    <t>T101357</t>
  </si>
  <si>
    <t>BILL-3239</t>
  </si>
  <si>
    <t>T100922</t>
  </si>
  <si>
    <t>Mobile App daily settlement 2025-09-10</t>
  </si>
  <si>
    <t>INV-20250910-MOB</t>
  </si>
  <si>
    <t>T100923</t>
  </si>
  <si>
    <t>Website daily settlement 2025-09-10</t>
  </si>
  <si>
    <t>INV-20250910-WEB</t>
  </si>
  <si>
    <t>T100924</t>
  </si>
  <si>
    <t>Aggregator-Glovo daily settlement 2025-09-10</t>
  </si>
  <si>
    <t>INV-20250910-AGG</t>
  </si>
  <si>
    <t>T100925</t>
  </si>
  <si>
    <t>Aggregator-Bolt daily settlement 2025-09-10</t>
  </si>
  <si>
    <t>T100926</t>
  </si>
  <si>
    <t>Walk-in daily settlement 2025-09-10</t>
  </si>
  <si>
    <t>INV-20250910-WAL</t>
  </si>
  <si>
    <t>T100927</t>
  </si>
  <si>
    <t>POS-Lekki daily settlement 2025-09-10</t>
  </si>
  <si>
    <t>INV-20250910-POS</t>
  </si>
  <si>
    <t>T100928</t>
  </si>
  <si>
    <t>POS-VI daily settlement 2025-09-10</t>
  </si>
  <si>
    <t>T100929</t>
  </si>
  <si>
    <t>POS-Ikeja daily settlement 2025-09-10</t>
  </si>
  <si>
    <t>T100930</t>
  </si>
  <si>
    <t>POS-Abuja daily settlement 2025-09-10</t>
  </si>
  <si>
    <t>T100931</t>
  </si>
  <si>
    <t>Online daily settlement 2025-09-10</t>
  </si>
  <si>
    <t>INV-20250910-ONL</t>
  </si>
  <si>
    <t>T100932</t>
  </si>
  <si>
    <t>Contract-Dangote daily settlement 2025-09-10</t>
  </si>
  <si>
    <t>INV-20250910-CON</t>
  </si>
  <si>
    <t>T100933</t>
  </si>
  <si>
    <t>Contract-MTN daily settlement 2025-09-10</t>
  </si>
  <si>
    <t>T100934</t>
  </si>
  <si>
    <t>Spot-Market daily settlement 2025-09-10</t>
  </si>
  <si>
    <t>INV-20250910-SPO</t>
  </si>
  <si>
    <t>T101345</t>
  </si>
  <si>
    <t>BILL-55157</t>
  </si>
  <si>
    <t>T101353</t>
  </si>
  <si>
    <t>BILL-84064</t>
  </si>
  <si>
    <t>T101421</t>
  </si>
  <si>
    <t>Diesel + Power 2025-09</t>
  </si>
  <si>
    <t>UTIL-2025-09-EAT</t>
  </si>
  <si>
    <t>T101423</t>
  </si>
  <si>
    <t>UTIL-2025-09-MAR</t>
  </si>
  <si>
    <t>T101425</t>
  </si>
  <si>
    <t>UTIL-2025-09-LOG</t>
  </si>
  <si>
    <t>T100935</t>
  </si>
  <si>
    <t>Mobile App daily settlement 2025-09-11</t>
  </si>
  <si>
    <t>INV-20250911-MOB</t>
  </si>
  <si>
    <t>T100936</t>
  </si>
  <si>
    <t>Website daily settlement 2025-09-11</t>
  </si>
  <si>
    <t>INV-20250911-WEB</t>
  </si>
  <si>
    <t>T100937</t>
  </si>
  <si>
    <t>Aggregator-Glovo daily settlement 2025-09-11</t>
  </si>
  <si>
    <t>INV-20250911-AGG</t>
  </si>
  <si>
    <t>T100938</t>
  </si>
  <si>
    <t>Walk-in daily settlement 2025-09-11</t>
  </si>
  <si>
    <t>INV-20250911-WAL</t>
  </si>
  <si>
    <t>T100939</t>
  </si>
  <si>
    <t>POS-Lekki daily settlement 2025-09-11</t>
  </si>
  <si>
    <t>INV-20250911-POS</t>
  </si>
  <si>
    <t>T100940</t>
  </si>
  <si>
    <t>POS-VI daily settlement 2025-09-11</t>
  </si>
  <si>
    <t>T100941</t>
  </si>
  <si>
    <t>POS-Ikeja daily settlement 2025-09-11</t>
  </si>
  <si>
    <t>T100942</t>
  </si>
  <si>
    <t>POS-Abuja daily settlement 2025-09-11</t>
  </si>
  <si>
    <t>T100943</t>
  </si>
  <si>
    <t>Online daily settlement 2025-09-11</t>
  </si>
  <si>
    <t>INV-20250911-ONL</t>
  </si>
  <si>
    <t>T100944</t>
  </si>
  <si>
    <t>Contract-Dangote daily settlement 2025-09-11</t>
  </si>
  <si>
    <t>INV-20250911-CON</t>
  </si>
  <si>
    <t>T100945</t>
  </si>
  <si>
    <t>Contract-MTN daily settlement 2025-09-11</t>
  </si>
  <si>
    <t>T100946</t>
  </si>
  <si>
    <t>Contract-Flutterwave daily settlement 2025-09-11</t>
  </si>
  <si>
    <t>T100947</t>
  </si>
  <si>
    <t>Spot-Market daily settlement 2025-09-11</t>
  </si>
  <si>
    <t>INV-20250911-SPO</t>
  </si>
  <si>
    <t>T101335</t>
  </si>
  <si>
    <t>BILL-57399</t>
  </si>
  <si>
    <t>T101341</t>
  </si>
  <si>
    <t>BILL-91887</t>
  </si>
  <si>
    <t>T100948</t>
  </si>
  <si>
    <t>Mobile App daily settlement 2025-09-12</t>
  </si>
  <si>
    <t>INV-20250912-MOB</t>
  </si>
  <si>
    <t>T100949</t>
  </si>
  <si>
    <t>Website daily settlement 2025-09-12</t>
  </si>
  <si>
    <t>INV-20250912-WEB</t>
  </si>
  <si>
    <t>T100950</t>
  </si>
  <si>
    <t>Aggregator-Glovo daily settlement 2025-09-12</t>
  </si>
  <si>
    <t>INV-20250912-AGG</t>
  </si>
  <si>
    <t>T100951</t>
  </si>
  <si>
    <t>Aggregator-Bolt daily settlement 2025-09-12</t>
  </si>
  <si>
    <t>T100952</t>
  </si>
  <si>
    <t>Walk-in daily settlement 2025-09-12</t>
  </si>
  <si>
    <t>INV-20250912-WAL</t>
  </si>
  <si>
    <t>T100953</t>
  </si>
  <si>
    <t>POS-Lekki daily settlement 2025-09-12</t>
  </si>
  <si>
    <t>INV-20250912-POS</t>
  </si>
  <si>
    <t>T100954</t>
  </si>
  <si>
    <t>POS-VI daily settlement 2025-09-12</t>
  </si>
  <si>
    <t>T100955</t>
  </si>
  <si>
    <t>POS-Ikeja daily settlement 2025-09-12</t>
  </si>
  <si>
    <t>T100956</t>
  </si>
  <si>
    <t>POS-Abuja daily settlement 2025-09-12</t>
  </si>
  <si>
    <t>T100957</t>
  </si>
  <si>
    <t>Online daily settlement 2025-09-12</t>
  </si>
  <si>
    <t>INV-20250912-ONL</t>
  </si>
  <si>
    <t>T100958</t>
  </si>
  <si>
    <t>Contract-Dangote daily settlement 2025-09-12</t>
  </si>
  <si>
    <t>INV-20250912-CON</t>
  </si>
  <si>
    <t>T100959</t>
  </si>
  <si>
    <t>Contract-MTN daily settlement 2025-09-12</t>
  </si>
  <si>
    <t>T100960</t>
  </si>
  <si>
    <t>Contract-Flutterwave daily settlement 2025-09-12</t>
  </si>
  <si>
    <t>T100961</t>
  </si>
  <si>
    <t>Spot-Market daily settlement 2025-09-12</t>
  </si>
  <si>
    <t>INV-20250912-SPO</t>
  </si>
  <si>
    <t>T101197</t>
  </si>
  <si>
    <t>Customer refund order #997265</t>
  </si>
  <si>
    <t>RFD-5263</t>
  </si>
  <si>
    <t>T101198</t>
  </si>
  <si>
    <t>Customer refund order #87388</t>
  </si>
  <si>
    <t>RFD-4907</t>
  </si>
  <si>
    <t>T101217</t>
  </si>
  <si>
    <t>Customer refund order #748154</t>
  </si>
  <si>
    <t>RFD-1086</t>
  </si>
  <si>
    <t>T101221</t>
  </si>
  <si>
    <t>Customer refund order #226215</t>
  </si>
  <si>
    <t>RFD-8039</t>
  </si>
  <si>
    <t>T101346</t>
  </si>
  <si>
    <t>Glovo NG invoice 2025-09</t>
  </si>
  <si>
    <t>BILL-53899</t>
  </si>
  <si>
    <t>T101351</t>
  </si>
  <si>
    <t>BILL-5135</t>
  </si>
  <si>
    <t>T101377</t>
  </si>
  <si>
    <t>BILL-37940</t>
  </si>
  <si>
    <t>T101382</t>
  </si>
  <si>
    <t>BILL-47073</t>
  </si>
  <si>
    <t>T101432</t>
  </si>
  <si>
    <t>Audit &amp; legal retainer 2025-09</t>
  </si>
  <si>
    <t>LEGAL-2025-09</t>
  </si>
  <si>
    <t>T100962</t>
  </si>
  <si>
    <t>Mobile App daily settlement 2025-09-13</t>
  </si>
  <si>
    <t>INV-20250913-MOB</t>
  </si>
  <si>
    <t>T100963</t>
  </si>
  <si>
    <t>Website daily settlement 2025-09-13</t>
  </si>
  <si>
    <t>INV-20250913-WEB</t>
  </si>
  <si>
    <t>T100964</t>
  </si>
  <si>
    <t>Aggregator-Glovo daily settlement 2025-09-13</t>
  </si>
  <si>
    <t>INV-20250913-AGG</t>
  </si>
  <si>
    <t>T100965</t>
  </si>
  <si>
    <t>Aggregator-Bolt daily settlement 2025-09-13</t>
  </si>
  <si>
    <t>T100966</t>
  </si>
  <si>
    <t>Walk-in daily settlement 2025-09-13</t>
  </si>
  <si>
    <t>INV-20250913-WAL</t>
  </si>
  <si>
    <t>T100967</t>
  </si>
  <si>
    <t>POS-Lekki daily settlement 2025-09-13</t>
  </si>
  <si>
    <t>INV-20250913-POS</t>
  </si>
  <si>
    <t>T100968</t>
  </si>
  <si>
    <t>POS-VI daily settlement 2025-09-13</t>
  </si>
  <si>
    <t>T100969</t>
  </si>
  <si>
    <t>POS-Ikeja daily settlement 2025-09-13</t>
  </si>
  <si>
    <t>T100970</t>
  </si>
  <si>
    <t>POS-Abuja daily settlement 2025-09-13</t>
  </si>
  <si>
    <t>T100971</t>
  </si>
  <si>
    <t>Online daily settlement 2025-09-13</t>
  </si>
  <si>
    <t>INV-20250913-ONL</t>
  </si>
  <si>
    <t>T100972</t>
  </si>
  <si>
    <t>Contract-Dangote daily settlement 2025-09-13</t>
  </si>
  <si>
    <t>INV-20250913-CON</t>
  </si>
  <si>
    <t>T100973</t>
  </si>
  <si>
    <t>Contract-MTN daily settlement 2025-09-13</t>
  </si>
  <si>
    <t>T100974</t>
  </si>
  <si>
    <t>Spot-Market daily settlement 2025-09-13</t>
  </si>
  <si>
    <t>INV-20250913-SPO</t>
  </si>
  <si>
    <t>T101331</t>
  </si>
  <si>
    <t>BILL-7657</t>
  </si>
  <si>
    <t>T101364</t>
  </si>
  <si>
    <t>BILL-95472</t>
  </si>
  <si>
    <t>T100975</t>
  </si>
  <si>
    <t>Mobile App daily settlement 2025-09-14</t>
  </si>
  <si>
    <t>INV-20250914-MOB</t>
  </si>
  <si>
    <t>T100976</t>
  </si>
  <si>
    <t>Aggregator-Glovo daily settlement 2025-09-14</t>
  </si>
  <si>
    <t>INV-20250914-AGG</t>
  </si>
  <si>
    <t>T100977</t>
  </si>
  <si>
    <t>Aggregator-Bolt daily settlement 2025-09-14</t>
  </si>
  <si>
    <t>T100978</t>
  </si>
  <si>
    <t>Walk-in daily settlement 2025-09-14</t>
  </si>
  <si>
    <t>INV-20250914-WAL</t>
  </si>
  <si>
    <t>T100979</t>
  </si>
  <si>
    <t>POS-Lekki daily settlement 2025-09-14</t>
  </si>
  <si>
    <t>INV-20250914-POS</t>
  </si>
  <si>
    <t>T100980</t>
  </si>
  <si>
    <t>POS-VI daily settlement 2025-09-14</t>
  </si>
  <si>
    <t>T100981</t>
  </si>
  <si>
    <t>POS-Ikeja daily settlement 2025-09-14</t>
  </si>
  <si>
    <t>T100982</t>
  </si>
  <si>
    <t>POS-Abuja daily settlement 2025-09-14</t>
  </si>
  <si>
    <t>T100983</t>
  </si>
  <si>
    <t>Contract-Dangote daily settlement 2025-09-14</t>
  </si>
  <si>
    <t>INV-20250914-CON</t>
  </si>
  <si>
    <t>T100984</t>
  </si>
  <si>
    <t>Contract-MTN daily settlement 2025-09-14</t>
  </si>
  <si>
    <t>T100985</t>
  </si>
  <si>
    <t>Contract-Flutterwave daily settlement 2025-09-14</t>
  </si>
  <si>
    <t>T100986</t>
  </si>
  <si>
    <t>Spot-Market daily settlement 2025-09-14</t>
  </si>
  <si>
    <t>INV-20250914-SPO</t>
  </si>
  <si>
    <t>T101223</t>
  </si>
  <si>
    <t>Customer refund order #284296</t>
  </si>
  <si>
    <t>RFD-4232</t>
  </si>
  <si>
    <t>T101370</t>
  </si>
  <si>
    <t>BILL-87266</t>
  </si>
  <si>
    <t>T101375</t>
  </si>
  <si>
    <t>BILL-33149</t>
  </si>
  <si>
    <t>T100987</t>
  </si>
  <si>
    <t>Mobile App daily settlement 2025-09-15</t>
  </si>
  <si>
    <t>INV-20250915-MOB</t>
  </si>
  <si>
    <t>T100988</t>
  </si>
  <si>
    <t>Website daily settlement 2025-09-15</t>
  </si>
  <si>
    <t>INV-20250915-WEB</t>
  </si>
  <si>
    <t>T100989</t>
  </si>
  <si>
    <t>Aggregator-Glovo daily settlement 2025-09-15</t>
  </si>
  <si>
    <t>INV-20250915-AGG</t>
  </si>
  <si>
    <t>T100990</t>
  </si>
  <si>
    <t>Aggregator-Bolt daily settlement 2025-09-15</t>
  </si>
  <si>
    <t>T100991</t>
  </si>
  <si>
    <t>Walk-in daily settlement 2025-09-15</t>
  </si>
  <si>
    <t>INV-20250915-WAL</t>
  </si>
  <si>
    <t>T100992</t>
  </si>
  <si>
    <t>POS-Lekki daily settlement 2025-09-15</t>
  </si>
  <si>
    <t>INV-20250915-POS</t>
  </si>
  <si>
    <t>T100993</t>
  </si>
  <si>
    <t>POS-VI daily settlement 2025-09-15</t>
  </si>
  <si>
    <t>T100994</t>
  </si>
  <si>
    <t>POS-Ikeja daily settlement 2025-09-15</t>
  </si>
  <si>
    <t>T100995</t>
  </si>
  <si>
    <t>POS-Abuja daily settlement 2025-09-15</t>
  </si>
  <si>
    <t>T100996</t>
  </si>
  <si>
    <t>Online daily settlement 2025-09-15</t>
  </si>
  <si>
    <t>INV-20250915-ONL</t>
  </si>
  <si>
    <t>T100997</t>
  </si>
  <si>
    <t>Contract-MTN daily settlement 2025-09-15</t>
  </si>
  <si>
    <t>INV-20250915-CON</t>
  </si>
  <si>
    <t>T100998</t>
  </si>
  <si>
    <t>Contract-Flutterwave daily settlement 2025-09-15</t>
  </si>
  <si>
    <t>T100999</t>
  </si>
  <si>
    <t>Spot-Market daily settlement 2025-09-15</t>
  </si>
  <si>
    <t>INV-20250915-SPO</t>
  </si>
  <si>
    <t>T101333</t>
  </si>
  <si>
    <t>BILL-11050</t>
  </si>
  <si>
    <t>T101359</t>
  </si>
  <si>
    <t>BILL-94297</t>
  </si>
  <si>
    <t>T101426</t>
  </si>
  <si>
    <t>Meta + Google ads 2025-09</t>
  </si>
  <si>
    <t>ADS-2025-09-EATS</t>
  </si>
  <si>
    <t>T101000</t>
  </si>
  <si>
    <t>Mobile App daily settlement 2025-09-16</t>
  </si>
  <si>
    <t>INV-20250916-MOB</t>
  </si>
  <si>
    <t>T101001</t>
  </si>
  <si>
    <t>Website daily settlement 2025-09-16</t>
  </si>
  <si>
    <t>INV-20250916-WEB</t>
  </si>
  <si>
    <t>T101002</t>
  </si>
  <si>
    <t>Aggregator-Glovo daily settlement 2025-09-16</t>
  </si>
  <si>
    <t>INV-20250916-AGG</t>
  </si>
  <si>
    <t>T101003</t>
  </si>
  <si>
    <t>Walk-in daily settlement 2025-09-16</t>
  </si>
  <si>
    <t>INV-20250916-WAL</t>
  </si>
  <si>
    <t>T101004</t>
  </si>
  <si>
    <t>POS-Lekki daily settlement 2025-09-16</t>
  </si>
  <si>
    <t>INV-20250916-POS</t>
  </si>
  <si>
    <t>T101005</t>
  </si>
  <si>
    <t>POS-VI daily settlement 2025-09-16</t>
  </si>
  <si>
    <t>T101006</t>
  </si>
  <si>
    <t>POS-Ikeja daily settlement 2025-09-16</t>
  </si>
  <si>
    <t>T101007</t>
  </si>
  <si>
    <t>POS-Abuja daily settlement 2025-09-16</t>
  </si>
  <si>
    <t>T101008</t>
  </si>
  <si>
    <t>Online daily settlement 2025-09-16</t>
  </si>
  <si>
    <t>INV-20250916-ONL</t>
  </si>
  <si>
    <t>T101009</t>
  </si>
  <si>
    <t>Contract-Dangote daily settlement 2025-09-16</t>
  </si>
  <si>
    <t>INV-20250916-CON</t>
  </si>
  <si>
    <t>T101010</t>
  </si>
  <si>
    <t>Contract-MTN daily settlement 2025-09-16</t>
  </si>
  <si>
    <t>T101011</t>
  </si>
  <si>
    <t>Contract-Flutterwave daily settlement 2025-09-16</t>
  </si>
  <si>
    <t>T101012</t>
  </si>
  <si>
    <t>Spot-Market daily settlement 2025-09-16</t>
  </si>
  <si>
    <t>INV-20250916-SPO</t>
  </si>
  <si>
    <t>T101336</t>
  </si>
  <si>
    <t>BILL-12194</t>
  </si>
  <si>
    <t>T101367</t>
  </si>
  <si>
    <t>BILL-54022</t>
  </si>
  <si>
    <t>T101013</t>
  </si>
  <si>
    <t>Mobile App daily settlement 2025-09-17</t>
  </si>
  <si>
    <t>INV-20250917-MOB</t>
  </si>
  <si>
    <t>T101014</t>
  </si>
  <si>
    <t>Website daily settlement 2025-09-17</t>
  </si>
  <si>
    <t>INV-20250917-WEB</t>
  </si>
  <si>
    <t>T101015</t>
  </si>
  <si>
    <t>Aggregator-Glovo daily settlement 2025-09-17</t>
  </si>
  <si>
    <t>INV-20250917-AGG</t>
  </si>
  <si>
    <t>T101016</t>
  </si>
  <si>
    <t>Aggregator-Bolt daily settlement 2025-09-17</t>
  </si>
  <si>
    <t>T101017</t>
  </si>
  <si>
    <t>Walk-in daily settlement 2025-09-17</t>
  </si>
  <si>
    <t>INV-20250917-WAL</t>
  </si>
  <si>
    <t>T101018</t>
  </si>
  <si>
    <t>POS-Lekki daily settlement 2025-09-17</t>
  </si>
  <si>
    <t>INV-20250917-POS</t>
  </si>
  <si>
    <t>T101019</t>
  </si>
  <si>
    <t>POS-VI daily settlement 2025-09-17</t>
  </si>
  <si>
    <t>T101020</t>
  </si>
  <si>
    <t>POS-Ikeja daily settlement 2025-09-17</t>
  </si>
  <si>
    <t>T101021</t>
  </si>
  <si>
    <t>POS-Abuja daily settlement 2025-09-17</t>
  </si>
  <si>
    <t>T101022</t>
  </si>
  <si>
    <t>Online daily settlement 2025-09-17</t>
  </si>
  <si>
    <t>INV-20250917-ONL</t>
  </si>
  <si>
    <t>T101023</t>
  </si>
  <si>
    <t>Contract-Dangote daily settlement 2025-09-17</t>
  </si>
  <si>
    <t>INV-20250917-CON</t>
  </si>
  <si>
    <t>T101024</t>
  </si>
  <si>
    <t>Contract-MTN daily settlement 2025-09-17</t>
  </si>
  <si>
    <t>T101025</t>
  </si>
  <si>
    <t>Contract-Flutterwave daily settlement 2025-09-17</t>
  </si>
  <si>
    <t>T101026</t>
  </si>
  <si>
    <t>Spot-Market daily settlement 2025-09-17</t>
  </si>
  <si>
    <t>INV-20250917-SPO</t>
  </si>
  <si>
    <t>T101373</t>
  </si>
  <si>
    <t>BILL-39340</t>
  </si>
  <si>
    <t>T101027</t>
  </si>
  <si>
    <t>Mobile App daily settlement 2025-09-18</t>
  </si>
  <si>
    <t>INV-20250918-MOB</t>
  </si>
  <si>
    <t>T101028</t>
  </si>
  <si>
    <t>Website daily settlement 2025-09-18</t>
  </si>
  <si>
    <t>INV-20250918-WEB</t>
  </si>
  <si>
    <t>T101029</t>
  </si>
  <si>
    <t>Aggregator-Glovo daily settlement 2025-09-18</t>
  </si>
  <si>
    <t>INV-20250918-AGG</t>
  </si>
  <si>
    <t>T101030</t>
  </si>
  <si>
    <t>Aggregator-Bolt daily settlement 2025-09-18</t>
  </si>
  <si>
    <t>T101031</t>
  </si>
  <si>
    <t>Walk-in daily settlement 2025-09-18</t>
  </si>
  <si>
    <t>INV-20250918-WAL</t>
  </si>
  <si>
    <t>T101032</t>
  </si>
  <si>
    <t>POS-VI daily settlement 2025-09-18</t>
  </si>
  <si>
    <t>INV-20250918-POS</t>
  </si>
  <si>
    <t>T101033</t>
  </si>
  <si>
    <t>POS-Abuja daily settlement 2025-09-18</t>
  </si>
  <si>
    <t>T101034</t>
  </si>
  <si>
    <t>Online daily settlement 2025-09-18</t>
  </si>
  <si>
    <t>INV-20250918-ONL</t>
  </si>
  <si>
    <t>T101035</t>
  </si>
  <si>
    <t>Contract-Dangote daily settlement 2025-09-18</t>
  </si>
  <si>
    <t>INV-20250918-CON</t>
  </si>
  <si>
    <t>T101036</t>
  </si>
  <si>
    <t>Contract-MTN daily settlement 2025-09-18</t>
  </si>
  <si>
    <t>T101037</t>
  </si>
  <si>
    <t>Contract-Flutterwave daily settlement 2025-09-18</t>
  </si>
  <si>
    <t>T101038</t>
  </si>
  <si>
    <t>Spot-Market daily settlement 2025-09-18</t>
  </si>
  <si>
    <t>INV-20250918-SPO</t>
  </si>
  <si>
    <t>T101204</t>
  </si>
  <si>
    <t>Customer refund order #567275</t>
  </si>
  <si>
    <t>RFD-5608</t>
  </si>
  <si>
    <t>T101342</t>
  </si>
  <si>
    <t>BILL-82236</t>
  </si>
  <si>
    <t>T101361</t>
  </si>
  <si>
    <t>BILL-16958</t>
  </si>
  <si>
    <t>T101039</t>
  </si>
  <si>
    <t>Mobile App daily settlement 2025-09-19</t>
  </si>
  <si>
    <t>INV-20250919-MOB</t>
  </si>
  <si>
    <t>T101040</t>
  </si>
  <si>
    <t>Website daily settlement 2025-09-19</t>
  </si>
  <si>
    <t>INV-20250919-WEB</t>
  </si>
  <si>
    <t>T101041</t>
  </si>
  <si>
    <t>Aggregator-Bolt daily settlement 2025-09-19</t>
  </si>
  <si>
    <t>INV-20250919-AGG</t>
  </si>
  <si>
    <t>T101042</t>
  </si>
  <si>
    <t>Walk-in daily settlement 2025-09-19</t>
  </si>
  <si>
    <t>INV-20250919-WAL</t>
  </si>
  <si>
    <t>T101043</t>
  </si>
  <si>
    <t>POS-Lekki daily settlement 2025-09-19</t>
  </si>
  <si>
    <t>INV-20250919-POS</t>
  </si>
  <si>
    <t>T101044</t>
  </si>
  <si>
    <t>POS-VI daily settlement 2025-09-19</t>
  </si>
  <si>
    <t>T101045</t>
  </si>
  <si>
    <t>POS-Ikeja daily settlement 2025-09-19</t>
  </si>
  <si>
    <t>T101046</t>
  </si>
  <si>
    <t>POS-Abuja daily settlement 2025-09-19</t>
  </si>
  <si>
    <t>T101047</t>
  </si>
  <si>
    <t>Online daily settlement 2025-09-19</t>
  </si>
  <si>
    <t>INV-20250919-ONL</t>
  </si>
  <si>
    <t>T101048</t>
  </si>
  <si>
    <t>Contract-Dangote daily settlement 2025-09-19</t>
  </si>
  <si>
    <t>INV-20250919-CON</t>
  </si>
  <si>
    <t>T101049</t>
  </si>
  <si>
    <t>Contract-MTN daily settlement 2025-09-19</t>
  </si>
  <si>
    <t>T101050</t>
  </si>
  <si>
    <t>Contract-Flutterwave daily settlement 2025-09-19</t>
  </si>
  <si>
    <t>T101051</t>
  </si>
  <si>
    <t>Spot-Market daily settlement 2025-09-19</t>
  </si>
  <si>
    <t>INV-20250919-SPO</t>
  </si>
  <si>
    <t>T101365</t>
  </si>
  <si>
    <t>BILL-92874</t>
  </si>
  <si>
    <t>T101369</t>
  </si>
  <si>
    <t>BILL-1974</t>
  </si>
  <si>
    <t>T101427</t>
  </si>
  <si>
    <t>Influencer campaign 2025-09</t>
  </si>
  <si>
    <t>INFL-2025-09</t>
  </si>
  <si>
    <t>T101052</t>
  </si>
  <si>
    <t>Mobile App daily settlement 2025-09-20</t>
  </si>
  <si>
    <t>INV-20250920-MOB</t>
  </si>
  <si>
    <t>T101053</t>
  </si>
  <si>
    <t>Website daily settlement 2025-09-20</t>
  </si>
  <si>
    <t>INV-20250920-WEB</t>
  </si>
  <si>
    <t>T101054</t>
  </si>
  <si>
    <t>Aggregator-Bolt daily settlement 2025-09-20</t>
  </si>
  <si>
    <t>INV-20250920-AGG</t>
  </si>
  <si>
    <t>T101055</t>
  </si>
  <si>
    <t>Walk-in daily settlement 2025-09-20</t>
  </si>
  <si>
    <t>INV-20250920-WAL</t>
  </si>
  <si>
    <t>T101056</t>
  </si>
  <si>
    <t>POS-Lekki daily settlement 2025-09-20</t>
  </si>
  <si>
    <t>INV-20250920-POS</t>
  </si>
  <si>
    <t>T101057</t>
  </si>
  <si>
    <t>POS-VI daily settlement 2025-09-20</t>
  </si>
  <si>
    <t>T101058</t>
  </si>
  <si>
    <t>POS-Ikeja daily settlement 2025-09-20</t>
  </si>
  <si>
    <t>T101059</t>
  </si>
  <si>
    <t>POS-Abuja daily settlement 2025-09-20</t>
  </si>
  <si>
    <t>T101060</t>
  </si>
  <si>
    <t>Contract-Dangote daily settlement 2025-09-20</t>
  </si>
  <si>
    <t>INV-20250920-CON</t>
  </si>
  <si>
    <t>T101061</t>
  </si>
  <si>
    <t>Contract-MTN daily settlement 2025-09-20</t>
  </si>
  <si>
    <t>T101062</t>
  </si>
  <si>
    <t>Contract-Flutterwave daily settlement 2025-09-20</t>
  </si>
  <si>
    <t>T101362</t>
  </si>
  <si>
    <t>BILL-29504</t>
  </si>
  <si>
    <t>T101063</t>
  </si>
  <si>
    <t>Mobile App daily settlement 2025-09-21</t>
  </si>
  <si>
    <t>INV-20250921-MOB</t>
  </si>
  <si>
    <t>T101064</t>
  </si>
  <si>
    <t>Website daily settlement 2025-09-21</t>
  </si>
  <si>
    <t>INV-20250921-WEB</t>
  </si>
  <si>
    <t>T101065</t>
  </si>
  <si>
    <t>Aggregator-Glovo daily settlement 2025-09-21</t>
  </si>
  <si>
    <t>INV-20250921-AGG</t>
  </si>
  <si>
    <t>T101066</t>
  </si>
  <si>
    <t>Aggregator-Bolt daily settlement 2025-09-21</t>
  </si>
  <si>
    <t>T101067</t>
  </si>
  <si>
    <t>Walk-in daily settlement 2025-09-21</t>
  </si>
  <si>
    <t>INV-20250921-WAL</t>
  </si>
  <si>
    <t>T101068</t>
  </si>
  <si>
    <t>POS-Lekki daily settlement 2025-09-21</t>
  </si>
  <si>
    <t>INV-20250921-POS</t>
  </si>
  <si>
    <t>T101069</t>
  </si>
  <si>
    <t>POS-VI daily settlement 2025-09-21</t>
  </si>
  <si>
    <t>T101070</t>
  </si>
  <si>
    <t>POS-Ikeja daily settlement 2025-09-21</t>
  </si>
  <si>
    <t>T101071</t>
  </si>
  <si>
    <t>POS-Abuja daily settlement 2025-09-21</t>
  </si>
  <si>
    <t>T101072</t>
  </si>
  <si>
    <t>Online daily settlement 2025-09-21</t>
  </si>
  <si>
    <t>INV-20250921-ONL</t>
  </si>
  <si>
    <t>T101073</t>
  </si>
  <si>
    <t>Contract-Dangote daily settlement 2025-09-21</t>
  </si>
  <si>
    <t>INV-20250921-CON</t>
  </si>
  <si>
    <t>T101074</t>
  </si>
  <si>
    <t>Contract-MTN daily settlement 2025-09-21</t>
  </si>
  <si>
    <t>T101075</t>
  </si>
  <si>
    <t>Contract-Flutterwave daily settlement 2025-09-21</t>
  </si>
  <si>
    <t>T101076</t>
  </si>
  <si>
    <t>Spot-Market daily settlement 2025-09-21</t>
  </si>
  <si>
    <t>INV-20250921-SPO</t>
  </si>
  <si>
    <t>T101199</t>
  </si>
  <si>
    <t>Customer refund order #906796</t>
  </si>
  <si>
    <t>RFD-4219</t>
  </si>
  <si>
    <t>T101216</t>
  </si>
  <si>
    <t>Customer refund order #828604</t>
  </si>
  <si>
    <t>RFD-194</t>
  </si>
  <si>
    <t>T101332</t>
  </si>
  <si>
    <t>BILL-21864</t>
  </si>
  <si>
    <t>T101077</t>
  </si>
  <si>
    <t>Mobile App daily settlement 2025-09-22</t>
  </si>
  <si>
    <t>INV-20250922-MOB</t>
  </si>
  <si>
    <t>T101078</t>
  </si>
  <si>
    <t>Website daily settlement 2025-09-22</t>
  </si>
  <si>
    <t>INV-20250922-WEB</t>
  </si>
  <si>
    <t>T101079</t>
  </si>
  <si>
    <t>Aggregator-Glovo daily settlement 2025-09-22</t>
  </si>
  <si>
    <t>INV-20250922-AGG</t>
  </si>
  <si>
    <t>T101080</t>
  </si>
  <si>
    <t>Aggregator-Bolt daily settlement 2025-09-22</t>
  </si>
  <si>
    <t>T101081</t>
  </si>
  <si>
    <t>Walk-in daily settlement 2025-09-22</t>
  </si>
  <si>
    <t>INV-20250922-WAL</t>
  </si>
  <si>
    <t>T101082</t>
  </si>
  <si>
    <t>POS-Lekki daily settlement 2025-09-22</t>
  </si>
  <si>
    <t>INV-20250922-POS</t>
  </si>
  <si>
    <t>T101083</t>
  </si>
  <si>
    <t>POS-VI daily settlement 2025-09-22</t>
  </si>
  <si>
    <t>T101084</t>
  </si>
  <si>
    <t>POS-Ikeja daily settlement 2025-09-22</t>
  </si>
  <si>
    <t>T101085</t>
  </si>
  <si>
    <t>POS-Abuja daily settlement 2025-09-22</t>
  </si>
  <si>
    <t>T101086</t>
  </si>
  <si>
    <t>Online daily settlement 2025-09-22</t>
  </si>
  <si>
    <t>INV-20250922-ONL</t>
  </si>
  <si>
    <t>T101087</t>
  </si>
  <si>
    <t>Contract-Dangote daily settlement 2025-09-22</t>
  </si>
  <si>
    <t>INV-20250922-CON</t>
  </si>
  <si>
    <t>T101088</t>
  </si>
  <si>
    <t>Contract-MTN daily settlement 2025-09-22</t>
  </si>
  <si>
    <t>T101089</t>
  </si>
  <si>
    <t>Contract-Flutterwave daily settlement 2025-09-22</t>
  </si>
  <si>
    <t>T101090</t>
  </si>
  <si>
    <t>Spot-Market daily settlement 2025-09-22</t>
  </si>
  <si>
    <t>INV-20250922-SPO</t>
  </si>
  <si>
    <t>T101337</t>
  </si>
  <si>
    <t>BILL-39351</t>
  </si>
  <si>
    <t>T101340</t>
  </si>
  <si>
    <t>BILL-17780</t>
  </si>
  <si>
    <t>T101348</t>
  </si>
  <si>
    <t>BILL-40175</t>
  </si>
  <si>
    <t>T101435</t>
  </si>
  <si>
    <t>Misc cash withdrawal — no receipt provided</t>
  </si>
  <si>
    <t>MISC-001</t>
  </si>
  <si>
    <t>FLAG: needs categorization</t>
  </si>
  <si>
    <t>T101091</t>
  </si>
  <si>
    <t>Mobile App daily settlement 2025-09-23</t>
  </si>
  <si>
    <t>INV-20250923-MOB</t>
  </si>
  <si>
    <t>T101092</t>
  </si>
  <si>
    <t>Website daily settlement 2025-09-23</t>
  </si>
  <si>
    <t>INV-20250923-WEB</t>
  </si>
  <si>
    <t>T101093</t>
  </si>
  <si>
    <t>Aggregator-Glovo daily settlement 2025-09-23</t>
  </si>
  <si>
    <t>INV-20250923-AGG</t>
  </si>
  <si>
    <t>T101094</t>
  </si>
  <si>
    <t>Aggregator-Bolt daily settlement 2025-09-23</t>
  </si>
  <si>
    <t>T101095</t>
  </si>
  <si>
    <t>Walk-in daily settlement 2025-09-23</t>
  </si>
  <si>
    <t>INV-20250923-WAL</t>
  </si>
  <si>
    <t>T101096</t>
  </si>
  <si>
    <t>POS-Lekki daily settlement 2025-09-23</t>
  </si>
  <si>
    <t>INV-20250923-POS</t>
  </si>
  <si>
    <t>T101097</t>
  </si>
  <si>
    <t>POS-VI daily settlement 2025-09-23</t>
  </si>
  <si>
    <t>T101098</t>
  </si>
  <si>
    <t>POS-Ikeja daily settlement 2025-09-23</t>
  </si>
  <si>
    <t>T101099</t>
  </si>
  <si>
    <t>POS-Abuja daily settlement 2025-09-23</t>
  </si>
  <si>
    <t>T101100</t>
  </si>
  <si>
    <t>Online daily settlement 2025-09-23</t>
  </si>
  <si>
    <t>INV-20250923-ONL</t>
  </si>
  <si>
    <t>T101101</t>
  </si>
  <si>
    <t>Contract-Dangote daily settlement 2025-09-23</t>
  </si>
  <si>
    <t>INV-20250923-CON</t>
  </si>
  <si>
    <t>T101102</t>
  </si>
  <si>
    <t>Contract-MTN daily settlement 2025-09-23</t>
  </si>
  <si>
    <t>T101103</t>
  </si>
  <si>
    <t>Contract-Flutterwave daily settlement 2025-09-23</t>
  </si>
  <si>
    <t>T101104</t>
  </si>
  <si>
    <t>Spot-Market daily settlement 2025-09-23</t>
  </si>
  <si>
    <t>INV-20250923-SPO</t>
  </si>
  <si>
    <t>T101213</t>
  </si>
  <si>
    <t>Customer refund order #572086</t>
  </si>
  <si>
    <t>RFD-2078</t>
  </si>
  <si>
    <t>T101371</t>
  </si>
  <si>
    <t>BILL-48172</t>
  </si>
  <si>
    <t>T101105</t>
  </si>
  <si>
    <t>Mobile App daily settlement 2025-09-24</t>
  </si>
  <si>
    <t>INV-20250924-MOB</t>
  </si>
  <si>
    <t>T101106</t>
  </si>
  <si>
    <t>Website daily settlement 2025-09-24</t>
  </si>
  <si>
    <t>INV-20250924-WEB</t>
  </si>
  <si>
    <t>T101107</t>
  </si>
  <si>
    <t>Aggregator-Glovo daily settlement 2025-09-24</t>
  </si>
  <si>
    <t>INV-20250924-AGG</t>
  </si>
  <si>
    <t>T101108</t>
  </si>
  <si>
    <t>Aggregator-Bolt daily settlement 2025-09-24</t>
  </si>
  <si>
    <t>T101109</t>
  </si>
  <si>
    <t>Walk-in daily settlement 2025-09-24</t>
  </si>
  <si>
    <t>INV-20250924-WAL</t>
  </si>
  <si>
    <t>T101110</t>
  </si>
  <si>
    <t>POS-Lekki daily settlement 2025-09-24</t>
  </si>
  <si>
    <t>INV-20250924-POS</t>
  </si>
  <si>
    <t>T101111</t>
  </si>
  <si>
    <t>POS-VI daily settlement 2025-09-24</t>
  </si>
  <si>
    <t>T101112</t>
  </si>
  <si>
    <t>POS-Ikeja daily settlement 2025-09-24</t>
  </si>
  <si>
    <t>T101113</t>
  </si>
  <si>
    <t>POS-Abuja daily settlement 2025-09-24</t>
  </si>
  <si>
    <t>T101114</t>
  </si>
  <si>
    <t>Online daily settlement 2025-09-24</t>
  </si>
  <si>
    <t>INV-20250924-ONL</t>
  </si>
  <si>
    <t>T101115</t>
  </si>
  <si>
    <t>Contract-Dangote daily settlement 2025-09-24</t>
  </si>
  <si>
    <t>INV-20250924-CON</t>
  </si>
  <si>
    <t>T101116</t>
  </si>
  <si>
    <t>Contract-MTN daily settlement 2025-09-24</t>
  </si>
  <si>
    <t>T101117</t>
  </si>
  <si>
    <t>Contract-Flutterwave daily settlement 2025-09-24</t>
  </si>
  <si>
    <t>T101352</t>
  </si>
  <si>
    <t>BILL-68886</t>
  </si>
  <si>
    <t>T101378</t>
  </si>
  <si>
    <t>BILL-11643</t>
  </si>
  <si>
    <t>T101118</t>
  </si>
  <si>
    <t>Mobile App daily settlement 2025-09-25</t>
  </si>
  <si>
    <t>INV-20250925-MOB</t>
  </si>
  <si>
    <t>T101119</t>
  </si>
  <si>
    <t>Website daily settlement 2025-09-25</t>
  </si>
  <si>
    <t>INV-20250925-WEB</t>
  </si>
  <si>
    <t>T101120</t>
  </si>
  <si>
    <t>Aggregator-Glovo daily settlement 2025-09-25</t>
  </si>
  <si>
    <t>INV-20250925-AGG</t>
  </si>
  <si>
    <t>T101121</t>
  </si>
  <si>
    <t>Aggregator-Bolt daily settlement 2025-09-25</t>
  </si>
  <si>
    <t>T101122</t>
  </si>
  <si>
    <t>Walk-in daily settlement 2025-09-25</t>
  </si>
  <si>
    <t>INV-20250925-WAL</t>
  </si>
  <si>
    <t>T101123</t>
  </si>
  <si>
    <t>POS-Lekki daily settlement 2025-09-25</t>
  </si>
  <si>
    <t>INV-20250925-POS</t>
  </si>
  <si>
    <t>T101124</t>
  </si>
  <si>
    <t>POS-VI daily settlement 2025-09-25</t>
  </si>
  <si>
    <t>T101125</t>
  </si>
  <si>
    <t>POS-Ikeja daily settlement 2025-09-25</t>
  </si>
  <si>
    <t>T101126</t>
  </si>
  <si>
    <t>POS-Abuja daily settlement 2025-09-25</t>
  </si>
  <si>
    <t>T101127</t>
  </si>
  <si>
    <t>Online daily settlement 2025-09-25</t>
  </si>
  <si>
    <t>INV-20250925-ONL</t>
  </si>
  <si>
    <t>T101128</t>
  </si>
  <si>
    <t>Contract-Dangote daily settlement 2025-09-25</t>
  </si>
  <si>
    <t>INV-20250925-CON</t>
  </si>
  <si>
    <t>T101129</t>
  </si>
  <si>
    <t>Contract-MTN daily settlement 2025-09-25</t>
  </si>
  <si>
    <t>T101130</t>
  </si>
  <si>
    <t>Contract-Flutterwave daily settlement 2025-09-25</t>
  </si>
  <si>
    <t>T101131</t>
  </si>
  <si>
    <t>Spot-Market daily settlement 2025-09-25</t>
  </si>
  <si>
    <t>INV-20250925-SPO</t>
  </si>
  <si>
    <t>T101338</t>
  </si>
  <si>
    <t>BILL-21332</t>
  </si>
  <si>
    <t>T101347</t>
  </si>
  <si>
    <t>BILL-6385</t>
  </si>
  <si>
    <t>T101416</t>
  </si>
  <si>
    <t>Payroll 2025-09</t>
  </si>
  <si>
    <t>PAY-2025-09</t>
  </si>
  <si>
    <t>T101417</t>
  </si>
  <si>
    <t>T101418</t>
  </si>
  <si>
    <t>T101419</t>
  </si>
  <si>
    <t>Payroll September - rider supervisor (logistics dept)</t>
  </si>
  <si>
    <t>PAY-2025-09-MIS</t>
  </si>
  <si>
    <t>T101132</t>
  </si>
  <si>
    <t>Mobile App daily settlement 2025-09-26</t>
  </si>
  <si>
    <t>INV-20250926-MOB</t>
  </si>
  <si>
    <t>T101133</t>
  </si>
  <si>
    <t>Website daily settlement 2025-09-26</t>
  </si>
  <si>
    <t>INV-20250926-WEB</t>
  </si>
  <si>
    <t>T101134</t>
  </si>
  <si>
    <t>Aggregator-Glovo daily settlement 2025-09-26</t>
  </si>
  <si>
    <t>INV-20250926-AGG</t>
  </si>
  <si>
    <t>T101135</t>
  </si>
  <si>
    <t>Aggregator-Bolt daily settlement 2025-09-26</t>
  </si>
  <si>
    <t>T101136</t>
  </si>
  <si>
    <t>Walk-in daily settlement 2025-09-26</t>
  </si>
  <si>
    <t>INV-20250926-WAL</t>
  </si>
  <si>
    <t>T101137</t>
  </si>
  <si>
    <t>POS-VI daily settlement 2025-09-26</t>
  </si>
  <si>
    <t>INV-20250926-POS</t>
  </si>
  <si>
    <t>T101138</t>
  </si>
  <si>
    <t>POS-Ikeja daily settlement 2025-09-26</t>
  </si>
  <si>
    <t>T101139</t>
  </si>
  <si>
    <t>POS-Abuja daily settlement 2025-09-26</t>
  </si>
  <si>
    <t>T101140</t>
  </si>
  <si>
    <t>Online daily settlement 2025-09-26</t>
  </si>
  <si>
    <t>INV-20250926-ONL</t>
  </si>
  <si>
    <t>T101141</t>
  </si>
  <si>
    <t>Contract-Dangote daily settlement 2025-09-26</t>
  </si>
  <si>
    <t>INV-20250926-CON</t>
  </si>
  <si>
    <t>T101142</t>
  </si>
  <si>
    <t>Contract-Flutterwave daily settlement 2025-09-26</t>
  </si>
  <si>
    <t>T101143</t>
  </si>
  <si>
    <t>Spot-Market daily settlement 2025-09-26</t>
  </si>
  <si>
    <t>INV-20250926-SPO</t>
  </si>
  <si>
    <t>T101344</t>
  </si>
  <si>
    <t>BILL-93822</t>
  </si>
  <si>
    <t>T101360</t>
  </si>
  <si>
    <t>BILL-24556</t>
  </si>
  <si>
    <t>T101144</t>
  </si>
  <si>
    <t>Mobile App daily settlement 2025-09-27</t>
  </si>
  <si>
    <t>INV-20250927-MOB</t>
  </si>
  <si>
    <t>T101145</t>
  </si>
  <si>
    <t>Website daily settlement 2025-09-27</t>
  </si>
  <si>
    <t>INV-20250927-WEB</t>
  </si>
  <si>
    <t>T101146</t>
  </si>
  <si>
    <t>Aggregator-Glovo daily settlement 2025-09-27</t>
  </si>
  <si>
    <t>INV-20250927-AGG</t>
  </si>
  <si>
    <t>T101147</t>
  </si>
  <si>
    <t>Aggregator-Bolt daily settlement 2025-09-27</t>
  </si>
  <si>
    <t>T101148</t>
  </si>
  <si>
    <t>Walk-in daily settlement 2025-09-27</t>
  </si>
  <si>
    <t>INV-20250927-WAL</t>
  </si>
  <si>
    <t>T101149</t>
  </si>
  <si>
    <t>POS-Lekki daily settlement 2025-09-27</t>
  </si>
  <si>
    <t>INV-20250927-POS</t>
  </si>
  <si>
    <t>T101150</t>
  </si>
  <si>
    <t>POS-VI daily settlement 2025-09-27</t>
  </si>
  <si>
    <t>T101151</t>
  </si>
  <si>
    <t>POS-Ikeja daily settlement 2025-09-27</t>
  </si>
  <si>
    <t>T101152</t>
  </si>
  <si>
    <t>POS-Abuja daily settlement 2025-09-27</t>
  </si>
  <si>
    <t>T101153</t>
  </si>
  <si>
    <t>Online daily settlement 2025-09-27</t>
  </si>
  <si>
    <t>INV-20250927-ONL</t>
  </si>
  <si>
    <t>T101154</t>
  </si>
  <si>
    <t>Contract-Dangote daily settlement 2025-09-27</t>
  </si>
  <si>
    <t>INV-20250927-CON</t>
  </si>
  <si>
    <t>T101155</t>
  </si>
  <si>
    <t>Contract-MTN daily settlement 2025-09-27</t>
  </si>
  <si>
    <t>T101156</t>
  </si>
  <si>
    <t>Contract-Flutterwave daily settlement 2025-09-27</t>
  </si>
  <si>
    <t>T101157</t>
  </si>
  <si>
    <t>Spot-Market daily settlement 2025-09-27</t>
  </si>
  <si>
    <t>INV-20250927-SPO</t>
  </si>
  <si>
    <t>T101158</t>
  </si>
  <si>
    <t>Mobile App daily settlement 2025-09-28</t>
  </si>
  <si>
    <t>INV-20250928-MOB</t>
  </si>
  <si>
    <t>T101159</t>
  </si>
  <si>
    <t>Aggregator-Glovo daily settlement 2025-09-28</t>
  </si>
  <si>
    <t>INV-20250928-AGG</t>
  </si>
  <si>
    <t>T101160</t>
  </si>
  <si>
    <t>Aggregator-Bolt daily settlement 2025-09-28</t>
  </si>
  <si>
    <t>T101161</t>
  </si>
  <si>
    <t>Walk-in daily settlement 2025-09-28</t>
  </si>
  <si>
    <t>INV-20250928-WAL</t>
  </si>
  <si>
    <t>T101162</t>
  </si>
  <si>
    <t>POS-Lekki daily settlement 2025-09-28</t>
  </si>
  <si>
    <t>INV-20250928-POS</t>
  </si>
  <si>
    <t>T101163</t>
  </si>
  <si>
    <t>POS-Ikeja daily settlement 2025-09-28</t>
  </si>
  <si>
    <t>T101164</t>
  </si>
  <si>
    <t>POS-Abuja daily settlement 2025-09-28</t>
  </si>
  <si>
    <t>T101165</t>
  </si>
  <si>
    <t>Online daily settlement 2025-09-28</t>
  </si>
  <si>
    <t>INV-20250928-ONL</t>
  </si>
  <si>
    <t>T101166</t>
  </si>
  <si>
    <t>Contract-Dangote daily settlement 2025-09-28</t>
  </si>
  <si>
    <t>INV-20250928-CON</t>
  </si>
  <si>
    <t>T101167</t>
  </si>
  <si>
    <t>Contract-MTN daily settlement 2025-09-28</t>
  </si>
  <si>
    <t>T101168</t>
  </si>
  <si>
    <t>Contract-Flutterwave daily settlement 2025-09-28</t>
  </si>
  <si>
    <t>T101169</t>
  </si>
  <si>
    <t>Spot-Market daily settlement 2025-09-28</t>
  </si>
  <si>
    <t>INV-20250928-SPO</t>
  </si>
  <si>
    <t>T101334</t>
  </si>
  <si>
    <t>BILL-65708</t>
  </si>
  <si>
    <t>T101349</t>
  </si>
  <si>
    <t>BILL-34833</t>
  </si>
  <si>
    <t>T101379</t>
  </si>
  <si>
    <t>BILL-18414</t>
  </si>
  <si>
    <t>T101170</t>
  </si>
  <si>
    <t>Mobile App daily settlement 2025-09-29</t>
  </si>
  <si>
    <t>INV-20250929-MOB</t>
  </si>
  <si>
    <t>T101171</t>
  </si>
  <si>
    <t>Website daily settlement 2025-09-29</t>
  </si>
  <si>
    <t>INV-20250929-WEB</t>
  </si>
  <si>
    <t>T101172</t>
  </si>
  <si>
    <t>Aggregator-Glovo daily settlement 2025-09-29</t>
  </si>
  <si>
    <t>INV-20250929-AGG</t>
  </si>
  <si>
    <t>T101173</t>
  </si>
  <si>
    <t>Aggregator-Bolt daily settlement 2025-09-29</t>
  </si>
  <si>
    <t>T101174</t>
  </si>
  <si>
    <t>Walk-in daily settlement 2025-09-29</t>
  </si>
  <si>
    <t>INV-20250929-WAL</t>
  </si>
  <si>
    <t>T101175</t>
  </si>
  <si>
    <t>POS-Lekki daily settlement 2025-09-29</t>
  </si>
  <si>
    <t>INV-20250929-POS</t>
  </si>
  <si>
    <t>T101176</t>
  </si>
  <si>
    <t>POS-Ikeja daily settlement 2025-09-29</t>
  </si>
  <si>
    <t>T101177</t>
  </si>
  <si>
    <t>POS-Abuja daily settlement 2025-09-29</t>
  </si>
  <si>
    <t>T101178</t>
  </si>
  <si>
    <t>Online daily settlement 2025-09-29</t>
  </si>
  <si>
    <t>INV-20250929-ONL</t>
  </si>
  <si>
    <t>T101179</t>
  </si>
  <si>
    <t>Contract-Dangote daily settlement 2025-09-29</t>
  </si>
  <si>
    <t>INV-20250929-CON</t>
  </si>
  <si>
    <t>T101180</t>
  </si>
  <si>
    <t>Contract-MTN daily settlement 2025-09-29</t>
  </si>
  <si>
    <t>T101181</t>
  </si>
  <si>
    <t>Contract-Flutterwave daily settlement 2025-09-29</t>
  </si>
  <si>
    <t>T101182</t>
  </si>
  <si>
    <t>Spot-Market daily settlement 2025-09-29</t>
  </si>
  <si>
    <t>INV-20250929-SPO</t>
  </si>
  <si>
    <t>T101380</t>
  </si>
  <si>
    <t>BILL-34492</t>
  </si>
  <si>
    <t>T101429</t>
  </si>
  <si>
    <t>Paystack + bank fees 2025-09</t>
  </si>
  <si>
    <t>FEE-2025-09-EAT</t>
  </si>
  <si>
    <t>T101430</t>
  </si>
  <si>
    <t>FEE-2025-09-MAR</t>
  </si>
  <si>
    <t>T101431</t>
  </si>
  <si>
    <t>FEE-2025-09-LOG</t>
  </si>
  <si>
    <t>T101183</t>
  </si>
  <si>
    <t>Website daily settlement 2025-09-30</t>
  </si>
  <si>
    <t>INV-20250930-WEB</t>
  </si>
  <si>
    <t>T101184</t>
  </si>
  <si>
    <t>Aggregator-Glovo daily settlement 2025-09-30</t>
  </si>
  <si>
    <t>INV-20250930-AGG</t>
  </si>
  <si>
    <t>T101185</t>
  </si>
  <si>
    <t>Aggregator-Bolt daily settlement 2025-09-30</t>
  </si>
  <si>
    <t>T101186</t>
  </si>
  <si>
    <t>Walk-in daily settlement 2025-09-30</t>
  </si>
  <si>
    <t>INV-20250930-WAL</t>
  </si>
  <si>
    <t>T101187</t>
  </si>
  <si>
    <t>POS-Lekki daily settlement 2025-09-30</t>
  </si>
  <si>
    <t>INV-20250930-POS</t>
  </si>
  <si>
    <t>T101188</t>
  </si>
  <si>
    <t>POS-VI daily settlement 2025-09-30</t>
  </si>
  <si>
    <t>T101189</t>
  </si>
  <si>
    <t>POS-Ikeja daily settlement 2025-09-30</t>
  </si>
  <si>
    <t>T101190</t>
  </si>
  <si>
    <t>POS-Abuja daily settlement 2025-09-30</t>
  </si>
  <si>
    <t>T101191</t>
  </si>
  <si>
    <t>Online daily settlement 2025-09-30</t>
  </si>
  <si>
    <t>INV-20250930-ONL</t>
  </si>
  <si>
    <t>T101192</t>
  </si>
  <si>
    <t>Contract-Dangote daily settlement 2025-09-30</t>
  </si>
  <si>
    <t>INV-20250930-CON</t>
  </si>
  <si>
    <t>T101193</t>
  </si>
  <si>
    <t>Contract-MTN daily settlement 2025-09-30</t>
  </si>
  <si>
    <t>T101194</t>
  </si>
  <si>
    <t>Contract-Flutterwave daily settlement 2025-09-30</t>
  </si>
  <si>
    <t>T101195</t>
  </si>
  <si>
    <t>Spot-Market daily settlement 2025-09-30</t>
  </si>
  <si>
    <t>INV-20250930-SPO</t>
  </si>
  <si>
    <t>T101219</t>
  </si>
  <si>
    <t>Customer refund order #676146</t>
  </si>
  <si>
    <t>RFD-9597</t>
  </si>
  <si>
    <t>T101356</t>
  </si>
  <si>
    <t>BILL-1379</t>
  </si>
  <si>
    <t>Bank_Account</t>
  </si>
  <si>
    <t>Total_Inflow</t>
  </si>
  <si>
    <t>Total_Outflow</t>
  </si>
  <si>
    <t>Net_Movement</t>
  </si>
  <si>
    <t>GTB - NGN Operating</t>
  </si>
  <si>
    <t>GTB - USD Domiciliary</t>
  </si>
  <si>
    <t>Logistics + ads</t>
  </si>
  <si>
    <t>Includes duplicate vendor pmt</t>
  </si>
  <si>
    <t>Key</t>
  </si>
  <si>
    <t>Adjusted_Amount_NGN</t>
  </si>
  <si>
    <t>Account_Type</t>
  </si>
  <si>
    <t>Clean_Amount</t>
  </si>
  <si>
    <t>Issue_#</t>
  </si>
  <si>
    <t>Amount_NGN</t>
  </si>
  <si>
    <t>Issue_Type</t>
  </si>
  <si>
    <t>Action_Taken</t>
  </si>
  <si>
    <t>Duplicate Vendor Invoice</t>
  </si>
  <si>
    <t>Duplicate Payroll Entry</t>
  </si>
  <si>
    <t>Misclassified Brand</t>
  </si>
  <si>
    <t>Uncategorized Cash Withdrawal</t>
  </si>
  <si>
    <t>Missing Transaction Date</t>
  </si>
  <si>
    <t>Excluded - Distell Wholesale paid twice same week, same amount</t>
  </si>
  <si>
    <t>Excluded - same employee same month, already captured in T101401</t>
  </si>
  <si>
    <t>Reclassified from Zumi Eats to Zumi Logistics - rider supervisor belongs to Logistics</t>
  </si>
  <si>
    <t>Parked separately - no GL code, excluded from OpEx, flagged for CEO review</t>
  </si>
  <si>
    <t>Excluded from P&amp;L - date stored as Excel serial number 45839, cannot assign to month</t>
  </si>
  <si>
    <t>2025-07 to 2025-09</t>
  </si>
  <si>
    <t>All Brands</t>
  </si>
  <si>
    <t>Refunds Booked as Positive</t>
  </si>
  <si>
    <t>Fixed in Clean_Amount formula - all Account 4900 rows forced negative via IF/ABS formula</t>
  </si>
  <si>
    <t>Multiple - Account 4900</t>
  </si>
  <si>
    <t>Total NGN Impact of Issues</t>
  </si>
  <si>
    <t>2025-07NGN</t>
  </si>
  <si>
    <t>2025-07USD</t>
  </si>
  <si>
    <t>2025-07GHS</t>
  </si>
  <si>
    <t>2025-08NGN</t>
  </si>
  <si>
    <t>2025-08USD</t>
  </si>
  <si>
    <t>2025-08GHS</t>
  </si>
  <si>
    <t>2025-09NGN</t>
  </si>
  <si>
    <t>2025-09USD</t>
  </si>
  <si>
    <t>2025-09GHS</t>
  </si>
  <si>
    <t>TOTAL</t>
  </si>
  <si>
    <t>REVENUE</t>
  </si>
  <si>
    <t>NET REVENUE</t>
  </si>
  <si>
    <t>COST OF GOODS SOLD</t>
  </si>
  <si>
    <t>TOTAL COGS</t>
  </si>
  <si>
    <t>GROSS PROFIT</t>
  </si>
  <si>
    <t>OPERATING EXPENSES</t>
  </si>
  <si>
    <t>TOTAL OPEX</t>
  </si>
  <si>
    <t>NET PROFIT</t>
  </si>
  <si>
    <t>Account</t>
  </si>
  <si>
    <t>Bank Statement Total (NGN)</t>
  </si>
  <si>
    <t>P&amp;L Ledger Total (NGN)</t>
  </si>
  <si>
    <t>Difference</t>
  </si>
  <si>
    <t>Status</t>
  </si>
  <si>
    <t>GTB - NGN Operating (Inflow)</t>
  </si>
  <si>
    <t>GTB - NGN Operating (Outflow)</t>
  </si>
  <si>
    <t>GTB - USD Domiciliary (Inflow)</t>
  </si>
  <si>
    <t>GTB - USD Domiciliary (Outflow)</t>
  </si>
  <si>
    <t>GTB - GHS Account (Inflow)</t>
  </si>
  <si>
    <t>GTB - GHS Account (Outflow)</t>
  </si>
  <si>
    <t>NET TOTAL</t>
  </si>
  <si>
    <t>ZUMI HOLDINGS — Q3 2025 FINANCIAL SUMMARY</t>
  </si>
  <si>
    <t>Prepared by: Elizabeth Ese Williams | Date: May 09, 2025 | Currency: NGN</t>
  </si>
  <si>
    <t>KEY FINDINGS</t>
  </si>
  <si>
    <t>Did Zumi Holdings make money in Q3? NO. All three brands operated at a loss.</t>
  </si>
  <si>
    <t>PROFIT &amp; LOSS SUMMARY</t>
  </si>
  <si>
    <t>Net Revenue</t>
  </si>
  <si>
    <t>Total COGS</t>
  </si>
  <si>
    <t>Gross Profit</t>
  </si>
  <si>
    <t>Total OpEx</t>
  </si>
  <si>
    <t>DATA QUALITY ISSUES FOUND</t>
  </si>
  <si>
    <t>Issue</t>
  </si>
  <si>
    <t>Amount (NGN)</t>
  </si>
  <si>
    <t>Action Taken</t>
  </si>
  <si>
    <t xml:space="preserve"> </t>
  </si>
  <si>
    <t>Excluded from P&amp;L</t>
  </si>
  <si>
    <t>Reclassified to Zumi Logistics</t>
  </si>
  <si>
    <t>Parked  CEO must explain</t>
  </si>
  <si>
    <t>Excluded — cannot assign to month</t>
  </si>
  <si>
    <t>Fixed in Clean_Amount formula</t>
  </si>
  <si>
    <t>Total Financial Impact of Issues Found</t>
  </si>
  <si>
    <t>RECOMMENDATION</t>
  </si>
  <si>
    <t>Duplicate vendor invoice — Distell Wholesale</t>
  </si>
  <si>
    <t>Duplicate payroll entry — Bento Africa</t>
  </si>
  <si>
    <t>Salary misclassified — Rider supervisor</t>
  </si>
  <si>
    <t>Uncategorized cash withdrawal</t>
  </si>
  <si>
    <t>Missing transaction date — Fuel invoice</t>
  </si>
  <si>
    <t>Refunds booked as positive</t>
  </si>
  <si>
    <r>
      <rPr>
        <b/>
        <sz val="11"/>
        <color theme="1"/>
        <rFont val="Cambria"/>
        <family val="1"/>
        <scheme val="major"/>
      </rPr>
      <t>Note:</t>
    </r>
    <r>
      <rPr>
        <sz val="11"/>
        <color theme="1"/>
        <rFont val="Cambria"/>
        <family val="1"/>
        <scheme val="major"/>
      </rPr>
      <t xml:space="preserve"> Bank vs Ledger g ap explained by: (1) Bank records gross cash flows while P&amp;L shows net trading activity only. (2) </t>
    </r>
    <r>
      <rPr>
        <b/>
        <sz val="11"/>
        <color theme="1"/>
        <rFont val="Cambria"/>
        <family val="1"/>
        <scheme val="major"/>
      </rPr>
      <t>₦1,840,000</t>
    </r>
    <r>
      <rPr>
        <sz val="11"/>
        <color theme="1"/>
        <rFont val="Cambria"/>
        <family val="1"/>
        <scheme val="major"/>
      </rPr>
      <t xml:space="preserve"> duplicate Distell vendor payment confirmed in August bank notes, excluded from P&amp;L. (3) Non-trading flows (VAT, transfers) not captured in P&amp;L.</t>
    </r>
  </si>
  <si>
    <t>Unknown</t>
  </si>
  <si>
    <r>
      <t>Zumi Holdings lost</t>
    </r>
    <r>
      <rPr>
        <b/>
        <sz val="11"/>
        <color theme="1"/>
        <rFont val="Cambria"/>
        <family val="1"/>
        <scheme val="major"/>
      </rPr>
      <t xml:space="preserve"> ₦98.8M</t>
    </r>
    <r>
      <rPr>
        <sz val="11"/>
        <color theme="1"/>
        <rFont val="Cambria"/>
        <family val="1"/>
        <scheme val="major"/>
      </rPr>
      <t xml:space="preserve"> in Q3 2025. All three brands are unprofitable. Zumi Mart is the largest loss-maker, inventory costs exceed revenue by 2.4x. Zumi Eats carries the highest OpEx burden at </t>
    </r>
    <r>
      <rPr>
        <b/>
        <sz val="11"/>
        <color theme="1"/>
        <rFont val="Cambria"/>
        <family val="1"/>
        <scheme val="major"/>
      </rPr>
      <t>₦20.5M</t>
    </r>
    <r>
      <rPr>
        <sz val="11"/>
        <color theme="1"/>
        <rFont val="Cambria"/>
        <family val="1"/>
        <scheme val="major"/>
      </rPr>
      <t xml:space="preserve">. Zumi Logistics is closest to breakeven with the strongest revenue base. Data quality issues totalling </t>
    </r>
    <r>
      <rPr>
        <b/>
        <sz val="11"/>
        <color theme="1"/>
        <rFont val="Cambria"/>
        <family val="1"/>
        <scheme val="major"/>
      </rPr>
      <t>₦6,442,453</t>
    </r>
    <r>
      <rPr>
        <sz val="11"/>
        <color theme="1"/>
        <rFont val="Cambria"/>
        <family val="1"/>
        <scheme val="major"/>
      </rPr>
      <t xml:space="preserve"> were identified and corrected and finance team must implement duplicate payment controls immediately before Q4 closes.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</si>
</sst>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[Red]\-* #,##0_-;_-* &quot;-&quot;_-;_-@_-"/>
    <numFmt numFmtId="165" formatCode="\₦#,##0"/>
    <numFmt numFmtId="166" formatCode="yyyy/m/d"/>
  </numFmts>
  <fonts count="17">
    <font>
      <sz val="11"/>
      <color theme="1"/>
      <name val="Calibri"/>
      <family val="2"/>
      <scheme val="minor"/>
    </font>
    <font>
      <b/>
      <sz val="16"/>
      <color rgb="FF0F4C3A"/>
      <name val="Calibri"/>
    </font>
    <font>
      <b/>
      <sz val="12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theme="0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1"/>
      <color theme="0"/>
      <name val="Cambria"/>
      <family val="1"/>
      <scheme val="major"/>
    </font>
    <font>
      <b/>
      <sz val="10"/>
      <color theme="0"/>
      <name val="Cambria"/>
      <family val="1"/>
      <scheme val="major"/>
    </font>
    <font>
      <b/>
      <sz val="11"/>
      <color theme="1"/>
      <name val="Calibri"/>
      <family val="2"/>
    </font>
    <font>
      <b/>
      <sz val="14"/>
      <color theme="0"/>
      <name val="Cambria"/>
      <family val="1"/>
      <scheme val="major"/>
    </font>
    <font>
      <sz val="11"/>
      <color theme="0"/>
      <name val="Cambria"/>
      <family val="1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0F4C3A"/>
      </patternFill>
    </fill>
    <fill>
      <patternFill patternType="solid">
        <fgColor rgb="FF0F4C3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15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horizontal="left" vertical="center"/>
    </xf>
    <xf numFmtId="4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5" fillId="2" borderId="0" xfId="0" applyFont="1" applyFill="1" applyAlignment="1">
      <alignment horizontal="left" vertical="center"/>
    </xf>
    <xf numFmtId="164" fontId="5" fillId="2" borderId="0" xfId="0" applyNumberFormat="1" applyFont="1" applyFill="1" applyAlignment="1">
      <alignment horizontal="left" vertical="center"/>
    </xf>
    <xf numFmtId="0" fontId="6" fillId="0" borderId="0" xfId="0" applyFont="1"/>
    <xf numFmtId="2" fontId="3" fillId="2" borderId="0" xfId="0" applyNumberFormat="1" applyFont="1" applyFill="1" applyAlignment="1">
      <alignment horizontal="left" vertical="center"/>
    </xf>
    <xf numFmtId="2" fontId="0" fillId="0" borderId="0" xfId="0" applyNumberFormat="1"/>
    <xf numFmtId="0" fontId="0" fillId="0" borderId="0" xfId="0" applyAlignment="1">
      <alignment horizontal="left" wrapText="1"/>
    </xf>
    <xf numFmtId="0" fontId="10" fillId="0" borderId="0" xfId="0" applyFont="1"/>
    <xf numFmtId="0" fontId="10" fillId="0" borderId="0" xfId="0" applyFont="1" applyAlignment="1">
      <alignment wrapText="1"/>
    </xf>
    <xf numFmtId="0" fontId="10" fillId="0" borderId="0" xfId="0" applyFont="1" applyAlignment="1">
      <alignment horizontal="left" wrapText="1"/>
    </xf>
    <xf numFmtId="0" fontId="15" fillId="5" borderId="0" xfId="0" applyFont="1" applyFill="1"/>
    <xf numFmtId="0" fontId="16" fillId="5" borderId="0" xfId="0" applyFont="1" applyFill="1"/>
    <xf numFmtId="0" fontId="11" fillId="7" borderId="0" xfId="0" applyFont="1" applyFill="1"/>
    <xf numFmtId="0" fontId="11" fillId="4" borderId="0" xfId="0" applyFont="1" applyFill="1"/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4" fontId="5" fillId="2" borderId="3" xfId="0" applyNumberFormat="1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4" fontId="0" fillId="0" borderId="1" xfId="0" applyNumberFormat="1" applyBorder="1"/>
    <xf numFmtId="4" fontId="0" fillId="0" borderId="8" xfId="0" applyNumberFormat="1" applyBorder="1"/>
    <xf numFmtId="0" fontId="5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164" fontId="0" fillId="0" borderId="1" xfId="0" applyNumberFormat="1" applyBorder="1"/>
    <xf numFmtId="164" fontId="3" fillId="2" borderId="3" xfId="0" applyNumberFormat="1" applyFont="1" applyFill="1" applyBorder="1" applyAlignment="1">
      <alignment horizontal="left" vertical="center"/>
    </xf>
    <xf numFmtId="164" fontId="0" fillId="0" borderId="8" xfId="0" applyNumberFormat="1" applyBorder="1"/>
    <xf numFmtId="0" fontId="4" fillId="0" borderId="1" xfId="0" applyFont="1" applyBorder="1"/>
    <xf numFmtId="0" fontId="9" fillId="8" borderId="1" xfId="0" applyFont="1" applyFill="1" applyBorder="1"/>
    <xf numFmtId="0" fontId="7" fillId="0" borderId="1" xfId="0" applyFont="1" applyBorder="1"/>
    <xf numFmtId="0" fontId="7" fillId="6" borderId="1" xfId="0" applyFont="1" applyFill="1" applyBorder="1"/>
    <xf numFmtId="0" fontId="14" fillId="0" borderId="1" xfId="0" applyFont="1" applyBorder="1"/>
    <xf numFmtId="0" fontId="0" fillId="9" borderId="1" xfId="0" applyFill="1" applyBorder="1"/>
    <xf numFmtId="0" fontId="8" fillId="9" borderId="1" xfId="0" applyFont="1" applyFill="1" applyBorder="1"/>
    <xf numFmtId="0" fontId="8" fillId="9" borderId="1" xfId="0" applyFont="1" applyFill="1" applyBorder="1" applyAlignment="1">
      <alignment horizontal="left" vertical="center" indent="1"/>
    </xf>
    <xf numFmtId="0" fontId="0" fillId="9" borderId="8" xfId="0" applyFill="1" applyBorder="1"/>
    <xf numFmtId="0" fontId="8" fillId="9" borderId="8" xfId="0" applyFont="1" applyFill="1" applyBorder="1"/>
    <xf numFmtId="0" fontId="8" fillId="9" borderId="8" xfId="0" applyFont="1" applyFill="1" applyBorder="1" applyAlignment="1">
      <alignment horizontal="left" vertical="center" indent="1"/>
    </xf>
    <xf numFmtId="0" fontId="7" fillId="0" borderId="3" xfId="0" applyFont="1" applyBorder="1"/>
    <xf numFmtId="0" fontId="0" fillId="0" borderId="3" xfId="0" applyBorder="1"/>
    <xf numFmtId="0" fontId="11" fillId="0" borderId="1" xfId="0" applyFont="1" applyBorder="1"/>
    <xf numFmtId="0" fontId="10" fillId="0" borderId="1" xfId="0" applyFont="1" applyBorder="1"/>
    <xf numFmtId="164" fontId="10" fillId="0" borderId="1" xfId="0" applyNumberFormat="1" applyFont="1" applyBorder="1"/>
    <xf numFmtId="0" fontId="10" fillId="0" borderId="1" xfId="0" applyFont="1" applyBorder="1" applyAlignment="1">
      <alignment wrapText="1"/>
    </xf>
    <xf numFmtId="0" fontId="12" fillId="5" borderId="1" xfId="0" applyFont="1" applyFill="1" applyBorder="1"/>
    <xf numFmtId="0" fontId="13" fillId="5" borderId="1" xfId="0" applyFont="1" applyFill="1" applyBorder="1"/>
    <xf numFmtId="165" fontId="10" fillId="0" borderId="1" xfId="0" applyNumberFormat="1" applyFont="1" applyBorder="1"/>
    <xf numFmtId="165" fontId="11" fillId="4" borderId="1" xfId="0" applyNumberFormat="1" applyFont="1" applyFill="1" applyBorder="1"/>
    <xf numFmtId="166" fontId="7" fillId="0" borderId="1" xfId="0" applyNumberFormat="1" applyFont="1" applyBorder="1"/>
    <xf numFmtId="166" fontId="0" fillId="9" borderId="1" xfId="0" applyNumberFormat="1" applyFill="1" applyBorder="1"/>
    <xf numFmtId="166" fontId="8" fillId="9" borderId="1" xfId="0" applyNumberFormat="1" applyFont="1" applyFill="1" applyBorder="1"/>
    <xf numFmtId="166" fontId="0" fillId="9" borderId="8" xfId="0" applyNumberFormat="1" applyFill="1" applyBorder="1"/>
    <xf numFmtId="166" fontId="0" fillId="0" borderId="0" xfId="0" applyNumberFormat="1"/>
    <xf numFmtId="166" fontId="0" fillId="0" borderId="3" xfId="0" applyNumberFormat="1" applyBorder="1"/>
    <xf numFmtId="0" fontId="12" fillId="8" borderId="1" xfId="0" applyFont="1" applyFill="1" applyBorder="1"/>
  </cellXfs>
  <cellStyles count="1">
    <cellStyle name="Normal" xfId="0" builtinId="0"/>
  </cellStyles>
  <dxfs count="43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* #,##0_-;[Red]\-* #,##0_-;_-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* #,##0_-;[Red]\-* #,##0_-;_-* &quot;-&quot;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0F4C3A"/>
        </patternFill>
      </fill>
      <alignment horizontal="left" vertical="center" textRotation="0" wrapText="0" indent="0" justifyLastLine="0" shrinkToFit="0" readingOrder="0"/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0F4C3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* #,##0_-;[Red]\-* #,##0_-;_-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* #,##0_-;[Red]\-* #,##0_-;_-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* #,##0_-;[Red]\-* #,##0_-;_-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164" formatCode="_-* #,##0_-;[Red]\-* #,##0_-;_-* &quot;-&quot;_-;_-@_-"/>
      <fill>
        <patternFill patternType="solid">
          <fgColor indexed="64"/>
          <bgColor rgb="FF0F4C3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1531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B956EA-E505-4F84-A54E-F016D8558298}" name="tbl_Bank" displayName="tbl_Bank" ref="A1:G7" totalsRowShown="0" headerRowDxfId="42" headerRowBorderDxfId="41" tableBorderDxfId="40" totalsRowBorderDxfId="39">
  <tableColumns count="7">
    <tableColumn id="1" xr3:uid="{7EE31546-8D85-412D-8CBA-61350EE1D83E}" name="Month" dataDxfId="38"/>
    <tableColumn id="2" xr3:uid="{455E5295-59D8-4079-AA3B-9DA6FFB22171}" name="Bank_Account" dataDxfId="37"/>
    <tableColumn id="3" xr3:uid="{C4F91D0E-E20F-440B-BE9F-0BB08E41DDB6}" name="Currency" dataDxfId="36"/>
    <tableColumn id="4" xr3:uid="{9CB83BC7-BA13-4B4D-B63F-BE54F027585C}" name="Total_Inflow" dataDxfId="35"/>
    <tableColumn id="5" xr3:uid="{0094E603-A7B5-4446-928C-7554FEC17EAC}" name="Total_Outflow" dataDxfId="34"/>
    <tableColumn id="6" xr3:uid="{B27CC285-AFCC-464A-BE36-CA4CE2543706}" name="Net_Movement" dataDxfId="33"/>
    <tableColumn id="7" xr3:uid="{33AE6C43-AB42-4682-A499-F7973A9327B8}" name="Notes" dataDxfId="3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1A4AD7C-0A56-452B-A5D4-0C3A24FB3F0E}" name="tbl_Accounts" displayName="tbl_Accounts" ref="A1:D21" totalsRowShown="0" headerRowDxfId="31" headerRowBorderDxfId="30" tableBorderDxfId="29" totalsRowBorderDxfId="28">
  <tableColumns count="4">
    <tableColumn id="1" xr3:uid="{E507916B-6DB9-4DC3-A752-35D97DCD71E5}" name="Account_Code" dataDxfId="27"/>
    <tableColumn id="2" xr3:uid="{8EDD6756-DD10-4917-9701-8FF768C1AC85}" name="Account_Name" dataDxfId="26"/>
    <tableColumn id="3" xr3:uid="{943DE10B-FECD-4251-9E42-8801CD57EBDA}" name="Type" dataDxfId="25"/>
    <tableColumn id="4" xr3:uid="{1E1AA862-15FE-4652-91BC-297BFEBD7466}" name="PL_Bucket" dataDxfId="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0C2567-5294-4F84-A0C2-B30D36E5C605}" name="tbl_FX" displayName="tbl_FX" ref="A1:D10" totalsRowShown="0" headerRowDxfId="23" headerRowBorderDxfId="22" tableBorderDxfId="21" totalsRowBorderDxfId="20">
  <tableColumns count="4">
    <tableColumn id="1" xr3:uid="{918AE281-F061-4C2B-BA0B-DA39992E29A8}" name="Month" dataDxfId="19"/>
    <tableColumn id="2" xr3:uid="{5B23730E-B51D-4ED7-87C5-237A77E6A2A2}" name="Currency" dataDxfId="18"/>
    <tableColumn id="3" xr3:uid="{398EF40F-5EF0-4E77-A53D-F032C9FFA716}" name="Rate_to_NGN" dataDxfId="17"/>
    <tableColumn id="4" xr3:uid="{81E32880-590B-413B-A777-E5B7CC9750DA}" name="Key" dataDxfId="16">
      <calculatedColumnFormula>tbl_FX[[#This Row],[Month]] &amp; tbl_FX[[#This Row],[Currency]]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D3EFF2-D894-402B-8544-5F52759FC4D5}" name="tbl_Ledger" displayName="tbl_Ledger" ref="A1:T1436" totalsRowShown="0" headerRowDxfId="15">
  <tableColumns count="20">
    <tableColumn id="1" xr3:uid="{D7C4D6A3-9F52-4C83-9DE9-8AD1839F68F5}" name="Txn_ID"/>
    <tableColumn id="2" xr3:uid="{2F768D57-3DEA-4882-8F97-89C2795AC823}" name="Date"/>
    <tableColumn id="3" xr3:uid="{4C1445E4-39C3-4B77-91F9-CC34D62B9B71}" name="Source_System"/>
    <tableColumn id="4" xr3:uid="{2113E82E-5136-49FA-AB39-420BE8A9251A}" name="Brand"/>
    <tableColumn id="5" xr3:uid="{9ECFBA63-5146-431D-B582-EEE1C8C674DC}" name="Channel"/>
    <tableColumn id="6" xr3:uid="{21FCD7C8-9129-4C27-B4B8-17FB46F079C4}" name="Account_Code"/>
    <tableColumn id="7" xr3:uid="{DB8DBDDA-CC44-4510-874A-9095A6A15DEC}" name="Account_Name"/>
    <tableColumn id="8" xr3:uid="{2C55802C-B785-429A-BAC8-D9CF22AA830C}" name="Description"/>
    <tableColumn id="9" xr3:uid="{56D744A7-1E91-4CE9-AFE8-58A74B525D04}" name="Currency"/>
    <tableColumn id="10" xr3:uid="{6565CFCB-6537-484B-8335-3E60191E0EC0}" name="Amount" dataDxfId="14"/>
    <tableColumn id="11" xr3:uid="{25D48D42-74C9-4B00-8444-DB1E77EB6B34}" name="Vendor_or_Customer"/>
    <tableColumn id="12" xr3:uid="{1E649B48-8A44-46D5-90BF-20FCAB591FA0}" name="Reference"/>
    <tableColumn id="13" xr3:uid="{F9017AFF-5A8A-44A0-9587-034D0B1ADE66}" name="Notes"/>
    <tableColumn id="21" xr3:uid="{9A789728-45E7-498E-9AA4-EA7EF6748488}" name="Month" dataDxfId="13">
      <calculatedColumnFormula>TEXT(tbl_Ledger[[#This Row],[Date]],"yyyy-mm")</calculatedColumnFormula>
    </tableColumn>
    <tableColumn id="17" xr3:uid="{9894755E-823B-4090-B191-1AFBDA5ABC0A}" name="Key" dataDxfId="12">
      <calculatedColumnFormula>TEXT(tbl_Ledger[[#This Row],[Date]],"yyyy-mm") &amp; TRIM(tbl_Ledger[[#This Row],[Currency]])</calculatedColumnFormula>
    </tableColumn>
    <tableColumn id="22" xr3:uid="{5E9BBA2F-B397-4549-940E-C3B499C38BCA}" name="Rate_to_NGN" dataDxfId="11">
      <calculatedColumnFormula>_xlfn.XLOOKUP(tbl_Ledger[[#This Row],[Key]], tbl_FX[Key], tbl_FX[Rate_to_NGN])</calculatedColumnFormula>
    </tableColumn>
    <tableColumn id="14" xr3:uid="{35911E01-7915-43A0-8011-46597B92BAF7}" name="Adjusted_Amount_NGN" dataDxfId="10">
      <calculatedColumnFormula>IF(tbl_Ledger[[#This Row],[Account_Type]]="Expense",-ABS(tbl_Ledger[[#This Row],[Amount]]*tbl_Ledger[[#This Row],[Rate_to_NGN]]),tbl_Ledger[[#This Row],[Amount]]*tbl_Ledger[[#This Row],[Rate_to_NGN]])</calculatedColumnFormula>
    </tableColumn>
    <tableColumn id="15" xr3:uid="{36243020-933B-4D8D-ADCE-BE8525CCCFD1}" name="Account_Type" dataDxfId="9">
      <calculatedColumnFormula>_xlfn.XLOOKUP(tbl_Ledger[[#This Row],[Account_Code]], tbl_Accounts[Account_Code], tbl_Accounts[Type])</calculatedColumnFormula>
    </tableColumn>
    <tableColumn id="16" xr3:uid="{E5ECAA5F-0B48-4156-BB35-4BA4C903B492}" name="PL_Bucket" dataDxfId="8">
      <calculatedColumnFormula>_xlfn.XLOOKUP(tbl_Ledger[[#This Row],[Account_Code]], tbl_Accounts[Account_Code], tbl_Accounts[PL_Bucket])</calculatedColumnFormula>
    </tableColumn>
    <tableColumn id="19" xr3:uid="{EA13952B-5A5E-455D-951F-565EB3E71FFE}" name="Clean_Amount" dataDxfId="7">
      <calculatedColumnFormula>IF(AND(S2="Revenue",F2&lt;&gt;4900),ABS(Q2),-ABS(Q2))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4996A0C-17DD-4E2F-BD5C-86732CCE31F0}" name="tbl_Cleaned" displayName="tbl_Cleaned" ref="A1:T1432" totalsRowShown="0">
  <autoFilter ref="A1:T1432" xr:uid="{04996A0C-17DD-4E2F-BD5C-86732CCE31F0}"/>
  <tableColumns count="20">
    <tableColumn id="1" xr3:uid="{FFBC284E-64A3-41B3-AB1C-FFABCAF1D2F4}" name="Txn_ID"/>
    <tableColumn id="2" xr3:uid="{D17E1400-13D0-4EF1-B15F-80AFF911FB2D}" name="Date"/>
    <tableColumn id="3" xr3:uid="{C3DB7513-0816-4E46-98C8-07EC213A23C0}" name="Source_System"/>
    <tableColumn id="4" xr3:uid="{39A6B126-D93C-42D3-8FD6-6F5A820EB691}" name="Brand"/>
    <tableColumn id="5" xr3:uid="{4ABAA68A-AE6E-42F5-8179-E5126D4D30E7}" name="Channel"/>
    <tableColumn id="6" xr3:uid="{F68B6484-BC9B-4FB0-94C4-0CD71DCF80BF}" name="Account_Code" dataDxfId="6"/>
    <tableColumn id="7" xr3:uid="{DBB810A6-96F4-4D80-97EE-8DA28CB3019E}" name="Account_Name"/>
    <tableColumn id="8" xr3:uid="{4453D478-D7F3-4D5A-8A61-EFA532DC708B}" name="Description"/>
    <tableColumn id="9" xr3:uid="{A3DC6004-0421-4D22-ADD8-4BA29B29502A}" name="Currency"/>
    <tableColumn id="10" xr3:uid="{767FD945-145C-4DEF-BCC8-89D5CACF713B}" name="Amount"/>
    <tableColumn id="11" xr3:uid="{6F5DBE8E-BFDE-4E25-A8CF-E5E30B7E42D1}" name="Vendor_or_Customer"/>
    <tableColumn id="12" xr3:uid="{7B7CB646-4257-4C3D-9B48-0E1F0454EA95}" name="Reference"/>
    <tableColumn id="13" xr3:uid="{F617A8AF-633A-40AB-943F-57561DAF8CDD}" name="Notes"/>
    <tableColumn id="14" xr3:uid="{BB8012E4-DC6E-4477-A149-E64ADE5AFA38}" name="Month"/>
    <tableColumn id="15" xr3:uid="{E34B4A24-AF59-431B-B856-9A95FC5EDFF6}" name="Key" dataDxfId="5"/>
    <tableColumn id="16" xr3:uid="{4435D125-9E15-460F-99A1-0AF096AAB1F5}" name="Rate_to_NGN" dataDxfId="4"/>
    <tableColumn id="17" xr3:uid="{7E107AF7-46A3-44C4-921C-F37DAD70EE25}" name="Adjusted_Amount_NGN" dataDxfId="3"/>
    <tableColumn id="18" xr3:uid="{033D94C4-5C2B-42BE-AC47-EED0D5E86334}" name="Account_Type" dataDxfId="2"/>
    <tableColumn id="19" xr3:uid="{B5DEED95-6B59-453B-AC8C-16375A46965D}" name="PL_Bucket" dataDxfId="1"/>
    <tableColumn id="20" xr3:uid="{3525D926-BDB5-45C1-B382-09430C14FCA9}" name="Clean_Amount" dataDxfId="0">
      <calculatedColumnFormula>IF(AND(S2="Revenue",G2&lt;&gt;"Refunds &amp; Chargebacks"),ABS(Q2),-ABS(Q2))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4C3A"/>
  </sheetPr>
  <dimension ref="A1:A24"/>
  <sheetViews>
    <sheetView workbookViewId="0">
      <selection activeCell="A17" sqref="A17"/>
    </sheetView>
  </sheetViews>
  <sheetFormatPr defaultRowHeight="14.5"/>
  <cols>
    <col min="1" max="1" width="110" customWidth="1"/>
  </cols>
  <sheetData>
    <row r="1" spans="1:1" ht="21">
      <c r="A1" s="1" t="s">
        <v>0</v>
      </c>
    </row>
    <row r="3" spans="1:1" ht="15.5">
      <c r="A3" s="2" t="s">
        <v>1</v>
      </c>
    </row>
    <row r="4" spans="1:1" ht="29">
      <c r="A4" s="3" t="s">
        <v>2</v>
      </c>
    </row>
    <row r="5" spans="1:1">
      <c r="A5" s="3" t="s">
        <v>3</v>
      </c>
    </row>
    <row r="6" spans="1:1" ht="15.5">
      <c r="A6" s="2" t="s">
        <v>4</v>
      </c>
    </row>
    <row r="7" spans="1:1" ht="29">
      <c r="A7" s="3" t="s">
        <v>5</v>
      </c>
    </row>
    <row r="8" spans="1:1">
      <c r="A8" s="3" t="s">
        <v>6</v>
      </c>
    </row>
    <row r="9" spans="1:1">
      <c r="A9" s="3" t="s">
        <v>7</v>
      </c>
    </row>
    <row r="10" spans="1:1">
      <c r="A10" s="3" t="s">
        <v>8</v>
      </c>
    </row>
    <row r="11" spans="1:1">
      <c r="A11" s="3" t="s">
        <v>3</v>
      </c>
    </row>
    <row r="12" spans="1:1" ht="15.5">
      <c r="A12" s="2" t="s">
        <v>9</v>
      </c>
    </row>
    <row r="13" spans="1:1">
      <c r="A13" s="3" t="s">
        <v>10</v>
      </c>
    </row>
    <row r="14" spans="1:1">
      <c r="A14" s="3" t="s">
        <v>11</v>
      </c>
    </row>
    <row r="15" spans="1:1">
      <c r="A15" s="3" t="s">
        <v>12</v>
      </c>
    </row>
    <row r="16" spans="1:1">
      <c r="A16" s="3" t="s">
        <v>13</v>
      </c>
    </row>
    <row r="17" spans="1:1">
      <c r="A17" s="3" t="s">
        <v>14</v>
      </c>
    </row>
    <row r="18" spans="1:1">
      <c r="A18" s="3" t="s">
        <v>3</v>
      </c>
    </row>
    <row r="19" spans="1:1" ht="15.5">
      <c r="A19" s="2" t="s">
        <v>15</v>
      </c>
    </row>
    <row r="20" spans="1:1" ht="29">
      <c r="A20" s="3" t="s">
        <v>16</v>
      </c>
    </row>
    <row r="21" spans="1:1">
      <c r="A21" s="3" t="s">
        <v>17</v>
      </c>
    </row>
    <row r="22" spans="1:1">
      <c r="A22" s="3" t="s">
        <v>3</v>
      </c>
    </row>
    <row r="23" spans="1:1" ht="15.5">
      <c r="A23" s="2" t="s">
        <v>18</v>
      </c>
    </row>
    <row r="24" spans="1:1">
      <c r="A24" s="3" t="s">
        <v>19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showGridLines="0" workbookViewId="0">
      <pane ySplit="1" topLeftCell="A2" activePane="bottomLeft" state="frozen"/>
      <selection pane="bottomLeft" activeCell="E14" sqref="E14"/>
    </sheetView>
  </sheetViews>
  <sheetFormatPr defaultRowHeight="14.5"/>
  <cols>
    <col min="1" max="1" width="12" customWidth="1"/>
    <col min="2" max="2" width="22" customWidth="1"/>
    <col min="3" max="3" width="12" customWidth="1"/>
    <col min="4" max="6" width="18" style="6" customWidth="1"/>
    <col min="7" max="7" width="30" customWidth="1"/>
  </cols>
  <sheetData>
    <row r="1" spans="1:7" s="4" customFormat="1">
      <c r="A1" s="21" t="s">
        <v>67</v>
      </c>
      <c r="B1" s="22" t="s">
        <v>3792</v>
      </c>
      <c r="C1" s="22" t="s">
        <v>68</v>
      </c>
      <c r="D1" s="38" t="s">
        <v>3793</v>
      </c>
      <c r="E1" s="38" t="s">
        <v>3794</v>
      </c>
      <c r="F1" s="38" t="s">
        <v>3795</v>
      </c>
      <c r="G1" s="23" t="s">
        <v>85</v>
      </c>
    </row>
    <row r="2" spans="1:7">
      <c r="A2" s="24" t="s">
        <v>70</v>
      </c>
      <c r="B2" s="25" t="s">
        <v>3796</v>
      </c>
      <c r="C2" s="25" t="s">
        <v>71</v>
      </c>
      <c r="D2" s="37">
        <v>132840000</v>
      </c>
      <c r="E2" s="37">
        <v>-98120000</v>
      </c>
      <c r="F2" s="37">
        <v>34720000</v>
      </c>
      <c r="G2" s="26" t="s">
        <v>3</v>
      </c>
    </row>
    <row r="3" spans="1:7">
      <c r="A3" s="24" t="s">
        <v>70</v>
      </c>
      <c r="B3" s="25" t="s">
        <v>3797</v>
      </c>
      <c r="C3" s="25" t="s">
        <v>72</v>
      </c>
      <c r="D3" s="37">
        <v>14820</v>
      </c>
      <c r="E3" s="37">
        <v>-1460</v>
      </c>
      <c r="F3" s="37">
        <v>13360</v>
      </c>
      <c r="G3" s="26" t="s">
        <v>3798</v>
      </c>
    </row>
    <row r="4" spans="1:7">
      <c r="A4" s="24" t="s">
        <v>74</v>
      </c>
      <c r="B4" s="25" t="s">
        <v>3796</v>
      </c>
      <c r="C4" s="25" t="s">
        <v>71</v>
      </c>
      <c r="D4" s="37">
        <v>141980000</v>
      </c>
      <c r="E4" s="37">
        <v>-106410000</v>
      </c>
      <c r="F4" s="37">
        <v>35570000</v>
      </c>
      <c r="G4" s="26" t="s">
        <v>3799</v>
      </c>
    </row>
    <row r="5" spans="1:7">
      <c r="A5" s="24" t="s">
        <v>74</v>
      </c>
      <c r="B5" s="25" t="s">
        <v>3797</v>
      </c>
      <c r="C5" s="25" t="s">
        <v>72</v>
      </c>
      <c r="D5" s="37">
        <v>16320</v>
      </c>
      <c r="E5" s="37">
        <v>-1640</v>
      </c>
      <c r="F5" s="37">
        <v>14680</v>
      </c>
      <c r="G5" s="26" t="s">
        <v>3</v>
      </c>
    </row>
    <row r="6" spans="1:7">
      <c r="A6" s="24" t="s">
        <v>75</v>
      </c>
      <c r="B6" s="25" t="s">
        <v>3796</v>
      </c>
      <c r="C6" s="25" t="s">
        <v>71</v>
      </c>
      <c r="D6" s="37">
        <v>152410000</v>
      </c>
      <c r="E6" s="37">
        <v>-109840000</v>
      </c>
      <c r="F6" s="37">
        <v>42570000</v>
      </c>
      <c r="G6" s="26" t="s">
        <v>3</v>
      </c>
    </row>
    <row r="7" spans="1:7">
      <c r="A7" s="27" t="s">
        <v>75</v>
      </c>
      <c r="B7" s="28" t="s">
        <v>3797</v>
      </c>
      <c r="C7" s="28" t="s">
        <v>72</v>
      </c>
      <c r="D7" s="39">
        <v>18940</v>
      </c>
      <c r="E7" s="39">
        <v>-1710</v>
      </c>
      <c r="F7" s="39">
        <v>17230</v>
      </c>
      <c r="G7" s="29" t="s">
        <v>3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showGridLines="0" workbookViewId="0">
      <pane ySplit="1" topLeftCell="A2" activePane="bottomLeft" state="frozen"/>
      <selection pane="bottomLeft" activeCell="B24" sqref="B24"/>
    </sheetView>
  </sheetViews>
  <sheetFormatPr defaultRowHeight="14.5"/>
  <cols>
    <col min="1" max="1" width="16" customWidth="1"/>
    <col min="2" max="2" width="32" customWidth="1"/>
    <col min="3" max="3" width="14" customWidth="1"/>
    <col min="4" max="4" width="18" customWidth="1"/>
  </cols>
  <sheetData>
    <row r="1" spans="1:4" s="4" customFormat="1">
      <c r="A1" s="21" t="s">
        <v>20</v>
      </c>
      <c r="B1" s="22" t="s">
        <v>21</v>
      </c>
      <c r="C1" s="22" t="s">
        <v>22</v>
      </c>
      <c r="D1" s="23" t="s">
        <v>23</v>
      </c>
    </row>
    <row r="2" spans="1:4">
      <c r="A2" s="24" t="s">
        <v>24</v>
      </c>
      <c r="B2" s="25" t="s">
        <v>25</v>
      </c>
      <c r="C2" s="25" t="s">
        <v>26</v>
      </c>
      <c r="D2" s="26" t="s">
        <v>26</v>
      </c>
    </row>
    <row r="3" spans="1:4">
      <c r="A3" s="24" t="s">
        <v>27</v>
      </c>
      <c r="B3" s="25" t="s">
        <v>28</v>
      </c>
      <c r="C3" s="25" t="s">
        <v>26</v>
      </c>
      <c r="D3" s="26" t="s">
        <v>26</v>
      </c>
    </row>
    <row r="4" spans="1:4">
      <c r="A4" s="24" t="s">
        <v>29</v>
      </c>
      <c r="B4" s="25" t="s">
        <v>30</v>
      </c>
      <c r="C4" s="25" t="s">
        <v>26</v>
      </c>
      <c r="D4" s="26" t="s">
        <v>26</v>
      </c>
    </row>
    <row r="5" spans="1:4">
      <c r="A5" s="24" t="s">
        <v>31</v>
      </c>
      <c r="B5" s="25" t="s">
        <v>32</v>
      </c>
      <c r="C5" s="25" t="s">
        <v>26</v>
      </c>
      <c r="D5" s="26" t="s">
        <v>26</v>
      </c>
    </row>
    <row r="6" spans="1:4">
      <c r="A6" s="24" t="s">
        <v>33</v>
      </c>
      <c r="B6" s="25" t="s">
        <v>34</v>
      </c>
      <c r="C6" s="25" t="s">
        <v>35</v>
      </c>
      <c r="D6" s="26" t="s">
        <v>35</v>
      </c>
    </row>
    <row r="7" spans="1:4">
      <c r="A7" s="24" t="s">
        <v>36</v>
      </c>
      <c r="B7" s="25" t="s">
        <v>37</v>
      </c>
      <c r="C7" s="25" t="s">
        <v>35</v>
      </c>
      <c r="D7" s="26" t="s">
        <v>35</v>
      </c>
    </row>
    <row r="8" spans="1:4">
      <c r="A8" s="24" t="s">
        <v>38</v>
      </c>
      <c r="B8" s="25" t="s">
        <v>39</v>
      </c>
      <c r="C8" s="25" t="s">
        <v>35</v>
      </c>
      <c r="D8" s="26" t="s">
        <v>35</v>
      </c>
    </row>
    <row r="9" spans="1:4">
      <c r="A9" s="24" t="s">
        <v>40</v>
      </c>
      <c r="B9" s="25" t="s">
        <v>41</v>
      </c>
      <c r="C9" s="25" t="s">
        <v>35</v>
      </c>
      <c r="D9" s="26" t="s">
        <v>35</v>
      </c>
    </row>
    <row r="10" spans="1:4">
      <c r="A10" s="24" t="s">
        <v>42</v>
      </c>
      <c r="B10" s="25" t="s">
        <v>43</v>
      </c>
      <c r="C10" s="25" t="s">
        <v>35</v>
      </c>
      <c r="D10" s="26" t="s">
        <v>35</v>
      </c>
    </row>
    <row r="11" spans="1:4">
      <c r="A11" s="24" t="s">
        <v>44</v>
      </c>
      <c r="B11" s="25" t="s">
        <v>45</v>
      </c>
      <c r="C11" s="25" t="s">
        <v>35</v>
      </c>
      <c r="D11" s="26" t="s">
        <v>35</v>
      </c>
    </row>
    <row r="12" spans="1:4">
      <c r="A12" s="24" t="s">
        <v>46</v>
      </c>
      <c r="B12" s="25" t="s">
        <v>47</v>
      </c>
      <c r="C12" s="25" t="s">
        <v>48</v>
      </c>
      <c r="D12" s="26" t="s">
        <v>48</v>
      </c>
    </row>
    <row r="13" spans="1:4">
      <c r="A13" s="24" t="s">
        <v>49</v>
      </c>
      <c r="B13" s="25" t="s">
        <v>50</v>
      </c>
      <c r="C13" s="25" t="s">
        <v>48</v>
      </c>
      <c r="D13" s="26" t="s">
        <v>48</v>
      </c>
    </row>
    <row r="14" spans="1:4">
      <c r="A14" s="24" t="s">
        <v>51</v>
      </c>
      <c r="B14" s="25" t="s">
        <v>52</v>
      </c>
      <c r="C14" s="25" t="s">
        <v>48</v>
      </c>
      <c r="D14" s="26" t="s">
        <v>48</v>
      </c>
    </row>
    <row r="15" spans="1:4">
      <c r="A15" s="24" t="s">
        <v>53</v>
      </c>
      <c r="B15" s="25" t="s">
        <v>54</v>
      </c>
      <c r="C15" s="25" t="s">
        <v>48</v>
      </c>
      <c r="D15" s="26" t="s">
        <v>48</v>
      </c>
    </row>
    <row r="16" spans="1:4">
      <c r="A16" s="24" t="s">
        <v>55</v>
      </c>
      <c r="B16" s="25" t="s">
        <v>56</v>
      </c>
      <c r="C16" s="25" t="s">
        <v>48</v>
      </c>
      <c r="D16" s="26" t="s">
        <v>48</v>
      </c>
    </row>
    <row r="17" spans="1:4">
      <c r="A17" s="24" t="s">
        <v>57</v>
      </c>
      <c r="B17" s="25" t="s">
        <v>58</v>
      </c>
      <c r="C17" s="25" t="s">
        <v>48</v>
      </c>
      <c r="D17" s="26" t="s">
        <v>48</v>
      </c>
    </row>
    <row r="18" spans="1:4">
      <c r="A18" s="24" t="s">
        <v>59</v>
      </c>
      <c r="B18" s="25" t="s">
        <v>60</v>
      </c>
      <c r="C18" s="25" t="s">
        <v>48</v>
      </c>
      <c r="D18" s="26" t="s">
        <v>48</v>
      </c>
    </row>
    <row r="19" spans="1:4">
      <c r="A19" s="24" t="s">
        <v>61</v>
      </c>
      <c r="B19" s="25" t="s">
        <v>62</v>
      </c>
      <c r="C19" s="25" t="s">
        <v>48</v>
      </c>
      <c r="D19" s="26" t="s">
        <v>48</v>
      </c>
    </row>
    <row r="20" spans="1:4">
      <c r="A20" s="24" t="s">
        <v>63</v>
      </c>
      <c r="B20" s="25" t="s">
        <v>64</v>
      </c>
      <c r="C20" s="25" t="s">
        <v>48</v>
      </c>
      <c r="D20" s="26" t="s">
        <v>48</v>
      </c>
    </row>
    <row r="21" spans="1:4">
      <c r="A21" s="27" t="s">
        <v>65</v>
      </c>
      <c r="B21" s="28" t="s">
        <v>66</v>
      </c>
      <c r="C21" s="28" t="s">
        <v>48</v>
      </c>
      <c r="D21" s="29" t="s">
        <v>48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showGridLines="0" workbookViewId="0">
      <pane ySplit="1" topLeftCell="A2" activePane="bottomLeft" state="frozen"/>
      <selection pane="bottomLeft" activeCell="H9" sqref="H9"/>
    </sheetView>
  </sheetViews>
  <sheetFormatPr defaultRowHeight="14.5"/>
  <cols>
    <col min="1" max="2" width="14" customWidth="1"/>
    <col min="3" max="3" width="16" style="5" customWidth="1"/>
    <col min="4" max="4" width="11.26953125" bestFit="1" customWidth="1"/>
  </cols>
  <sheetData>
    <row r="1" spans="1:4" s="4" customFormat="1">
      <c r="A1" s="21" t="s">
        <v>67</v>
      </c>
      <c r="B1" s="22" t="s">
        <v>68</v>
      </c>
      <c r="C1" s="30" t="s">
        <v>69</v>
      </c>
      <c r="D1" s="31" t="s">
        <v>3800</v>
      </c>
    </row>
    <row r="2" spans="1:4">
      <c r="A2" s="24" t="s">
        <v>70</v>
      </c>
      <c r="B2" s="25" t="s">
        <v>71</v>
      </c>
      <c r="C2" s="32">
        <v>1</v>
      </c>
      <c r="D2" s="26" t="str">
        <f>tbl_FX[[#This Row],[Month]] &amp; tbl_FX[[#This Row],[Currency]]</f>
        <v>2025-07NGN</v>
      </c>
    </row>
    <row r="3" spans="1:4">
      <c r="A3" s="24" t="s">
        <v>70</v>
      </c>
      <c r="B3" s="25" t="s">
        <v>72</v>
      </c>
      <c r="C3" s="32">
        <v>1530</v>
      </c>
      <c r="D3" s="26" t="str">
        <f>tbl_FX[[#This Row],[Month]] &amp; tbl_FX[[#This Row],[Currency]]</f>
        <v>2025-07USD</v>
      </c>
    </row>
    <row r="4" spans="1:4">
      <c r="A4" s="24" t="s">
        <v>70</v>
      </c>
      <c r="B4" s="25" t="s">
        <v>73</v>
      </c>
      <c r="C4" s="32">
        <v>102</v>
      </c>
      <c r="D4" s="26" t="str">
        <f>tbl_FX[[#This Row],[Month]] &amp; tbl_FX[[#This Row],[Currency]]</f>
        <v>2025-07GHS</v>
      </c>
    </row>
    <row r="5" spans="1:4">
      <c r="A5" s="24" t="s">
        <v>74</v>
      </c>
      <c r="B5" s="25" t="s">
        <v>71</v>
      </c>
      <c r="C5" s="32">
        <v>1</v>
      </c>
      <c r="D5" s="26" t="str">
        <f>tbl_FX[[#This Row],[Month]] &amp; tbl_FX[[#This Row],[Currency]]</f>
        <v>2025-08NGN</v>
      </c>
    </row>
    <row r="6" spans="1:4">
      <c r="A6" s="24" t="s">
        <v>74</v>
      </c>
      <c r="B6" s="25" t="s">
        <v>72</v>
      </c>
      <c r="C6" s="32">
        <v>1572</v>
      </c>
      <c r="D6" s="26" t="str">
        <f>tbl_FX[[#This Row],[Month]] &amp; tbl_FX[[#This Row],[Currency]]</f>
        <v>2025-08USD</v>
      </c>
    </row>
    <row r="7" spans="1:4">
      <c r="A7" s="24" t="s">
        <v>74</v>
      </c>
      <c r="B7" s="25" t="s">
        <v>73</v>
      </c>
      <c r="C7" s="32">
        <v>99</v>
      </c>
      <c r="D7" s="26" t="str">
        <f>tbl_FX[[#This Row],[Month]] &amp; tbl_FX[[#This Row],[Currency]]</f>
        <v>2025-08GHS</v>
      </c>
    </row>
    <row r="8" spans="1:4">
      <c r="A8" s="24" t="s">
        <v>75</v>
      </c>
      <c r="B8" s="25" t="s">
        <v>71</v>
      </c>
      <c r="C8" s="32">
        <v>1</v>
      </c>
      <c r="D8" s="26" t="str">
        <f>tbl_FX[[#This Row],[Month]] &amp; tbl_FX[[#This Row],[Currency]]</f>
        <v>2025-09NGN</v>
      </c>
    </row>
    <row r="9" spans="1:4">
      <c r="A9" s="24" t="s">
        <v>75</v>
      </c>
      <c r="B9" s="25" t="s">
        <v>72</v>
      </c>
      <c r="C9" s="32">
        <v>1611</v>
      </c>
      <c r="D9" s="26" t="str">
        <f>tbl_FX[[#This Row],[Month]] &amp; tbl_FX[[#This Row],[Currency]]</f>
        <v>2025-09USD</v>
      </c>
    </row>
    <row r="10" spans="1:4">
      <c r="A10" s="27" t="s">
        <v>75</v>
      </c>
      <c r="B10" s="28" t="s">
        <v>73</v>
      </c>
      <c r="C10" s="33">
        <v>96</v>
      </c>
      <c r="D10" s="29" t="str">
        <f>tbl_FX[[#This Row],[Month]] &amp; tbl_FX[[#This Row],[Currency]]</f>
        <v>2025-09GHS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436"/>
  <sheetViews>
    <sheetView showGridLines="0" topLeftCell="N1" workbookViewId="0">
      <pane ySplit="1" topLeftCell="A1413" activePane="bottomLeft" state="frozen"/>
      <selection pane="bottomLeft" activeCell="W1422" sqref="W1422"/>
    </sheetView>
  </sheetViews>
  <sheetFormatPr defaultRowHeight="14.5"/>
  <cols>
    <col min="1" max="2" width="12" customWidth="1"/>
    <col min="3" max="3" width="15.453125" customWidth="1"/>
    <col min="4" max="5" width="16" customWidth="1"/>
    <col min="6" max="6" width="14.90625" style="12" customWidth="1"/>
    <col min="7" max="7" width="28" customWidth="1"/>
    <col min="8" max="8" width="38" customWidth="1"/>
    <col min="9" max="9" width="10.26953125" customWidth="1"/>
    <col min="10" max="10" width="16" style="6" customWidth="1"/>
    <col min="11" max="11" width="24" customWidth="1"/>
    <col min="12" max="12" width="18" customWidth="1"/>
    <col min="13" max="14" width="26" customWidth="1"/>
    <col min="15" max="15" width="18.08984375" customWidth="1"/>
    <col min="16" max="16" width="14.54296875" bestFit="1" customWidth="1"/>
    <col min="17" max="17" width="23.54296875" bestFit="1" customWidth="1"/>
    <col min="18" max="18" width="14.90625" bestFit="1" customWidth="1"/>
    <col min="19" max="19" width="11.7265625" bestFit="1" customWidth="1"/>
    <col min="20" max="20" width="15.6328125" bestFit="1" customWidth="1"/>
  </cols>
  <sheetData>
    <row r="1" spans="1:20" s="4" customFormat="1">
      <c r="A1" s="4" t="s">
        <v>76</v>
      </c>
      <c r="B1" s="8" t="s">
        <v>77</v>
      </c>
      <c r="C1" s="4" t="s">
        <v>78</v>
      </c>
      <c r="D1" s="4" t="s">
        <v>79</v>
      </c>
      <c r="E1" s="4" t="s">
        <v>80</v>
      </c>
      <c r="F1" s="11" t="s">
        <v>20</v>
      </c>
      <c r="G1" s="4" t="s">
        <v>21</v>
      </c>
      <c r="H1" s="4" t="s">
        <v>81</v>
      </c>
      <c r="I1" s="4" t="s">
        <v>68</v>
      </c>
      <c r="J1" s="9" t="s">
        <v>82</v>
      </c>
      <c r="K1" s="4" t="s">
        <v>83</v>
      </c>
      <c r="L1" s="4" t="s">
        <v>84</v>
      </c>
      <c r="M1" s="4" t="s">
        <v>85</v>
      </c>
      <c r="N1" s="34" t="s">
        <v>67</v>
      </c>
      <c r="O1" s="34" t="s">
        <v>3800</v>
      </c>
      <c r="P1" s="35" t="s">
        <v>69</v>
      </c>
      <c r="Q1" s="35" t="s">
        <v>3801</v>
      </c>
      <c r="R1" s="36" t="s">
        <v>3802</v>
      </c>
      <c r="S1" s="35" t="s">
        <v>23</v>
      </c>
      <c r="T1" s="35" t="s">
        <v>3803</v>
      </c>
    </row>
    <row r="2" spans="1:20">
      <c r="A2" t="s">
        <v>86</v>
      </c>
      <c r="B2" s="7">
        <v>45839</v>
      </c>
      <c r="C2" t="s">
        <v>87</v>
      </c>
      <c r="D2" t="s">
        <v>88</v>
      </c>
      <c r="E2" t="s">
        <v>3</v>
      </c>
      <c r="F2" t="s">
        <v>40</v>
      </c>
      <c r="G2" t="s">
        <v>41</v>
      </c>
      <c r="H2" t="s">
        <v>89</v>
      </c>
      <c r="I2" t="s">
        <v>71</v>
      </c>
      <c r="J2" s="6">
        <v>-240000</v>
      </c>
      <c r="K2" t="s">
        <v>90</v>
      </c>
      <c r="L2" t="s">
        <v>91</v>
      </c>
      <c r="M2" t="s">
        <v>3</v>
      </c>
      <c r="N2" s="25" t="str">
        <f>TEXT(tbl_Ledger[[#This Row],[Date]],"yyyy-mm")</f>
        <v>2025-07</v>
      </c>
      <c r="O2" s="25" t="str">
        <f>TEXT(tbl_Ledger[[#This Row],[Date]],"yyyy-mm") &amp; TRIM(tbl_Ledger[[#This Row],[Currency]])</f>
        <v>2025-07NGN</v>
      </c>
      <c r="P2" s="25">
        <f>_xlfn.XLOOKUP(tbl_Ledger[[#This Row],[Key]], tbl_FX[Key], tbl_FX[Rate_to_NGN])</f>
        <v>1</v>
      </c>
      <c r="Q2" s="37">
        <f>IF(tbl_Ledger[[#This Row],[Account_Type]]="Expense",-ABS(tbl_Ledger[[#This Row],[Amount]]*tbl_Ledger[[#This Row],[Rate_to_NGN]]),tbl_Ledger[[#This Row],[Amount]]*tbl_Ledger[[#This Row],[Rate_to_NGN]])</f>
        <v>-240000</v>
      </c>
      <c r="R2" s="25" t="str">
        <f>_xlfn.XLOOKUP(tbl_Ledger[[#This Row],[Account_Code]], tbl_Accounts[Account_Code], tbl_Accounts[Type])</f>
        <v>COGS</v>
      </c>
      <c r="S2" s="25" t="str">
        <f>_xlfn.XLOOKUP(tbl_Ledger[[#This Row],[Account_Code]], tbl_Accounts[Account_Code], tbl_Accounts[PL_Bucket])</f>
        <v>COGS</v>
      </c>
      <c r="T2" s="25">
        <f t="shared" ref="T2:T65" si="0">IF(AND(S2="Revenue",F2&lt;&gt;4900),ABS(Q2),-ABS(Q2))</f>
        <v>-240000</v>
      </c>
    </row>
    <row r="3" spans="1:20">
      <c r="A3" t="s">
        <v>92</v>
      </c>
      <c r="B3" s="7">
        <v>45839</v>
      </c>
      <c r="C3" t="s">
        <v>93</v>
      </c>
      <c r="D3" t="s">
        <v>94</v>
      </c>
      <c r="E3" t="s">
        <v>95</v>
      </c>
      <c r="F3" s="12" t="s">
        <v>24</v>
      </c>
      <c r="G3" t="s">
        <v>25</v>
      </c>
      <c r="H3" t="s">
        <v>96</v>
      </c>
      <c r="I3" t="s">
        <v>71</v>
      </c>
      <c r="J3" s="6">
        <v>27600</v>
      </c>
      <c r="K3" t="s">
        <v>3</v>
      </c>
      <c r="L3" t="s">
        <v>97</v>
      </c>
      <c r="M3" t="s">
        <v>3</v>
      </c>
      <c r="N3" s="25" t="str">
        <f>TEXT(tbl_Ledger[[#This Row],[Date]],"yyyy-mm")</f>
        <v>2025-07</v>
      </c>
      <c r="O3" s="25" t="str">
        <f>TEXT(tbl_Ledger[[#This Row],[Date]],"yyyy-mm") &amp; TRIM(tbl_Ledger[[#This Row],[Currency]])</f>
        <v>2025-07NGN</v>
      </c>
      <c r="P3" s="25">
        <f>_xlfn.XLOOKUP(tbl_Ledger[[#This Row],[Key]], tbl_FX[Key], tbl_FX[Rate_to_NGN])</f>
        <v>1</v>
      </c>
      <c r="Q3" s="37">
        <f>IF(tbl_Ledger[[#This Row],[Account_Type]]="Expense",-ABS(tbl_Ledger[[#This Row],[Amount]]*tbl_Ledger[[#This Row],[Rate_to_NGN]]),tbl_Ledger[[#This Row],[Amount]]*tbl_Ledger[[#This Row],[Rate_to_NGN]])</f>
        <v>27600</v>
      </c>
      <c r="R3" s="25" t="str">
        <f>_xlfn.XLOOKUP(tbl_Ledger[[#This Row],[Account_Code]], tbl_Accounts[Account_Code], tbl_Accounts[Type])</f>
        <v>Revenue</v>
      </c>
      <c r="S3" s="25" t="str">
        <f>_xlfn.XLOOKUP(tbl_Ledger[[#This Row],[Account_Code]], tbl_Accounts[Account_Code], tbl_Accounts[PL_Bucket])</f>
        <v>Revenue</v>
      </c>
      <c r="T3" s="25">
        <f t="shared" si="0"/>
        <v>27600</v>
      </c>
    </row>
    <row r="4" spans="1:20">
      <c r="A4" t="s">
        <v>98</v>
      </c>
      <c r="B4" s="7">
        <v>45839</v>
      </c>
      <c r="C4" t="s">
        <v>93</v>
      </c>
      <c r="D4" t="s">
        <v>94</v>
      </c>
      <c r="E4" t="s">
        <v>99</v>
      </c>
      <c r="F4" s="12" t="s">
        <v>24</v>
      </c>
      <c r="G4" t="s">
        <v>25</v>
      </c>
      <c r="H4" t="s">
        <v>100</v>
      </c>
      <c r="I4" t="s">
        <v>71</v>
      </c>
      <c r="J4" s="6">
        <v>29800</v>
      </c>
      <c r="K4" t="s">
        <v>3</v>
      </c>
      <c r="L4" t="s">
        <v>101</v>
      </c>
      <c r="M4" t="s">
        <v>3</v>
      </c>
      <c r="N4" s="25" t="str">
        <f>TEXT(tbl_Ledger[[#This Row],[Date]],"yyyy-mm")</f>
        <v>2025-07</v>
      </c>
      <c r="O4" s="25" t="str">
        <f>TEXT(tbl_Ledger[[#This Row],[Date]],"yyyy-mm") &amp; TRIM(tbl_Ledger[[#This Row],[Currency]])</f>
        <v>2025-07NGN</v>
      </c>
      <c r="P4" s="25">
        <f>_xlfn.XLOOKUP(tbl_Ledger[[#This Row],[Key]], tbl_FX[Key], tbl_FX[Rate_to_NGN])</f>
        <v>1</v>
      </c>
      <c r="Q4" s="37">
        <f>IF(tbl_Ledger[[#This Row],[Account_Type]]="Expense",-ABS(tbl_Ledger[[#This Row],[Amount]]*tbl_Ledger[[#This Row],[Rate_to_NGN]]),tbl_Ledger[[#This Row],[Amount]]*tbl_Ledger[[#This Row],[Rate_to_NGN]])</f>
        <v>29800</v>
      </c>
      <c r="R4" s="25" t="str">
        <f>_xlfn.XLOOKUP(tbl_Ledger[[#This Row],[Account_Code]], tbl_Accounts[Account_Code], tbl_Accounts[Type])</f>
        <v>Revenue</v>
      </c>
      <c r="S4" s="25" t="str">
        <f>_xlfn.XLOOKUP(tbl_Ledger[[#This Row],[Account_Code]], tbl_Accounts[Account_Code], tbl_Accounts[PL_Bucket])</f>
        <v>Revenue</v>
      </c>
      <c r="T4" s="25">
        <f t="shared" si="0"/>
        <v>29800</v>
      </c>
    </row>
    <row r="5" spans="1:20">
      <c r="A5" t="s">
        <v>102</v>
      </c>
      <c r="B5" s="7">
        <v>45839</v>
      </c>
      <c r="C5" t="s">
        <v>93</v>
      </c>
      <c r="D5" t="s">
        <v>94</v>
      </c>
      <c r="E5" t="s">
        <v>103</v>
      </c>
      <c r="F5" s="12" t="s">
        <v>24</v>
      </c>
      <c r="G5" t="s">
        <v>25</v>
      </c>
      <c r="H5" t="s">
        <v>104</v>
      </c>
      <c r="I5" t="s">
        <v>71</v>
      </c>
      <c r="J5" s="6">
        <v>29500</v>
      </c>
      <c r="K5" t="s">
        <v>3</v>
      </c>
      <c r="L5" t="s">
        <v>105</v>
      </c>
      <c r="M5" t="s">
        <v>3</v>
      </c>
      <c r="N5" s="25" t="str">
        <f>TEXT(tbl_Ledger[[#This Row],[Date]],"yyyy-mm")</f>
        <v>2025-07</v>
      </c>
      <c r="O5" s="25" t="str">
        <f>TEXT(tbl_Ledger[[#This Row],[Date]],"yyyy-mm") &amp; TRIM(tbl_Ledger[[#This Row],[Currency]])</f>
        <v>2025-07NGN</v>
      </c>
      <c r="P5" s="25">
        <f>_xlfn.XLOOKUP(tbl_Ledger[[#This Row],[Key]], tbl_FX[Key], tbl_FX[Rate_to_NGN])</f>
        <v>1</v>
      </c>
      <c r="Q5" s="37">
        <f>IF(tbl_Ledger[[#This Row],[Account_Type]]="Expense",-ABS(tbl_Ledger[[#This Row],[Amount]]*tbl_Ledger[[#This Row],[Rate_to_NGN]]),tbl_Ledger[[#This Row],[Amount]]*tbl_Ledger[[#This Row],[Rate_to_NGN]])</f>
        <v>29500</v>
      </c>
      <c r="R5" s="25" t="str">
        <f>_xlfn.XLOOKUP(tbl_Ledger[[#This Row],[Account_Code]], tbl_Accounts[Account_Code], tbl_Accounts[Type])</f>
        <v>Revenue</v>
      </c>
      <c r="S5" s="25" t="str">
        <f>_xlfn.XLOOKUP(tbl_Ledger[[#This Row],[Account_Code]], tbl_Accounts[Account_Code], tbl_Accounts[PL_Bucket])</f>
        <v>Revenue</v>
      </c>
      <c r="T5" s="25">
        <f t="shared" si="0"/>
        <v>29500</v>
      </c>
    </row>
    <row r="6" spans="1:20">
      <c r="A6" t="s">
        <v>106</v>
      </c>
      <c r="B6" s="7">
        <v>45839</v>
      </c>
      <c r="C6" t="s">
        <v>93</v>
      </c>
      <c r="D6" t="s">
        <v>94</v>
      </c>
      <c r="E6" t="s">
        <v>107</v>
      </c>
      <c r="F6" s="12" t="s">
        <v>24</v>
      </c>
      <c r="G6" t="s">
        <v>25</v>
      </c>
      <c r="H6" t="s">
        <v>108</v>
      </c>
      <c r="I6" t="s">
        <v>71</v>
      </c>
      <c r="J6" s="6">
        <v>31400</v>
      </c>
      <c r="K6" t="s">
        <v>3</v>
      </c>
      <c r="L6" t="s">
        <v>109</v>
      </c>
      <c r="M6" t="s">
        <v>3</v>
      </c>
      <c r="N6" s="25" t="str">
        <f>TEXT(tbl_Ledger[[#This Row],[Date]],"yyyy-mm")</f>
        <v>2025-07</v>
      </c>
      <c r="O6" s="25" t="str">
        <f>TEXT(tbl_Ledger[[#This Row],[Date]],"yyyy-mm") &amp; TRIM(tbl_Ledger[[#This Row],[Currency]])</f>
        <v>2025-07NGN</v>
      </c>
      <c r="P6" s="25">
        <f>_xlfn.XLOOKUP(tbl_Ledger[[#This Row],[Key]], tbl_FX[Key], tbl_FX[Rate_to_NGN])</f>
        <v>1</v>
      </c>
      <c r="Q6" s="37">
        <f>IF(tbl_Ledger[[#This Row],[Account_Type]]="Expense",-ABS(tbl_Ledger[[#This Row],[Amount]]*tbl_Ledger[[#This Row],[Rate_to_NGN]]),tbl_Ledger[[#This Row],[Amount]]*tbl_Ledger[[#This Row],[Rate_to_NGN]])</f>
        <v>31400</v>
      </c>
      <c r="R6" s="25" t="str">
        <f>_xlfn.XLOOKUP(tbl_Ledger[[#This Row],[Account_Code]], tbl_Accounts[Account_Code], tbl_Accounts[Type])</f>
        <v>Revenue</v>
      </c>
      <c r="S6" s="25" t="str">
        <f>_xlfn.XLOOKUP(tbl_Ledger[[#This Row],[Account_Code]], tbl_Accounts[Account_Code], tbl_Accounts[PL_Bucket])</f>
        <v>Revenue</v>
      </c>
      <c r="T6" s="25">
        <f t="shared" si="0"/>
        <v>31400</v>
      </c>
    </row>
    <row r="7" spans="1:20">
      <c r="A7" t="s">
        <v>110</v>
      </c>
      <c r="B7" s="7">
        <v>45839</v>
      </c>
      <c r="C7" t="s">
        <v>93</v>
      </c>
      <c r="D7" t="s">
        <v>111</v>
      </c>
      <c r="E7" t="s">
        <v>112</v>
      </c>
      <c r="F7" s="12" t="s">
        <v>24</v>
      </c>
      <c r="G7" t="s">
        <v>25</v>
      </c>
      <c r="H7" t="s">
        <v>113</v>
      </c>
      <c r="I7" t="s">
        <v>71</v>
      </c>
      <c r="J7" s="6">
        <v>48600</v>
      </c>
      <c r="K7" t="s">
        <v>3</v>
      </c>
      <c r="L7" t="s">
        <v>114</v>
      </c>
      <c r="M7" t="s">
        <v>3</v>
      </c>
      <c r="N7" s="25" t="str">
        <f>TEXT(tbl_Ledger[[#This Row],[Date]],"yyyy-mm")</f>
        <v>2025-07</v>
      </c>
      <c r="O7" s="25" t="str">
        <f>TEXT(tbl_Ledger[[#This Row],[Date]],"yyyy-mm") &amp; TRIM(tbl_Ledger[[#This Row],[Currency]])</f>
        <v>2025-07NGN</v>
      </c>
      <c r="P7" s="25">
        <f>_xlfn.XLOOKUP(tbl_Ledger[[#This Row],[Key]], tbl_FX[Key], tbl_FX[Rate_to_NGN])</f>
        <v>1</v>
      </c>
      <c r="Q7" s="37">
        <f>IF(tbl_Ledger[[#This Row],[Account_Type]]="Expense",-ABS(tbl_Ledger[[#This Row],[Amount]]*tbl_Ledger[[#This Row],[Rate_to_NGN]]),tbl_Ledger[[#This Row],[Amount]]*tbl_Ledger[[#This Row],[Rate_to_NGN]])</f>
        <v>48600</v>
      </c>
      <c r="R7" s="25" t="str">
        <f>_xlfn.XLOOKUP(tbl_Ledger[[#This Row],[Account_Code]], tbl_Accounts[Account_Code], tbl_Accounts[Type])</f>
        <v>Revenue</v>
      </c>
      <c r="S7" s="25" t="str">
        <f>_xlfn.XLOOKUP(tbl_Ledger[[#This Row],[Account_Code]], tbl_Accounts[Account_Code], tbl_Accounts[PL_Bucket])</f>
        <v>Revenue</v>
      </c>
      <c r="T7" s="25">
        <f t="shared" si="0"/>
        <v>48600</v>
      </c>
    </row>
    <row r="8" spans="1:20">
      <c r="A8" t="s">
        <v>115</v>
      </c>
      <c r="B8" s="7">
        <v>45839</v>
      </c>
      <c r="C8" t="s">
        <v>93</v>
      </c>
      <c r="D8" t="s">
        <v>111</v>
      </c>
      <c r="E8" t="s">
        <v>116</v>
      </c>
      <c r="F8" s="12" t="s">
        <v>24</v>
      </c>
      <c r="G8" t="s">
        <v>25</v>
      </c>
      <c r="H8" t="s">
        <v>117</v>
      </c>
      <c r="I8" t="s">
        <v>71</v>
      </c>
      <c r="J8" s="6">
        <v>45700</v>
      </c>
      <c r="K8" t="s">
        <v>3</v>
      </c>
      <c r="L8" t="s">
        <v>114</v>
      </c>
      <c r="M8" t="s">
        <v>3</v>
      </c>
      <c r="N8" s="25" t="str">
        <f>TEXT(tbl_Ledger[[#This Row],[Date]],"yyyy-mm")</f>
        <v>2025-07</v>
      </c>
      <c r="O8" s="25" t="str">
        <f>TEXT(tbl_Ledger[[#This Row],[Date]],"yyyy-mm") &amp; TRIM(tbl_Ledger[[#This Row],[Currency]])</f>
        <v>2025-07NGN</v>
      </c>
      <c r="P8" s="25">
        <f>_xlfn.XLOOKUP(tbl_Ledger[[#This Row],[Key]], tbl_FX[Key], tbl_FX[Rate_to_NGN])</f>
        <v>1</v>
      </c>
      <c r="Q8" s="37">
        <f>IF(tbl_Ledger[[#This Row],[Account_Type]]="Expense",-ABS(tbl_Ledger[[#This Row],[Amount]]*tbl_Ledger[[#This Row],[Rate_to_NGN]]),tbl_Ledger[[#This Row],[Amount]]*tbl_Ledger[[#This Row],[Rate_to_NGN]])</f>
        <v>45700</v>
      </c>
      <c r="R8" s="25" t="str">
        <f>_xlfn.XLOOKUP(tbl_Ledger[[#This Row],[Account_Code]], tbl_Accounts[Account_Code], tbl_Accounts[Type])</f>
        <v>Revenue</v>
      </c>
      <c r="S8" s="25" t="str">
        <f>_xlfn.XLOOKUP(tbl_Ledger[[#This Row],[Account_Code]], tbl_Accounts[Account_Code], tbl_Accounts[PL_Bucket])</f>
        <v>Revenue</v>
      </c>
      <c r="T8" s="25">
        <f t="shared" si="0"/>
        <v>45700</v>
      </c>
    </row>
    <row r="9" spans="1:20">
      <c r="A9" t="s">
        <v>118</v>
      </c>
      <c r="B9" s="7">
        <v>45839</v>
      </c>
      <c r="C9" t="s">
        <v>93</v>
      </c>
      <c r="D9" t="s">
        <v>111</v>
      </c>
      <c r="E9" t="s">
        <v>119</v>
      </c>
      <c r="F9" s="12" t="s">
        <v>24</v>
      </c>
      <c r="G9" t="s">
        <v>25</v>
      </c>
      <c r="H9" t="s">
        <v>120</v>
      </c>
      <c r="I9" t="s">
        <v>71</v>
      </c>
      <c r="J9" s="6">
        <v>46300</v>
      </c>
      <c r="K9" t="s">
        <v>3</v>
      </c>
      <c r="L9" t="s">
        <v>114</v>
      </c>
      <c r="M9" t="s">
        <v>3</v>
      </c>
      <c r="N9" s="25" t="str">
        <f>TEXT(tbl_Ledger[[#This Row],[Date]],"yyyy-mm")</f>
        <v>2025-07</v>
      </c>
      <c r="O9" s="25" t="str">
        <f>TEXT(tbl_Ledger[[#This Row],[Date]],"yyyy-mm") &amp; TRIM(tbl_Ledger[[#This Row],[Currency]])</f>
        <v>2025-07NGN</v>
      </c>
      <c r="P9" s="25">
        <f>_xlfn.XLOOKUP(tbl_Ledger[[#This Row],[Key]], tbl_FX[Key], tbl_FX[Rate_to_NGN])</f>
        <v>1</v>
      </c>
      <c r="Q9" s="37">
        <f>IF(tbl_Ledger[[#This Row],[Account_Type]]="Expense",-ABS(tbl_Ledger[[#This Row],[Amount]]*tbl_Ledger[[#This Row],[Rate_to_NGN]]),tbl_Ledger[[#This Row],[Amount]]*tbl_Ledger[[#This Row],[Rate_to_NGN]])</f>
        <v>46300</v>
      </c>
      <c r="R9" s="25" t="str">
        <f>_xlfn.XLOOKUP(tbl_Ledger[[#This Row],[Account_Code]], tbl_Accounts[Account_Code], tbl_Accounts[Type])</f>
        <v>Revenue</v>
      </c>
      <c r="S9" s="25" t="str">
        <f>_xlfn.XLOOKUP(tbl_Ledger[[#This Row],[Account_Code]], tbl_Accounts[Account_Code], tbl_Accounts[PL_Bucket])</f>
        <v>Revenue</v>
      </c>
      <c r="T9" s="25">
        <f t="shared" si="0"/>
        <v>46300</v>
      </c>
    </row>
    <row r="10" spans="1:20">
      <c r="A10" t="s">
        <v>121</v>
      </c>
      <c r="B10" s="7">
        <v>45839</v>
      </c>
      <c r="C10" t="s">
        <v>93</v>
      </c>
      <c r="D10" t="s">
        <v>111</v>
      </c>
      <c r="E10" t="s">
        <v>122</v>
      </c>
      <c r="F10" s="12" t="s">
        <v>24</v>
      </c>
      <c r="G10" t="s">
        <v>25</v>
      </c>
      <c r="H10" t="s">
        <v>123</v>
      </c>
      <c r="I10" t="s">
        <v>71</v>
      </c>
      <c r="J10" s="6">
        <v>49000</v>
      </c>
      <c r="K10" t="s">
        <v>3</v>
      </c>
      <c r="L10" t="s">
        <v>124</v>
      </c>
      <c r="M10" t="s">
        <v>3</v>
      </c>
      <c r="N10" s="25" t="str">
        <f>TEXT(tbl_Ledger[[#This Row],[Date]],"yyyy-mm")</f>
        <v>2025-07</v>
      </c>
      <c r="O10" s="25" t="str">
        <f>TEXT(tbl_Ledger[[#This Row],[Date]],"yyyy-mm") &amp; TRIM(tbl_Ledger[[#This Row],[Currency]])</f>
        <v>2025-07NGN</v>
      </c>
      <c r="P10" s="25">
        <f>_xlfn.XLOOKUP(tbl_Ledger[[#This Row],[Key]], tbl_FX[Key], tbl_FX[Rate_to_NGN])</f>
        <v>1</v>
      </c>
      <c r="Q10" s="37">
        <f>IF(tbl_Ledger[[#This Row],[Account_Type]]="Expense",-ABS(tbl_Ledger[[#This Row],[Amount]]*tbl_Ledger[[#This Row],[Rate_to_NGN]]),tbl_Ledger[[#This Row],[Amount]]*tbl_Ledger[[#This Row],[Rate_to_NGN]])</f>
        <v>49000</v>
      </c>
      <c r="R10" s="25" t="str">
        <f>_xlfn.XLOOKUP(tbl_Ledger[[#This Row],[Account_Code]], tbl_Accounts[Account_Code], tbl_Accounts[Type])</f>
        <v>Revenue</v>
      </c>
      <c r="S10" s="25" t="str">
        <f>_xlfn.XLOOKUP(tbl_Ledger[[#This Row],[Account_Code]], tbl_Accounts[Account_Code], tbl_Accounts[PL_Bucket])</f>
        <v>Revenue</v>
      </c>
      <c r="T10" s="25">
        <f t="shared" si="0"/>
        <v>49000</v>
      </c>
    </row>
    <row r="11" spans="1:20">
      <c r="A11" t="s">
        <v>125</v>
      </c>
      <c r="B11" s="7">
        <v>45839</v>
      </c>
      <c r="C11" t="s">
        <v>126</v>
      </c>
      <c r="D11" t="s">
        <v>88</v>
      </c>
      <c r="E11" t="s">
        <v>127</v>
      </c>
      <c r="F11" s="12" t="s">
        <v>29</v>
      </c>
      <c r="G11" t="s">
        <v>30</v>
      </c>
      <c r="H11" t="s">
        <v>128</v>
      </c>
      <c r="I11" t="s">
        <v>71</v>
      </c>
      <c r="J11" s="6">
        <v>41900</v>
      </c>
      <c r="K11" t="s">
        <v>129</v>
      </c>
      <c r="L11" t="s">
        <v>130</v>
      </c>
      <c r="M11" t="s">
        <v>3</v>
      </c>
      <c r="N11" s="25" t="str">
        <f>TEXT(tbl_Ledger[[#This Row],[Date]],"yyyy-mm")</f>
        <v>2025-07</v>
      </c>
      <c r="O11" s="25" t="str">
        <f>TEXT(tbl_Ledger[[#This Row],[Date]],"yyyy-mm") &amp; TRIM(tbl_Ledger[[#This Row],[Currency]])</f>
        <v>2025-07NGN</v>
      </c>
      <c r="P11" s="25">
        <f>_xlfn.XLOOKUP(tbl_Ledger[[#This Row],[Key]], tbl_FX[Key], tbl_FX[Rate_to_NGN])</f>
        <v>1</v>
      </c>
      <c r="Q11" s="37">
        <f>IF(tbl_Ledger[[#This Row],[Account_Type]]="Expense",-ABS(tbl_Ledger[[#This Row],[Amount]]*tbl_Ledger[[#This Row],[Rate_to_NGN]]),tbl_Ledger[[#This Row],[Amount]]*tbl_Ledger[[#This Row],[Rate_to_NGN]])</f>
        <v>41900</v>
      </c>
      <c r="R11" s="25" t="str">
        <f>_xlfn.XLOOKUP(tbl_Ledger[[#This Row],[Account_Code]], tbl_Accounts[Account_Code], tbl_Accounts[Type])</f>
        <v>Revenue</v>
      </c>
      <c r="S11" s="25" t="str">
        <f>_xlfn.XLOOKUP(tbl_Ledger[[#This Row],[Account_Code]], tbl_Accounts[Account_Code], tbl_Accounts[PL_Bucket])</f>
        <v>Revenue</v>
      </c>
      <c r="T11" s="25">
        <f t="shared" si="0"/>
        <v>41900</v>
      </c>
    </row>
    <row r="12" spans="1:20">
      <c r="A12" t="s">
        <v>131</v>
      </c>
      <c r="B12" s="7">
        <v>45839</v>
      </c>
      <c r="C12" t="s">
        <v>126</v>
      </c>
      <c r="D12" t="s">
        <v>88</v>
      </c>
      <c r="E12" t="s">
        <v>132</v>
      </c>
      <c r="F12" s="12" t="s">
        <v>29</v>
      </c>
      <c r="G12" t="s">
        <v>30</v>
      </c>
      <c r="H12" t="s">
        <v>133</v>
      </c>
      <c r="I12" t="s">
        <v>72</v>
      </c>
      <c r="J12" s="6">
        <v>28.04</v>
      </c>
      <c r="K12" t="s">
        <v>134</v>
      </c>
      <c r="L12" t="s">
        <v>130</v>
      </c>
      <c r="M12" t="s">
        <v>3</v>
      </c>
      <c r="N12" s="25" t="str">
        <f>TEXT(tbl_Ledger[[#This Row],[Date]],"yyyy-mm")</f>
        <v>2025-07</v>
      </c>
      <c r="O12" s="25" t="str">
        <f>TEXT(tbl_Ledger[[#This Row],[Date]],"yyyy-mm") &amp; TRIM(tbl_Ledger[[#This Row],[Currency]])</f>
        <v>2025-07USD</v>
      </c>
      <c r="P12" s="25">
        <f>_xlfn.XLOOKUP(tbl_Ledger[[#This Row],[Key]], tbl_FX[Key], tbl_FX[Rate_to_NGN])</f>
        <v>1530</v>
      </c>
      <c r="Q12" s="37">
        <f>IF(tbl_Ledger[[#This Row],[Account_Type]]="Expense",-ABS(tbl_Ledger[[#This Row],[Amount]]*tbl_Ledger[[#This Row],[Rate_to_NGN]]),tbl_Ledger[[#This Row],[Amount]]*tbl_Ledger[[#This Row],[Rate_to_NGN]])</f>
        <v>42901.2</v>
      </c>
      <c r="R12" s="25" t="str">
        <f>_xlfn.XLOOKUP(tbl_Ledger[[#This Row],[Account_Code]], tbl_Accounts[Account_Code], tbl_Accounts[Type])</f>
        <v>Revenue</v>
      </c>
      <c r="S12" s="25" t="str">
        <f>_xlfn.XLOOKUP(tbl_Ledger[[#This Row],[Account_Code]], tbl_Accounts[Account_Code], tbl_Accounts[PL_Bucket])</f>
        <v>Revenue</v>
      </c>
      <c r="T12" s="25">
        <f t="shared" si="0"/>
        <v>42901.2</v>
      </c>
    </row>
    <row r="13" spans="1:20">
      <c r="A13" t="s">
        <v>135</v>
      </c>
      <c r="B13" s="7">
        <v>45839</v>
      </c>
      <c r="C13" t="s">
        <v>126</v>
      </c>
      <c r="D13" t="s">
        <v>88</v>
      </c>
      <c r="E13" t="s">
        <v>136</v>
      </c>
      <c r="F13" s="12" t="s">
        <v>29</v>
      </c>
      <c r="G13" t="s">
        <v>30</v>
      </c>
      <c r="H13" t="s">
        <v>137</v>
      </c>
      <c r="I13" t="s">
        <v>72</v>
      </c>
      <c r="J13" s="6">
        <v>28.95</v>
      </c>
      <c r="K13" t="s">
        <v>138</v>
      </c>
      <c r="L13" t="s">
        <v>130</v>
      </c>
      <c r="M13" t="s">
        <v>3</v>
      </c>
      <c r="N13" s="25" t="str">
        <f>TEXT(tbl_Ledger[[#This Row],[Date]],"yyyy-mm")</f>
        <v>2025-07</v>
      </c>
      <c r="O13" s="25" t="str">
        <f>TEXT(tbl_Ledger[[#This Row],[Date]],"yyyy-mm") &amp; TRIM(tbl_Ledger[[#This Row],[Currency]])</f>
        <v>2025-07USD</v>
      </c>
      <c r="P13" s="25">
        <f>_xlfn.XLOOKUP(tbl_Ledger[[#This Row],[Key]], tbl_FX[Key], tbl_FX[Rate_to_NGN])</f>
        <v>1530</v>
      </c>
      <c r="Q13" s="37">
        <f>IF(tbl_Ledger[[#This Row],[Account_Type]]="Expense",-ABS(tbl_Ledger[[#This Row],[Amount]]*tbl_Ledger[[#This Row],[Rate_to_NGN]]),tbl_Ledger[[#This Row],[Amount]]*tbl_Ledger[[#This Row],[Rate_to_NGN]])</f>
        <v>44293.5</v>
      </c>
      <c r="R13" s="25" t="str">
        <f>_xlfn.XLOOKUP(tbl_Ledger[[#This Row],[Account_Code]], tbl_Accounts[Account_Code], tbl_Accounts[Type])</f>
        <v>Revenue</v>
      </c>
      <c r="S13" s="25" t="str">
        <f>_xlfn.XLOOKUP(tbl_Ledger[[#This Row],[Account_Code]], tbl_Accounts[Account_Code], tbl_Accounts[PL_Bucket])</f>
        <v>Revenue</v>
      </c>
      <c r="T13" s="25">
        <f t="shared" si="0"/>
        <v>44293.5</v>
      </c>
    </row>
    <row r="14" spans="1:20">
      <c r="A14" t="s">
        <v>139</v>
      </c>
      <c r="B14" s="7">
        <v>45839</v>
      </c>
      <c r="C14" t="s">
        <v>126</v>
      </c>
      <c r="D14" t="s">
        <v>88</v>
      </c>
      <c r="E14" t="s">
        <v>140</v>
      </c>
      <c r="F14" s="12" t="s">
        <v>29</v>
      </c>
      <c r="G14" t="s">
        <v>30</v>
      </c>
      <c r="H14" t="s">
        <v>141</v>
      </c>
      <c r="I14" t="s">
        <v>71</v>
      </c>
      <c r="J14" s="6">
        <v>47700</v>
      </c>
      <c r="K14" t="s">
        <v>3</v>
      </c>
      <c r="L14" t="s">
        <v>142</v>
      </c>
      <c r="M14" t="s">
        <v>3</v>
      </c>
      <c r="N14" s="25" t="str">
        <f>TEXT(tbl_Ledger[[#This Row],[Date]],"yyyy-mm")</f>
        <v>2025-07</v>
      </c>
      <c r="O14" s="25" t="str">
        <f>TEXT(tbl_Ledger[[#This Row],[Date]],"yyyy-mm") &amp; TRIM(tbl_Ledger[[#This Row],[Currency]])</f>
        <v>2025-07NGN</v>
      </c>
      <c r="P14" s="25">
        <f>_xlfn.XLOOKUP(tbl_Ledger[[#This Row],[Key]], tbl_FX[Key], tbl_FX[Rate_to_NGN])</f>
        <v>1</v>
      </c>
      <c r="Q14" s="37">
        <f>IF(tbl_Ledger[[#This Row],[Account_Type]]="Expense",-ABS(tbl_Ledger[[#This Row],[Amount]]*tbl_Ledger[[#This Row],[Rate_to_NGN]]),tbl_Ledger[[#This Row],[Amount]]*tbl_Ledger[[#This Row],[Rate_to_NGN]])</f>
        <v>47700</v>
      </c>
      <c r="R14" s="25" t="str">
        <f>_xlfn.XLOOKUP(tbl_Ledger[[#This Row],[Account_Code]], tbl_Accounts[Account_Code], tbl_Accounts[Type])</f>
        <v>Revenue</v>
      </c>
      <c r="S14" s="25" t="str">
        <f>_xlfn.XLOOKUP(tbl_Ledger[[#This Row],[Account_Code]], tbl_Accounts[Account_Code], tbl_Accounts[PL_Bucket])</f>
        <v>Revenue</v>
      </c>
      <c r="T14" s="25">
        <f t="shared" si="0"/>
        <v>47700</v>
      </c>
    </row>
    <row r="15" spans="1:20">
      <c r="A15" t="s">
        <v>143</v>
      </c>
      <c r="B15" s="7">
        <v>45839</v>
      </c>
      <c r="C15" t="s">
        <v>87</v>
      </c>
      <c r="D15" t="s">
        <v>111</v>
      </c>
      <c r="E15" t="s">
        <v>3</v>
      </c>
      <c r="F15" s="12" t="s">
        <v>36</v>
      </c>
      <c r="G15" t="s">
        <v>37</v>
      </c>
      <c r="H15" t="s">
        <v>144</v>
      </c>
      <c r="I15" t="s">
        <v>71</v>
      </c>
      <c r="J15" s="6">
        <v>-1691000</v>
      </c>
      <c r="K15" t="s">
        <v>145</v>
      </c>
      <c r="L15" t="s">
        <v>146</v>
      </c>
      <c r="M15" t="s">
        <v>3</v>
      </c>
      <c r="N15" s="25" t="str">
        <f>TEXT(tbl_Ledger[[#This Row],[Date]],"yyyy-mm")</f>
        <v>2025-07</v>
      </c>
      <c r="O15" s="25" t="str">
        <f>TEXT(tbl_Ledger[[#This Row],[Date]],"yyyy-mm") &amp; TRIM(tbl_Ledger[[#This Row],[Currency]])</f>
        <v>2025-07NGN</v>
      </c>
      <c r="P15" s="25">
        <f>_xlfn.XLOOKUP(tbl_Ledger[[#This Row],[Key]], tbl_FX[Key], tbl_FX[Rate_to_NGN])</f>
        <v>1</v>
      </c>
      <c r="Q15" s="37">
        <f>IF(tbl_Ledger[[#This Row],[Account_Type]]="Expense",-ABS(tbl_Ledger[[#This Row],[Amount]]*tbl_Ledger[[#This Row],[Rate_to_NGN]]),tbl_Ledger[[#This Row],[Amount]]*tbl_Ledger[[#This Row],[Rate_to_NGN]])</f>
        <v>-1691000</v>
      </c>
      <c r="R15" s="25" t="str">
        <f>_xlfn.XLOOKUP(tbl_Ledger[[#This Row],[Account_Code]], tbl_Accounts[Account_Code], tbl_Accounts[Type])</f>
        <v>COGS</v>
      </c>
      <c r="S15" s="25" t="str">
        <f>_xlfn.XLOOKUP(tbl_Ledger[[#This Row],[Account_Code]], tbl_Accounts[Account_Code], tbl_Accounts[PL_Bucket])</f>
        <v>COGS</v>
      </c>
      <c r="T15" s="25">
        <f t="shared" si="0"/>
        <v>-1691000</v>
      </c>
    </row>
    <row r="16" spans="1:20">
      <c r="A16" t="s">
        <v>147</v>
      </c>
      <c r="B16" s="7">
        <v>45839</v>
      </c>
      <c r="C16" t="s">
        <v>87</v>
      </c>
      <c r="D16" t="s">
        <v>88</v>
      </c>
      <c r="E16" t="s">
        <v>3</v>
      </c>
      <c r="F16" s="12" t="s">
        <v>40</v>
      </c>
      <c r="G16" t="s">
        <v>41</v>
      </c>
      <c r="H16" t="s">
        <v>148</v>
      </c>
      <c r="I16" t="s">
        <v>71</v>
      </c>
      <c r="J16" s="6">
        <v>-522000</v>
      </c>
      <c r="K16" t="s">
        <v>90</v>
      </c>
      <c r="L16" t="s">
        <v>149</v>
      </c>
      <c r="M16" t="s">
        <v>3</v>
      </c>
      <c r="N16" s="25" t="str">
        <f>TEXT(tbl_Ledger[[#This Row],[Date]],"yyyy-mm")</f>
        <v>2025-07</v>
      </c>
      <c r="O16" s="25" t="str">
        <f>TEXT(tbl_Ledger[[#This Row],[Date]],"yyyy-mm") &amp; TRIM(tbl_Ledger[[#This Row],[Currency]])</f>
        <v>2025-07NGN</v>
      </c>
      <c r="P16" s="25">
        <f>_xlfn.XLOOKUP(tbl_Ledger[[#This Row],[Key]], tbl_FX[Key], tbl_FX[Rate_to_NGN])</f>
        <v>1</v>
      </c>
      <c r="Q16" s="37">
        <f>IF(tbl_Ledger[[#This Row],[Account_Type]]="Expense",-ABS(tbl_Ledger[[#This Row],[Amount]]*tbl_Ledger[[#This Row],[Rate_to_NGN]]),tbl_Ledger[[#This Row],[Amount]]*tbl_Ledger[[#This Row],[Rate_to_NGN]])</f>
        <v>-522000</v>
      </c>
      <c r="R16" s="25" t="str">
        <f>_xlfn.XLOOKUP(tbl_Ledger[[#This Row],[Account_Code]], tbl_Accounts[Account_Code], tbl_Accounts[Type])</f>
        <v>COGS</v>
      </c>
      <c r="S16" s="25" t="str">
        <f>_xlfn.XLOOKUP(tbl_Ledger[[#This Row],[Account_Code]], tbl_Accounts[Account_Code], tbl_Accounts[PL_Bucket])</f>
        <v>COGS</v>
      </c>
      <c r="T16" s="25">
        <f t="shared" si="0"/>
        <v>-522000</v>
      </c>
    </row>
    <row r="17" spans="1:20">
      <c r="A17" t="s">
        <v>150</v>
      </c>
      <c r="B17" s="7">
        <v>45840</v>
      </c>
      <c r="C17" t="s">
        <v>93</v>
      </c>
      <c r="D17" t="s">
        <v>94</v>
      </c>
      <c r="E17" t="s">
        <v>95</v>
      </c>
      <c r="F17" s="12" t="s">
        <v>24</v>
      </c>
      <c r="G17" t="s">
        <v>25</v>
      </c>
      <c r="H17" t="s">
        <v>151</v>
      </c>
      <c r="I17" t="s">
        <v>71</v>
      </c>
      <c r="J17" s="6">
        <v>31500</v>
      </c>
      <c r="K17" t="s">
        <v>3</v>
      </c>
      <c r="L17" t="s">
        <v>152</v>
      </c>
      <c r="M17" t="s">
        <v>3</v>
      </c>
      <c r="N17" s="25" t="str">
        <f>TEXT(tbl_Ledger[[#This Row],[Date]],"yyyy-mm")</f>
        <v>2025-07</v>
      </c>
      <c r="O17" s="25" t="str">
        <f>TEXT(tbl_Ledger[[#This Row],[Date]],"yyyy-mm") &amp; TRIM(tbl_Ledger[[#This Row],[Currency]])</f>
        <v>2025-07NGN</v>
      </c>
      <c r="P17" s="25">
        <f>_xlfn.XLOOKUP(tbl_Ledger[[#This Row],[Key]], tbl_FX[Key], tbl_FX[Rate_to_NGN])</f>
        <v>1</v>
      </c>
      <c r="Q17" s="37">
        <f>IF(tbl_Ledger[[#This Row],[Account_Type]]="Expense",-ABS(tbl_Ledger[[#This Row],[Amount]]*tbl_Ledger[[#This Row],[Rate_to_NGN]]),tbl_Ledger[[#This Row],[Amount]]*tbl_Ledger[[#This Row],[Rate_to_NGN]])</f>
        <v>31500</v>
      </c>
      <c r="R17" s="25" t="str">
        <f>_xlfn.XLOOKUP(tbl_Ledger[[#This Row],[Account_Code]], tbl_Accounts[Account_Code], tbl_Accounts[Type])</f>
        <v>Revenue</v>
      </c>
      <c r="S17" s="25" t="str">
        <f>_xlfn.XLOOKUP(tbl_Ledger[[#This Row],[Account_Code]], tbl_Accounts[Account_Code], tbl_Accounts[PL_Bucket])</f>
        <v>Revenue</v>
      </c>
      <c r="T17" s="25">
        <f t="shared" si="0"/>
        <v>31500</v>
      </c>
    </row>
    <row r="18" spans="1:20">
      <c r="A18" t="s">
        <v>153</v>
      </c>
      <c r="B18" s="7">
        <v>45840</v>
      </c>
      <c r="C18" t="s">
        <v>93</v>
      </c>
      <c r="D18" t="s">
        <v>94</v>
      </c>
      <c r="E18" t="s">
        <v>99</v>
      </c>
      <c r="F18" s="12" t="s">
        <v>24</v>
      </c>
      <c r="G18" t="s">
        <v>25</v>
      </c>
      <c r="H18" t="s">
        <v>154</v>
      </c>
      <c r="I18" t="s">
        <v>71</v>
      </c>
      <c r="J18" s="6">
        <v>27600</v>
      </c>
      <c r="K18" t="s">
        <v>3</v>
      </c>
      <c r="L18" t="s">
        <v>155</v>
      </c>
      <c r="M18" t="s">
        <v>3</v>
      </c>
      <c r="N18" s="25" t="str">
        <f>TEXT(tbl_Ledger[[#This Row],[Date]],"yyyy-mm")</f>
        <v>2025-07</v>
      </c>
      <c r="O18" s="25" t="str">
        <f>TEXT(tbl_Ledger[[#This Row],[Date]],"yyyy-mm") &amp; TRIM(tbl_Ledger[[#This Row],[Currency]])</f>
        <v>2025-07NGN</v>
      </c>
      <c r="P18" s="25">
        <f>_xlfn.XLOOKUP(tbl_Ledger[[#This Row],[Key]], tbl_FX[Key], tbl_FX[Rate_to_NGN])</f>
        <v>1</v>
      </c>
      <c r="Q18" s="37">
        <f>IF(tbl_Ledger[[#This Row],[Account_Type]]="Expense",-ABS(tbl_Ledger[[#This Row],[Amount]]*tbl_Ledger[[#This Row],[Rate_to_NGN]]),tbl_Ledger[[#This Row],[Amount]]*tbl_Ledger[[#This Row],[Rate_to_NGN]])</f>
        <v>27600</v>
      </c>
      <c r="R18" s="25" t="str">
        <f>_xlfn.XLOOKUP(tbl_Ledger[[#This Row],[Account_Code]], tbl_Accounts[Account_Code], tbl_Accounts[Type])</f>
        <v>Revenue</v>
      </c>
      <c r="S18" s="25" t="str">
        <f>_xlfn.XLOOKUP(tbl_Ledger[[#This Row],[Account_Code]], tbl_Accounts[Account_Code], tbl_Accounts[PL_Bucket])</f>
        <v>Revenue</v>
      </c>
      <c r="T18" s="25">
        <f t="shared" si="0"/>
        <v>27600</v>
      </c>
    </row>
    <row r="19" spans="1:20">
      <c r="A19" t="s">
        <v>156</v>
      </c>
      <c r="B19" s="7">
        <v>45840</v>
      </c>
      <c r="C19" t="s">
        <v>93</v>
      </c>
      <c r="D19" t="s">
        <v>94</v>
      </c>
      <c r="E19" t="s">
        <v>103</v>
      </c>
      <c r="F19" s="12" t="s">
        <v>24</v>
      </c>
      <c r="G19" t="s">
        <v>25</v>
      </c>
      <c r="H19" t="s">
        <v>157</v>
      </c>
      <c r="I19" t="s">
        <v>71</v>
      </c>
      <c r="J19" s="6">
        <v>27700</v>
      </c>
      <c r="K19" t="s">
        <v>3</v>
      </c>
      <c r="L19" t="s">
        <v>158</v>
      </c>
      <c r="M19" t="s">
        <v>3</v>
      </c>
      <c r="N19" s="25" t="str">
        <f>TEXT(tbl_Ledger[[#This Row],[Date]],"yyyy-mm")</f>
        <v>2025-07</v>
      </c>
      <c r="O19" s="25" t="str">
        <f>TEXT(tbl_Ledger[[#This Row],[Date]],"yyyy-mm") &amp; TRIM(tbl_Ledger[[#This Row],[Currency]])</f>
        <v>2025-07NGN</v>
      </c>
      <c r="P19" s="25">
        <f>_xlfn.XLOOKUP(tbl_Ledger[[#This Row],[Key]], tbl_FX[Key], tbl_FX[Rate_to_NGN])</f>
        <v>1</v>
      </c>
      <c r="Q19" s="37">
        <f>IF(tbl_Ledger[[#This Row],[Account_Type]]="Expense",-ABS(tbl_Ledger[[#This Row],[Amount]]*tbl_Ledger[[#This Row],[Rate_to_NGN]]),tbl_Ledger[[#This Row],[Amount]]*tbl_Ledger[[#This Row],[Rate_to_NGN]])</f>
        <v>27700</v>
      </c>
      <c r="R19" s="25" t="str">
        <f>_xlfn.XLOOKUP(tbl_Ledger[[#This Row],[Account_Code]], tbl_Accounts[Account_Code], tbl_Accounts[Type])</f>
        <v>Revenue</v>
      </c>
      <c r="S19" s="25" t="str">
        <f>_xlfn.XLOOKUP(tbl_Ledger[[#This Row],[Account_Code]], tbl_Accounts[Account_Code], tbl_Accounts[PL_Bucket])</f>
        <v>Revenue</v>
      </c>
      <c r="T19" s="25">
        <f t="shared" si="0"/>
        <v>27700</v>
      </c>
    </row>
    <row r="20" spans="1:20">
      <c r="A20" t="s">
        <v>159</v>
      </c>
      <c r="B20" s="7">
        <v>45840</v>
      </c>
      <c r="C20" t="s">
        <v>93</v>
      </c>
      <c r="D20" t="s">
        <v>94</v>
      </c>
      <c r="E20" t="s">
        <v>160</v>
      </c>
      <c r="F20" s="12" t="s">
        <v>24</v>
      </c>
      <c r="G20" t="s">
        <v>25</v>
      </c>
      <c r="H20" t="s">
        <v>161</v>
      </c>
      <c r="I20" t="s">
        <v>71</v>
      </c>
      <c r="J20" s="6">
        <v>27000</v>
      </c>
      <c r="K20" t="s">
        <v>3</v>
      </c>
      <c r="L20" t="s">
        <v>158</v>
      </c>
      <c r="M20" t="s">
        <v>3</v>
      </c>
      <c r="N20" s="25" t="str">
        <f>TEXT(tbl_Ledger[[#This Row],[Date]],"yyyy-mm")</f>
        <v>2025-07</v>
      </c>
      <c r="O20" s="25" t="str">
        <f>TEXT(tbl_Ledger[[#This Row],[Date]],"yyyy-mm") &amp; TRIM(tbl_Ledger[[#This Row],[Currency]])</f>
        <v>2025-07NGN</v>
      </c>
      <c r="P20" s="25">
        <f>_xlfn.XLOOKUP(tbl_Ledger[[#This Row],[Key]], tbl_FX[Key], tbl_FX[Rate_to_NGN])</f>
        <v>1</v>
      </c>
      <c r="Q20" s="37">
        <f>IF(tbl_Ledger[[#This Row],[Account_Type]]="Expense",-ABS(tbl_Ledger[[#This Row],[Amount]]*tbl_Ledger[[#This Row],[Rate_to_NGN]]),tbl_Ledger[[#This Row],[Amount]]*tbl_Ledger[[#This Row],[Rate_to_NGN]])</f>
        <v>27000</v>
      </c>
      <c r="R20" s="25" t="str">
        <f>_xlfn.XLOOKUP(tbl_Ledger[[#This Row],[Account_Code]], tbl_Accounts[Account_Code], tbl_Accounts[Type])</f>
        <v>Revenue</v>
      </c>
      <c r="S20" s="25" t="str">
        <f>_xlfn.XLOOKUP(tbl_Ledger[[#This Row],[Account_Code]], tbl_Accounts[Account_Code], tbl_Accounts[PL_Bucket])</f>
        <v>Revenue</v>
      </c>
      <c r="T20" s="25">
        <f t="shared" si="0"/>
        <v>27000</v>
      </c>
    </row>
    <row r="21" spans="1:20">
      <c r="A21" t="s">
        <v>162</v>
      </c>
      <c r="B21" s="7">
        <v>45840</v>
      </c>
      <c r="C21" t="s">
        <v>93</v>
      </c>
      <c r="D21" t="s">
        <v>111</v>
      </c>
      <c r="E21" t="s">
        <v>112</v>
      </c>
      <c r="F21" s="12" t="s">
        <v>24</v>
      </c>
      <c r="G21" t="s">
        <v>25</v>
      </c>
      <c r="H21" t="s">
        <v>163</v>
      </c>
      <c r="I21" t="s">
        <v>71</v>
      </c>
      <c r="J21" s="6">
        <v>50900</v>
      </c>
      <c r="K21" t="s">
        <v>3</v>
      </c>
      <c r="L21" t="s">
        <v>164</v>
      </c>
      <c r="M21" t="s">
        <v>3</v>
      </c>
      <c r="N21" s="25" t="str">
        <f>TEXT(tbl_Ledger[[#This Row],[Date]],"yyyy-mm")</f>
        <v>2025-07</v>
      </c>
      <c r="O21" s="25" t="str">
        <f>TEXT(tbl_Ledger[[#This Row],[Date]],"yyyy-mm") &amp; TRIM(tbl_Ledger[[#This Row],[Currency]])</f>
        <v>2025-07NGN</v>
      </c>
      <c r="P21" s="25">
        <f>_xlfn.XLOOKUP(tbl_Ledger[[#This Row],[Key]], tbl_FX[Key], tbl_FX[Rate_to_NGN])</f>
        <v>1</v>
      </c>
      <c r="Q21" s="37">
        <f>IF(tbl_Ledger[[#This Row],[Account_Type]]="Expense",-ABS(tbl_Ledger[[#This Row],[Amount]]*tbl_Ledger[[#This Row],[Rate_to_NGN]]),tbl_Ledger[[#This Row],[Amount]]*tbl_Ledger[[#This Row],[Rate_to_NGN]])</f>
        <v>50900</v>
      </c>
      <c r="R21" s="25" t="str">
        <f>_xlfn.XLOOKUP(tbl_Ledger[[#This Row],[Account_Code]], tbl_Accounts[Account_Code], tbl_Accounts[Type])</f>
        <v>Revenue</v>
      </c>
      <c r="S21" s="25" t="str">
        <f>_xlfn.XLOOKUP(tbl_Ledger[[#This Row],[Account_Code]], tbl_Accounts[Account_Code], tbl_Accounts[PL_Bucket])</f>
        <v>Revenue</v>
      </c>
      <c r="T21" s="25">
        <f t="shared" si="0"/>
        <v>50900</v>
      </c>
    </row>
    <row r="22" spans="1:20">
      <c r="A22" t="s">
        <v>165</v>
      </c>
      <c r="B22" s="7">
        <v>45840</v>
      </c>
      <c r="C22" t="s">
        <v>93</v>
      </c>
      <c r="D22" t="s">
        <v>111</v>
      </c>
      <c r="E22" t="s">
        <v>116</v>
      </c>
      <c r="F22" s="12" t="s">
        <v>24</v>
      </c>
      <c r="G22" t="s">
        <v>25</v>
      </c>
      <c r="H22" t="s">
        <v>166</v>
      </c>
      <c r="I22" t="s">
        <v>71</v>
      </c>
      <c r="J22" s="6">
        <v>45500</v>
      </c>
      <c r="K22" t="s">
        <v>3</v>
      </c>
      <c r="L22" t="s">
        <v>164</v>
      </c>
      <c r="M22" t="s">
        <v>3</v>
      </c>
      <c r="N22" s="25" t="str">
        <f>TEXT(tbl_Ledger[[#This Row],[Date]],"yyyy-mm")</f>
        <v>2025-07</v>
      </c>
      <c r="O22" s="25" t="str">
        <f>TEXT(tbl_Ledger[[#This Row],[Date]],"yyyy-mm") &amp; TRIM(tbl_Ledger[[#This Row],[Currency]])</f>
        <v>2025-07NGN</v>
      </c>
      <c r="P22" s="25">
        <f>_xlfn.XLOOKUP(tbl_Ledger[[#This Row],[Key]], tbl_FX[Key], tbl_FX[Rate_to_NGN])</f>
        <v>1</v>
      </c>
      <c r="Q22" s="37">
        <f>IF(tbl_Ledger[[#This Row],[Account_Type]]="Expense",-ABS(tbl_Ledger[[#This Row],[Amount]]*tbl_Ledger[[#This Row],[Rate_to_NGN]]),tbl_Ledger[[#This Row],[Amount]]*tbl_Ledger[[#This Row],[Rate_to_NGN]])</f>
        <v>45500</v>
      </c>
      <c r="R22" s="25" t="str">
        <f>_xlfn.XLOOKUP(tbl_Ledger[[#This Row],[Account_Code]], tbl_Accounts[Account_Code], tbl_Accounts[Type])</f>
        <v>Revenue</v>
      </c>
      <c r="S22" s="25" t="str">
        <f>_xlfn.XLOOKUP(tbl_Ledger[[#This Row],[Account_Code]], tbl_Accounts[Account_Code], tbl_Accounts[PL_Bucket])</f>
        <v>Revenue</v>
      </c>
      <c r="T22" s="25">
        <f t="shared" si="0"/>
        <v>45500</v>
      </c>
    </row>
    <row r="23" spans="1:20">
      <c r="A23" t="s">
        <v>167</v>
      </c>
      <c r="B23" s="7">
        <v>45840</v>
      </c>
      <c r="C23" t="s">
        <v>93</v>
      </c>
      <c r="D23" t="s">
        <v>111</v>
      </c>
      <c r="E23" t="s">
        <v>119</v>
      </c>
      <c r="F23" s="12" t="s">
        <v>24</v>
      </c>
      <c r="G23" t="s">
        <v>25</v>
      </c>
      <c r="H23" t="s">
        <v>168</v>
      </c>
      <c r="I23" t="s">
        <v>71</v>
      </c>
      <c r="J23" s="6">
        <v>48200</v>
      </c>
      <c r="K23" t="s">
        <v>3</v>
      </c>
      <c r="L23" t="s">
        <v>164</v>
      </c>
      <c r="M23" t="s">
        <v>3</v>
      </c>
      <c r="N23" s="25" t="str">
        <f>TEXT(tbl_Ledger[[#This Row],[Date]],"yyyy-mm")</f>
        <v>2025-07</v>
      </c>
      <c r="O23" s="25" t="str">
        <f>TEXT(tbl_Ledger[[#This Row],[Date]],"yyyy-mm") &amp; TRIM(tbl_Ledger[[#This Row],[Currency]])</f>
        <v>2025-07NGN</v>
      </c>
      <c r="P23" s="25">
        <f>_xlfn.XLOOKUP(tbl_Ledger[[#This Row],[Key]], tbl_FX[Key], tbl_FX[Rate_to_NGN])</f>
        <v>1</v>
      </c>
      <c r="Q23" s="37">
        <f>IF(tbl_Ledger[[#This Row],[Account_Type]]="Expense",-ABS(tbl_Ledger[[#This Row],[Amount]]*tbl_Ledger[[#This Row],[Rate_to_NGN]]),tbl_Ledger[[#This Row],[Amount]]*tbl_Ledger[[#This Row],[Rate_to_NGN]])</f>
        <v>48200</v>
      </c>
      <c r="R23" s="25" t="str">
        <f>_xlfn.XLOOKUP(tbl_Ledger[[#This Row],[Account_Code]], tbl_Accounts[Account_Code], tbl_Accounts[Type])</f>
        <v>Revenue</v>
      </c>
      <c r="S23" s="25" t="str">
        <f>_xlfn.XLOOKUP(tbl_Ledger[[#This Row],[Account_Code]], tbl_Accounts[Account_Code], tbl_Accounts[PL_Bucket])</f>
        <v>Revenue</v>
      </c>
      <c r="T23" s="25">
        <f t="shared" si="0"/>
        <v>48200</v>
      </c>
    </row>
    <row r="24" spans="1:20">
      <c r="A24" t="s">
        <v>169</v>
      </c>
      <c r="B24" s="7">
        <v>45840</v>
      </c>
      <c r="C24" t="s">
        <v>93</v>
      </c>
      <c r="D24" t="s">
        <v>111</v>
      </c>
      <c r="E24" t="s">
        <v>170</v>
      </c>
      <c r="F24" s="12" t="s">
        <v>24</v>
      </c>
      <c r="G24" t="s">
        <v>25</v>
      </c>
      <c r="H24" t="s">
        <v>171</v>
      </c>
      <c r="I24" t="s">
        <v>71</v>
      </c>
      <c r="J24" s="6">
        <v>46900</v>
      </c>
      <c r="K24" t="s">
        <v>3</v>
      </c>
      <c r="L24" t="s">
        <v>164</v>
      </c>
      <c r="M24" t="s">
        <v>3</v>
      </c>
      <c r="N24" s="25" t="str">
        <f>TEXT(tbl_Ledger[[#This Row],[Date]],"yyyy-mm")</f>
        <v>2025-07</v>
      </c>
      <c r="O24" s="25" t="str">
        <f>TEXT(tbl_Ledger[[#This Row],[Date]],"yyyy-mm") &amp; TRIM(tbl_Ledger[[#This Row],[Currency]])</f>
        <v>2025-07NGN</v>
      </c>
      <c r="P24" s="25">
        <f>_xlfn.XLOOKUP(tbl_Ledger[[#This Row],[Key]], tbl_FX[Key], tbl_FX[Rate_to_NGN])</f>
        <v>1</v>
      </c>
      <c r="Q24" s="37">
        <f>IF(tbl_Ledger[[#This Row],[Account_Type]]="Expense",-ABS(tbl_Ledger[[#This Row],[Amount]]*tbl_Ledger[[#This Row],[Rate_to_NGN]]),tbl_Ledger[[#This Row],[Amount]]*tbl_Ledger[[#This Row],[Rate_to_NGN]])</f>
        <v>46900</v>
      </c>
      <c r="R24" s="25" t="str">
        <f>_xlfn.XLOOKUP(tbl_Ledger[[#This Row],[Account_Code]], tbl_Accounts[Account_Code], tbl_Accounts[Type])</f>
        <v>Revenue</v>
      </c>
      <c r="S24" s="25" t="str">
        <f>_xlfn.XLOOKUP(tbl_Ledger[[#This Row],[Account_Code]], tbl_Accounts[Account_Code], tbl_Accounts[PL_Bucket])</f>
        <v>Revenue</v>
      </c>
      <c r="T24" s="25">
        <f t="shared" si="0"/>
        <v>46900</v>
      </c>
    </row>
    <row r="25" spans="1:20">
      <c r="A25" t="s">
        <v>172</v>
      </c>
      <c r="B25" s="7">
        <v>45840</v>
      </c>
      <c r="C25" t="s">
        <v>93</v>
      </c>
      <c r="D25" t="s">
        <v>111</v>
      </c>
      <c r="E25" t="s">
        <v>122</v>
      </c>
      <c r="F25" s="12" t="s">
        <v>24</v>
      </c>
      <c r="G25" t="s">
        <v>25</v>
      </c>
      <c r="H25" t="s">
        <v>173</v>
      </c>
      <c r="I25" t="s">
        <v>71</v>
      </c>
      <c r="J25" s="6">
        <v>49800</v>
      </c>
      <c r="K25" t="s">
        <v>3</v>
      </c>
      <c r="L25" t="s">
        <v>174</v>
      </c>
      <c r="M25" t="s">
        <v>3</v>
      </c>
      <c r="N25" s="25" t="str">
        <f>TEXT(tbl_Ledger[[#This Row],[Date]],"yyyy-mm")</f>
        <v>2025-07</v>
      </c>
      <c r="O25" s="25" t="str">
        <f>TEXT(tbl_Ledger[[#This Row],[Date]],"yyyy-mm") &amp; TRIM(tbl_Ledger[[#This Row],[Currency]])</f>
        <v>2025-07NGN</v>
      </c>
      <c r="P25" s="25">
        <f>_xlfn.XLOOKUP(tbl_Ledger[[#This Row],[Key]], tbl_FX[Key], tbl_FX[Rate_to_NGN])</f>
        <v>1</v>
      </c>
      <c r="Q25" s="37">
        <f>IF(tbl_Ledger[[#This Row],[Account_Type]]="Expense",-ABS(tbl_Ledger[[#This Row],[Amount]]*tbl_Ledger[[#This Row],[Rate_to_NGN]]),tbl_Ledger[[#This Row],[Amount]]*tbl_Ledger[[#This Row],[Rate_to_NGN]])</f>
        <v>49800</v>
      </c>
      <c r="R25" s="25" t="str">
        <f>_xlfn.XLOOKUP(tbl_Ledger[[#This Row],[Account_Code]], tbl_Accounts[Account_Code], tbl_Accounts[Type])</f>
        <v>Revenue</v>
      </c>
      <c r="S25" s="25" t="str">
        <f>_xlfn.XLOOKUP(tbl_Ledger[[#This Row],[Account_Code]], tbl_Accounts[Account_Code], tbl_Accounts[PL_Bucket])</f>
        <v>Revenue</v>
      </c>
      <c r="T25" s="25">
        <f t="shared" si="0"/>
        <v>49800</v>
      </c>
    </row>
    <row r="26" spans="1:20">
      <c r="A26" t="s">
        <v>175</v>
      </c>
      <c r="B26" s="7">
        <v>45840</v>
      </c>
      <c r="C26" t="s">
        <v>126</v>
      </c>
      <c r="D26" t="s">
        <v>88</v>
      </c>
      <c r="E26" t="s">
        <v>127</v>
      </c>
      <c r="F26" s="12" t="s">
        <v>29</v>
      </c>
      <c r="G26" t="s">
        <v>30</v>
      </c>
      <c r="H26" t="s">
        <v>176</v>
      </c>
      <c r="I26" t="s">
        <v>72</v>
      </c>
      <c r="J26" s="6">
        <v>28.56</v>
      </c>
      <c r="K26" t="s">
        <v>129</v>
      </c>
      <c r="L26" t="s">
        <v>177</v>
      </c>
      <c r="M26" t="s">
        <v>3</v>
      </c>
      <c r="N26" s="25" t="str">
        <f>TEXT(tbl_Ledger[[#This Row],[Date]],"yyyy-mm")</f>
        <v>2025-07</v>
      </c>
      <c r="O26" s="25" t="str">
        <f>TEXT(tbl_Ledger[[#This Row],[Date]],"yyyy-mm") &amp; TRIM(tbl_Ledger[[#This Row],[Currency]])</f>
        <v>2025-07USD</v>
      </c>
      <c r="P26" s="25">
        <f>_xlfn.XLOOKUP(tbl_Ledger[[#This Row],[Key]], tbl_FX[Key], tbl_FX[Rate_to_NGN])</f>
        <v>1530</v>
      </c>
      <c r="Q26" s="37">
        <f>IF(tbl_Ledger[[#This Row],[Account_Type]]="Expense",-ABS(tbl_Ledger[[#This Row],[Amount]]*tbl_Ledger[[#This Row],[Rate_to_NGN]]),tbl_Ledger[[#This Row],[Amount]]*tbl_Ledger[[#This Row],[Rate_to_NGN]])</f>
        <v>43696.799999999996</v>
      </c>
      <c r="R26" s="25" t="str">
        <f>_xlfn.XLOOKUP(tbl_Ledger[[#This Row],[Account_Code]], tbl_Accounts[Account_Code], tbl_Accounts[Type])</f>
        <v>Revenue</v>
      </c>
      <c r="S26" s="25" t="str">
        <f>_xlfn.XLOOKUP(tbl_Ledger[[#This Row],[Account_Code]], tbl_Accounts[Account_Code], tbl_Accounts[PL_Bucket])</f>
        <v>Revenue</v>
      </c>
      <c r="T26" s="25">
        <f t="shared" si="0"/>
        <v>43696.799999999996</v>
      </c>
    </row>
    <row r="27" spans="1:20">
      <c r="A27" t="s">
        <v>178</v>
      </c>
      <c r="B27" s="7">
        <v>45840</v>
      </c>
      <c r="C27" t="s">
        <v>126</v>
      </c>
      <c r="D27" t="s">
        <v>88</v>
      </c>
      <c r="E27" t="s">
        <v>132</v>
      </c>
      <c r="F27" s="12" t="s">
        <v>29</v>
      </c>
      <c r="G27" t="s">
        <v>30</v>
      </c>
      <c r="H27" t="s">
        <v>179</v>
      </c>
      <c r="I27" t="s">
        <v>71</v>
      </c>
      <c r="J27" s="6">
        <v>49900</v>
      </c>
      <c r="K27" t="s">
        <v>134</v>
      </c>
      <c r="L27" t="s">
        <v>177</v>
      </c>
      <c r="M27" t="s">
        <v>3</v>
      </c>
      <c r="N27" s="25" t="str">
        <f>TEXT(tbl_Ledger[[#This Row],[Date]],"yyyy-mm")</f>
        <v>2025-07</v>
      </c>
      <c r="O27" s="25" t="str">
        <f>TEXT(tbl_Ledger[[#This Row],[Date]],"yyyy-mm") &amp; TRIM(tbl_Ledger[[#This Row],[Currency]])</f>
        <v>2025-07NGN</v>
      </c>
      <c r="P27" s="25">
        <f>_xlfn.XLOOKUP(tbl_Ledger[[#This Row],[Key]], tbl_FX[Key], tbl_FX[Rate_to_NGN])</f>
        <v>1</v>
      </c>
      <c r="Q27" s="37">
        <f>IF(tbl_Ledger[[#This Row],[Account_Type]]="Expense",-ABS(tbl_Ledger[[#This Row],[Amount]]*tbl_Ledger[[#This Row],[Rate_to_NGN]]),tbl_Ledger[[#This Row],[Amount]]*tbl_Ledger[[#This Row],[Rate_to_NGN]])</f>
        <v>49900</v>
      </c>
      <c r="R27" s="25" t="str">
        <f>_xlfn.XLOOKUP(tbl_Ledger[[#This Row],[Account_Code]], tbl_Accounts[Account_Code], tbl_Accounts[Type])</f>
        <v>Revenue</v>
      </c>
      <c r="S27" s="25" t="str">
        <f>_xlfn.XLOOKUP(tbl_Ledger[[#This Row],[Account_Code]], tbl_Accounts[Account_Code], tbl_Accounts[PL_Bucket])</f>
        <v>Revenue</v>
      </c>
      <c r="T27" s="25">
        <f t="shared" si="0"/>
        <v>49900</v>
      </c>
    </row>
    <row r="28" spans="1:20">
      <c r="A28" t="s">
        <v>180</v>
      </c>
      <c r="B28" s="7">
        <v>45840</v>
      </c>
      <c r="C28" t="s">
        <v>126</v>
      </c>
      <c r="D28" t="s">
        <v>88</v>
      </c>
      <c r="E28" t="s">
        <v>136</v>
      </c>
      <c r="F28" s="12" t="s">
        <v>29</v>
      </c>
      <c r="G28" t="s">
        <v>30</v>
      </c>
      <c r="H28" t="s">
        <v>181</v>
      </c>
      <c r="I28" t="s">
        <v>71</v>
      </c>
      <c r="J28" s="6">
        <v>48500</v>
      </c>
      <c r="K28" t="s">
        <v>138</v>
      </c>
      <c r="L28" t="s">
        <v>177</v>
      </c>
      <c r="M28" t="s">
        <v>3</v>
      </c>
      <c r="N28" s="25" t="str">
        <f>TEXT(tbl_Ledger[[#This Row],[Date]],"yyyy-mm")</f>
        <v>2025-07</v>
      </c>
      <c r="O28" s="25" t="str">
        <f>TEXT(tbl_Ledger[[#This Row],[Date]],"yyyy-mm") &amp; TRIM(tbl_Ledger[[#This Row],[Currency]])</f>
        <v>2025-07NGN</v>
      </c>
      <c r="P28" s="25">
        <f>_xlfn.XLOOKUP(tbl_Ledger[[#This Row],[Key]], tbl_FX[Key], tbl_FX[Rate_to_NGN])</f>
        <v>1</v>
      </c>
      <c r="Q28" s="37">
        <f>IF(tbl_Ledger[[#This Row],[Account_Type]]="Expense",-ABS(tbl_Ledger[[#This Row],[Amount]]*tbl_Ledger[[#This Row],[Rate_to_NGN]]),tbl_Ledger[[#This Row],[Amount]]*tbl_Ledger[[#This Row],[Rate_to_NGN]])</f>
        <v>48500</v>
      </c>
      <c r="R28" s="25" t="str">
        <f>_xlfn.XLOOKUP(tbl_Ledger[[#This Row],[Account_Code]], tbl_Accounts[Account_Code], tbl_Accounts[Type])</f>
        <v>Revenue</v>
      </c>
      <c r="S28" s="25" t="str">
        <f>_xlfn.XLOOKUP(tbl_Ledger[[#This Row],[Account_Code]], tbl_Accounts[Account_Code], tbl_Accounts[PL_Bucket])</f>
        <v>Revenue</v>
      </c>
      <c r="T28" s="25">
        <f t="shared" si="0"/>
        <v>48500</v>
      </c>
    </row>
    <row r="29" spans="1:20">
      <c r="A29" t="s">
        <v>182</v>
      </c>
      <c r="B29" s="7">
        <v>45840</v>
      </c>
      <c r="C29" t="s">
        <v>126</v>
      </c>
      <c r="D29" t="s">
        <v>88</v>
      </c>
      <c r="E29" t="s">
        <v>140</v>
      </c>
      <c r="F29" s="12" t="s">
        <v>29</v>
      </c>
      <c r="G29" t="s">
        <v>30</v>
      </c>
      <c r="H29" t="s">
        <v>183</v>
      </c>
      <c r="I29" t="s">
        <v>71</v>
      </c>
      <c r="J29" s="6">
        <v>48000</v>
      </c>
      <c r="K29" t="s">
        <v>3</v>
      </c>
      <c r="L29" t="s">
        <v>184</v>
      </c>
      <c r="M29" t="s">
        <v>3</v>
      </c>
      <c r="N29" s="25" t="str">
        <f>TEXT(tbl_Ledger[[#This Row],[Date]],"yyyy-mm")</f>
        <v>2025-07</v>
      </c>
      <c r="O29" s="25" t="str">
        <f>TEXT(tbl_Ledger[[#This Row],[Date]],"yyyy-mm") &amp; TRIM(tbl_Ledger[[#This Row],[Currency]])</f>
        <v>2025-07NGN</v>
      </c>
      <c r="P29" s="25">
        <f>_xlfn.XLOOKUP(tbl_Ledger[[#This Row],[Key]], tbl_FX[Key], tbl_FX[Rate_to_NGN])</f>
        <v>1</v>
      </c>
      <c r="Q29" s="37">
        <f>IF(tbl_Ledger[[#This Row],[Account_Type]]="Expense",-ABS(tbl_Ledger[[#This Row],[Amount]]*tbl_Ledger[[#This Row],[Rate_to_NGN]]),tbl_Ledger[[#This Row],[Amount]]*tbl_Ledger[[#This Row],[Rate_to_NGN]])</f>
        <v>48000</v>
      </c>
      <c r="R29" s="25" t="str">
        <f>_xlfn.XLOOKUP(tbl_Ledger[[#This Row],[Account_Code]], tbl_Accounts[Account_Code], tbl_Accounts[Type])</f>
        <v>Revenue</v>
      </c>
      <c r="S29" s="25" t="str">
        <f>_xlfn.XLOOKUP(tbl_Ledger[[#This Row],[Account_Code]], tbl_Accounts[Account_Code], tbl_Accounts[PL_Bucket])</f>
        <v>Revenue</v>
      </c>
      <c r="T29" s="25">
        <f t="shared" si="0"/>
        <v>48000</v>
      </c>
    </row>
    <row r="30" spans="1:20">
      <c r="A30" t="s">
        <v>185</v>
      </c>
      <c r="B30" s="7">
        <v>45840</v>
      </c>
      <c r="C30" t="s">
        <v>87</v>
      </c>
      <c r="D30" t="s">
        <v>94</v>
      </c>
      <c r="E30" t="s">
        <v>3</v>
      </c>
      <c r="F30" s="12" t="s">
        <v>42</v>
      </c>
      <c r="G30" t="s">
        <v>43</v>
      </c>
      <c r="H30" t="s">
        <v>186</v>
      </c>
      <c r="I30" t="s">
        <v>71</v>
      </c>
      <c r="J30" s="6">
        <v>-562000</v>
      </c>
      <c r="K30" t="s">
        <v>187</v>
      </c>
      <c r="L30" t="s">
        <v>188</v>
      </c>
      <c r="M30" t="s">
        <v>3</v>
      </c>
      <c r="N30" s="25" t="str">
        <f>TEXT(tbl_Ledger[[#This Row],[Date]],"yyyy-mm")</f>
        <v>2025-07</v>
      </c>
      <c r="O30" s="25" t="str">
        <f>TEXT(tbl_Ledger[[#This Row],[Date]],"yyyy-mm") &amp; TRIM(tbl_Ledger[[#This Row],[Currency]])</f>
        <v>2025-07NGN</v>
      </c>
      <c r="P30" s="25">
        <f>_xlfn.XLOOKUP(tbl_Ledger[[#This Row],[Key]], tbl_FX[Key], tbl_FX[Rate_to_NGN])</f>
        <v>1</v>
      </c>
      <c r="Q30" s="37">
        <f>IF(tbl_Ledger[[#This Row],[Account_Type]]="Expense",-ABS(tbl_Ledger[[#This Row],[Amount]]*tbl_Ledger[[#This Row],[Rate_to_NGN]]),tbl_Ledger[[#This Row],[Amount]]*tbl_Ledger[[#This Row],[Rate_to_NGN]])</f>
        <v>-562000</v>
      </c>
      <c r="R30" s="25" t="str">
        <f>_xlfn.XLOOKUP(tbl_Ledger[[#This Row],[Account_Code]], tbl_Accounts[Account_Code], tbl_Accounts[Type])</f>
        <v>COGS</v>
      </c>
      <c r="S30" s="25" t="str">
        <f>_xlfn.XLOOKUP(tbl_Ledger[[#This Row],[Account_Code]], tbl_Accounts[Account_Code], tbl_Accounts[PL_Bucket])</f>
        <v>COGS</v>
      </c>
      <c r="T30" s="25">
        <f t="shared" si="0"/>
        <v>-562000</v>
      </c>
    </row>
    <row r="31" spans="1:20">
      <c r="A31" t="s">
        <v>189</v>
      </c>
      <c r="B31" s="7">
        <v>45840</v>
      </c>
      <c r="C31" t="s">
        <v>87</v>
      </c>
      <c r="D31" t="s">
        <v>94</v>
      </c>
      <c r="E31" t="s">
        <v>3</v>
      </c>
      <c r="F31" s="12" t="s">
        <v>44</v>
      </c>
      <c r="G31" t="s">
        <v>45</v>
      </c>
      <c r="H31" t="s">
        <v>190</v>
      </c>
      <c r="I31" t="s">
        <v>71</v>
      </c>
      <c r="J31" s="6">
        <v>-255000</v>
      </c>
      <c r="K31" t="s">
        <v>191</v>
      </c>
      <c r="L31" t="s">
        <v>192</v>
      </c>
      <c r="M31" t="s">
        <v>3</v>
      </c>
      <c r="N31" s="25" t="str">
        <f>TEXT(tbl_Ledger[[#This Row],[Date]],"yyyy-mm")</f>
        <v>2025-07</v>
      </c>
      <c r="O31" s="25" t="str">
        <f>TEXT(tbl_Ledger[[#This Row],[Date]],"yyyy-mm") &amp; TRIM(tbl_Ledger[[#This Row],[Currency]])</f>
        <v>2025-07NGN</v>
      </c>
      <c r="P31" s="25">
        <f>_xlfn.XLOOKUP(tbl_Ledger[[#This Row],[Key]], tbl_FX[Key], tbl_FX[Rate_to_NGN])</f>
        <v>1</v>
      </c>
      <c r="Q31" s="37">
        <f>IF(tbl_Ledger[[#This Row],[Account_Type]]="Expense",-ABS(tbl_Ledger[[#This Row],[Amount]]*tbl_Ledger[[#This Row],[Rate_to_NGN]]),tbl_Ledger[[#This Row],[Amount]]*tbl_Ledger[[#This Row],[Rate_to_NGN]])</f>
        <v>-255000</v>
      </c>
      <c r="R31" s="25" t="str">
        <f>_xlfn.XLOOKUP(tbl_Ledger[[#This Row],[Account_Code]], tbl_Accounts[Account_Code], tbl_Accounts[Type])</f>
        <v>COGS</v>
      </c>
      <c r="S31" s="25" t="str">
        <f>_xlfn.XLOOKUP(tbl_Ledger[[#This Row],[Account_Code]], tbl_Accounts[Account_Code], tbl_Accounts[PL_Bucket])</f>
        <v>COGS</v>
      </c>
      <c r="T31" s="25">
        <f t="shared" si="0"/>
        <v>-255000</v>
      </c>
    </row>
    <row r="32" spans="1:20">
      <c r="A32" t="s">
        <v>193</v>
      </c>
      <c r="B32" s="7">
        <v>45840</v>
      </c>
      <c r="C32" t="s">
        <v>87</v>
      </c>
      <c r="D32" t="s">
        <v>111</v>
      </c>
      <c r="E32" t="s">
        <v>3</v>
      </c>
      <c r="F32" s="12" t="s">
        <v>36</v>
      </c>
      <c r="G32" t="s">
        <v>37</v>
      </c>
      <c r="H32" t="s">
        <v>194</v>
      </c>
      <c r="I32" t="s">
        <v>71</v>
      </c>
      <c r="J32" s="6">
        <v>-862000</v>
      </c>
      <c r="K32" t="s">
        <v>195</v>
      </c>
      <c r="L32" t="s">
        <v>196</v>
      </c>
      <c r="M32" t="s">
        <v>3</v>
      </c>
      <c r="N32" s="25" t="str">
        <f>TEXT(tbl_Ledger[[#This Row],[Date]],"yyyy-mm")</f>
        <v>2025-07</v>
      </c>
      <c r="O32" s="25" t="str">
        <f>TEXT(tbl_Ledger[[#This Row],[Date]],"yyyy-mm") &amp; TRIM(tbl_Ledger[[#This Row],[Currency]])</f>
        <v>2025-07NGN</v>
      </c>
      <c r="P32" s="25">
        <f>_xlfn.XLOOKUP(tbl_Ledger[[#This Row],[Key]], tbl_FX[Key], tbl_FX[Rate_to_NGN])</f>
        <v>1</v>
      </c>
      <c r="Q32" s="37">
        <f>IF(tbl_Ledger[[#This Row],[Account_Type]]="Expense",-ABS(tbl_Ledger[[#This Row],[Amount]]*tbl_Ledger[[#This Row],[Rate_to_NGN]]),tbl_Ledger[[#This Row],[Amount]]*tbl_Ledger[[#This Row],[Rate_to_NGN]])</f>
        <v>-862000</v>
      </c>
      <c r="R32" s="25" t="str">
        <f>_xlfn.XLOOKUP(tbl_Ledger[[#This Row],[Account_Code]], tbl_Accounts[Account_Code], tbl_Accounts[Type])</f>
        <v>COGS</v>
      </c>
      <c r="S32" s="25" t="str">
        <f>_xlfn.XLOOKUP(tbl_Ledger[[#This Row],[Account_Code]], tbl_Accounts[Account_Code], tbl_Accounts[PL_Bucket])</f>
        <v>COGS</v>
      </c>
      <c r="T32" s="25">
        <f t="shared" si="0"/>
        <v>-862000</v>
      </c>
    </row>
    <row r="33" spans="1:20">
      <c r="A33" t="s">
        <v>197</v>
      </c>
      <c r="B33" s="7">
        <v>45840</v>
      </c>
      <c r="C33" t="s">
        <v>87</v>
      </c>
      <c r="D33" t="s">
        <v>94</v>
      </c>
      <c r="E33" t="s">
        <v>3</v>
      </c>
      <c r="F33" s="12" t="s">
        <v>55</v>
      </c>
      <c r="G33" t="s">
        <v>56</v>
      </c>
      <c r="H33" t="s">
        <v>198</v>
      </c>
      <c r="I33" t="s">
        <v>72</v>
      </c>
      <c r="J33" s="6">
        <v>-820</v>
      </c>
      <c r="K33" t="s">
        <v>199</v>
      </c>
      <c r="L33" t="s">
        <v>200</v>
      </c>
      <c r="M33" t="s">
        <v>3</v>
      </c>
      <c r="N33" s="25" t="str">
        <f>TEXT(tbl_Ledger[[#This Row],[Date]],"yyyy-mm")</f>
        <v>2025-07</v>
      </c>
      <c r="O33" s="25" t="str">
        <f>TEXT(tbl_Ledger[[#This Row],[Date]],"yyyy-mm") &amp; TRIM(tbl_Ledger[[#This Row],[Currency]])</f>
        <v>2025-07USD</v>
      </c>
      <c r="P33" s="25">
        <f>_xlfn.XLOOKUP(tbl_Ledger[[#This Row],[Key]], tbl_FX[Key], tbl_FX[Rate_to_NGN])</f>
        <v>1530</v>
      </c>
      <c r="Q33" s="37">
        <f>IF(tbl_Ledger[[#This Row],[Account_Type]]="Expense",-ABS(tbl_Ledger[[#This Row],[Amount]]*tbl_Ledger[[#This Row],[Rate_to_NGN]]),tbl_Ledger[[#This Row],[Amount]]*tbl_Ledger[[#This Row],[Rate_to_NGN]])</f>
        <v>-1254600</v>
      </c>
      <c r="R33" s="25" t="str">
        <f>_xlfn.XLOOKUP(tbl_Ledger[[#This Row],[Account_Code]], tbl_Accounts[Account_Code], tbl_Accounts[Type])</f>
        <v>Opex</v>
      </c>
      <c r="S33" s="25" t="str">
        <f>_xlfn.XLOOKUP(tbl_Ledger[[#This Row],[Account_Code]], tbl_Accounts[Account_Code], tbl_Accounts[PL_Bucket])</f>
        <v>Opex</v>
      </c>
      <c r="T33" s="25">
        <f t="shared" si="0"/>
        <v>-1254600</v>
      </c>
    </row>
    <row r="34" spans="1:20">
      <c r="A34" t="s">
        <v>201</v>
      </c>
      <c r="B34" s="7">
        <v>45841</v>
      </c>
      <c r="C34" t="s">
        <v>93</v>
      </c>
      <c r="D34" t="s">
        <v>94</v>
      </c>
      <c r="E34" t="s">
        <v>95</v>
      </c>
      <c r="F34" s="12" t="s">
        <v>24</v>
      </c>
      <c r="G34" t="s">
        <v>25</v>
      </c>
      <c r="H34" t="s">
        <v>202</v>
      </c>
      <c r="I34" t="s">
        <v>71</v>
      </c>
      <c r="J34" s="6">
        <v>30100</v>
      </c>
      <c r="K34" t="s">
        <v>3</v>
      </c>
      <c r="L34" t="s">
        <v>203</v>
      </c>
      <c r="M34" t="s">
        <v>3</v>
      </c>
      <c r="N34" s="25" t="str">
        <f>TEXT(tbl_Ledger[[#This Row],[Date]],"yyyy-mm")</f>
        <v>2025-07</v>
      </c>
      <c r="O34" s="25" t="str">
        <f>TEXT(tbl_Ledger[[#This Row],[Date]],"yyyy-mm") &amp; TRIM(tbl_Ledger[[#This Row],[Currency]])</f>
        <v>2025-07NGN</v>
      </c>
      <c r="P34" s="25">
        <f>_xlfn.XLOOKUP(tbl_Ledger[[#This Row],[Key]], tbl_FX[Key], tbl_FX[Rate_to_NGN])</f>
        <v>1</v>
      </c>
      <c r="Q34" s="37">
        <f>IF(tbl_Ledger[[#This Row],[Account_Type]]="Expense",-ABS(tbl_Ledger[[#This Row],[Amount]]*tbl_Ledger[[#This Row],[Rate_to_NGN]]),tbl_Ledger[[#This Row],[Amount]]*tbl_Ledger[[#This Row],[Rate_to_NGN]])</f>
        <v>30100</v>
      </c>
      <c r="R34" s="25" t="str">
        <f>_xlfn.XLOOKUP(tbl_Ledger[[#This Row],[Account_Code]], tbl_Accounts[Account_Code], tbl_Accounts[Type])</f>
        <v>Revenue</v>
      </c>
      <c r="S34" s="25" t="str">
        <f>_xlfn.XLOOKUP(tbl_Ledger[[#This Row],[Account_Code]], tbl_Accounts[Account_Code], tbl_Accounts[PL_Bucket])</f>
        <v>Revenue</v>
      </c>
      <c r="T34" s="25">
        <f t="shared" si="0"/>
        <v>30100</v>
      </c>
    </row>
    <row r="35" spans="1:20">
      <c r="A35" t="s">
        <v>204</v>
      </c>
      <c r="B35" s="7">
        <v>45841</v>
      </c>
      <c r="C35" t="s">
        <v>93</v>
      </c>
      <c r="D35" t="s">
        <v>94</v>
      </c>
      <c r="E35" t="s">
        <v>99</v>
      </c>
      <c r="F35" s="12" t="s">
        <v>24</v>
      </c>
      <c r="G35" t="s">
        <v>25</v>
      </c>
      <c r="H35" t="s">
        <v>205</v>
      </c>
      <c r="I35" t="s">
        <v>71</v>
      </c>
      <c r="J35" s="6">
        <v>30400</v>
      </c>
      <c r="K35" t="s">
        <v>3</v>
      </c>
      <c r="L35" t="s">
        <v>206</v>
      </c>
      <c r="M35" t="s">
        <v>3</v>
      </c>
      <c r="N35" s="25" t="str">
        <f>TEXT(tbl_Ledger[[#This Row],[Date]],"yyyy-mm")</f>
        <v>2025-07</v>
      </c>
      <c r="O35" s="25" t="str">
        <f>TEXT(tbl_Ledger[[#This Row],[Date]],"yyyy-mm") &amp; TRIM(tbl_Ledger[[#This Row],[Currency]])</f>
        <v>2025-07NGN</v>
      </c>
      <c r="P35" s="25">
        <f>_xlfn.XLOOKUP(tbl_Ledger[[#This Row],[Key]], tbl_FX[Key], tbl_FX[Rate_to_NGN])</f>
        <v>1</v>
      </c>
      <c r="Q35" s="37">
        <f>IF(tbl_Ledger[[#This Row],[Account_Type]]="Expense",-ABS(tbl_Ledger[[#This Row],[Amount]]*tbl_Ledger[[#This Row],[Rate_to_NGN]]),tbl_Ledger[[#This Row],[Amount]]*tbl_Ledger[[#This Row],[Rate_to_NGN]])</f>
        <v>30400</v>
      </c>
      <c r="R35" s="25" t="str">
        <f>_xlfn.XLOOKUP(tbl_Ledger[[#This Row],[Account_Code]], tbl_Accounts[Account_Code], tbl_Accounts[Type])</f>
        <v>Revenue</v>
      </c>
      <c r="S35" s="25" t="str">
        <f>_xlfn.XLOOKUP(tbl_Ledger[[#This Row],[Account_Code]], tbl_Accounts[Account_Code], tbl_Accounts[PL_Bucket])</f>
        <v>Revenue</v>
      </c>
      <c r="T35" s="25">
        <f t="shared" si="0"/>
        <v>30400</v>
      </c>
    </row>
    <row r="36" spans="1:20">
      <c r="A36" t="s">
        <v>207</v>
      </c>
      <c r="B36" s="7">
        <v>45841</v>
      </c>
      <c r="C36" t="s">
        <v>93</v>
      </c>
      <c r="D36" t="s">
        <v>94</v>
      </c>
      <c r="E36" t="s">
        <v>103</v>
      </c>
      <c r="F36" s="12" t="s">
        <v>24</v>
      </c>
      <c r="G36" t="s">
        <v>25</v>
      </c>
      <c r="H36" t="s">
        <v>208</v>
      </c>
      <c r="I36" t="s">
        <v>71</v>
      </c>
      <c r="J36" s="6">
        <v>30700</v>
      </c>
      <c r="K36" t="s">
        <v>3</v>
      </c>
      <c r="L36" t="s">
        <v>209</v>
      </c>
      <c r="M36" t="s">
        <v>3</v>
      </c>
      <c r="N36" s="25" t="str">
        <f>TEXT(tbl_Ledger[[#This Row],[Date]],"yyyy-mm")</f>
        <v>2025-07</v>
      </c>
      <c r="O36" s="25" t="str">
        <f>TEXT(tbl_Ledger[[#This Row],[Date]],"yyyy-mm") &amp; TRIM(tbl_Ledger[[#This Row],[Currency]])</f>
        <v>2025-07NGN</v>
      </c>
      <c r="P36" s="25">
        <f>_xlfn.XLOOKUP(tbl_Ledger[[#This Row],[Key]], tbl_FX[Key], tbl_FX[Rate_to_NGN])</f>
        <v>1</v>
      </c>
      <c r="Q36" s="37">
        <f>IF(tbl_Ledger[[#This Row],[Account_Type]]="Expense",-ABS(tbl_Ledger[[#This Row],[Amount]]*tbl_Ledger[[#This Row],[Rate_to_NGN]]),tbl_Ledger[[#This Row],[Amount]]*tbl_Ledger[[#This Row],[Rate_to_NGN]])</f>
        <v>30700</v>
      </c>
      <c r="R36" s="25" t="str">
        <f>_xlfn.XLOOKUP(tbl_Ledger[[#This Row],[Account_Code]], tbl_Accounts[Account_Code], tbl_Accounts[Type])</f>
        <v>Revenue</v>
      </c>
      <c r="S36" s="25" t="str">
        <f>_xlfn.XLOOKUP(tbl_Ledger[[#This Row],[Account_Code]], tbl_Accounts[Account_Code], tbl_Accounts[PL_Bucket])</f>
        <v>Revenue</v>
      </c>
      <c r="T36" s="25">
        <f t="shared" si="0"/>
        <v>30700</v>
      </c>
    </row>
    <row r="37" spans="1:20">
      <c r="A37" t="s">
        <v>210</v>
      </c>
      <c r="B37" s="7">
        <v>45841</v>
      </c>
      <c r="C37" t="s">
        <v>93</v>
      </c>
      <c r="D37" t="s">
        <v>94</v>
      </c>
      <c r="E37" t="s">
        <v>160</v>
      </c>
      <c r="F37" s="12" t="s">
        <v>24</v>
      </c>
      <c r="G37" t="s">
        <v>25</v>
      </c>
      <c r="H37" t="s">
        <v>211</v>
      </c>
      <c r="I37" t="s">
        <v>71</v>
      </c>
      <c r="J37" s="6">
        <v>28100</v>
      </c>
      <c r="K37" t="s">
        <v>3</v>
      </c>
      <c r="L37" t="s">
        <v>209</v>
      </c>
      <c r="M37" t="s">
        <v>3</v>
      </c>
      <c r="N37" s="25" t="str">
        <f>TEXT(tbl_Ledger[[#This Row],[Date]],"yyyy-mm")</f>
        <v>2025-07</v>
      </c>
      <c r="O37" s="25" t="str">
        <f>TEXT(tbl_Ledger[[#This Row],[Date]],"yyyy-mm") &amp; TRIM(tbl_Ledger[[#This Row],[Currency]])</f>
        <v>2025-07NGN</v>
      </c>
      <c r="P37" s="25">
        <f>_xlfn.XLOOKUP(tbl_Ledger[[#This Row],[Key]], tbl_FX[Key], tbl_FX[Rate_to_NGN])</f>
        <v>1</v>
      </c>
      <c r="Q37" s="37">
        <f>IF(tbl_Ledger[[#This Row],[Account_Type]]="Expense",-ABS(tbl_Ledger[[#This Row],[Amount]]*tbl_Ledger[[#This Row],[Rate_to_NGN]]),tbl_Ledger[[#This Row],[Amount]]*tbl_Ledger[[#This Row],[Rate_to_NGN]])</f>
        <v>28100</v>
      </c>
      <c r="R37" s="25" t="str">
        <f>_xlfn.XLOOKUP(tbl_Ledger[[#This Row],[Account_Code]], tbl_Accounts[Account_Code], tbl_Accounts[Type])</f>
        <v>Revenue</v>
      </c>
      <c r="S37" s="25" t="str">
        <f>_xlfn.XLOOKUP(tbl_Ledger[[#This Row],[Account_Code]], tbl_Accounts[Account_Code], tbl_Accounts[PL_Bucket])</f>
        <v>Revenue</v>
      </c>
      <c r="T37" s="25">
        <f t="shared" si="0"/>
        <v>28100</v>
      </c>
    </row>
    <row r="38" spans="1:20">
      <c r="A38" t="s">
        <v>212</v>
      </c>
      <c r="B38" s="7">
        <v>45841</v>
      </c>
      <c r="C38" t="s">
        <v>93</v>
      </c>
      <c r="D38" t="s">
        <v>111</v>
      </c>
      <c r="E38" t="s">
        <v>112</v>
      </c>
      <c r="F38" s="12" t="s">
        <v>24</v>
      </c>
      <c r="G38" t="s">
        <v>25</v>
      </c>
      <c r="H38" t="s">
        <v>213</v>
      </c>
      <c r="I38" t="s">
        <v>71</v>
      </c>
      <c r="J38" s="6">
        <v>48100</v>
      </c>
      <c r="K38" t="s">
        <v>3</v>
      </c>
      <c r="L38" t="s">
        <v>214</v>
      </c>
      <c r="M38" t="s">
        <v>3</v>
      </c>
      <c r="N38" s="25" t="str">
        <f>TEXT(tbl_Ledger[[#This Row],[Date]],"yyyy-mm")</f>
        <v>2025-07</v>
      </c>
      <c r="O38" s="25" t="str">
        <f>TEXT(tbl_Ledger[[#This Row],[Date]],"yyyy-mm") &amp; TRIM(tbl_Ledger[[#This Row],[Currency]])</f>
        <v>2025-07NGN</v>
      </c>
      <c r="P38" s="25">
        <f>_xlfn.XLOOKUP(tbl_Ledger[[#This Row],[Key]], tbl_FX[Key], tbl_FX[Rate_to_NGN])</f>
        <v>1</v>
      </c>
      <c r="Q38" s="37">
        <f>IF(tbl_Ledger[[#This Row],[Account_Type]]="Expense",-ABS(tbl_Ledger[[#This Row],[Amount]]*tbl_Ledger[[#This Row],[Rate_to_NGN]]),tbl_Ledger[[#This Row],[Amount]]*tbl_Ledger[[#This Row],[Rate_to_NGN]])</f>
        <v>48100</v>
      </c>
      <c r="R38" s="25" t="str">
        <f>_xlfn.XLOOKUP(tbl_Ledger[[#This Row],[Account_Code]], tbl_Accounts[Account_Code], tbl_Accounts[Type])</f>
        <v>Revenue</v>
      </c>
      <c r="S38" s="25" t="str">
        <f>_xlfn.XLOOKUP(tbl_Ledger[[#This Row],[Account_Code]], tbl_Accounts[Account_Code], tbl_Accounts[PL_Bucket])</f>
        <v>Revenue</v>
      </c>
      <c r="T38" s="25">
        <f t="shared" si="0"/>
        <v>48100</v>
      </c>
    </row>
    <row r="39" spans="1:20">
      <c r="A39" t="s">
        <v>215</v>
      </c>
      <c r="B39" s="7">
        <v>45841</v>
      </c>
      <c r="C39" t="s">
        <v>93</v>
      </c>
      <c r="D39" t="s">
        <v>111</v>
      </c>
      <c r="E39" t="s">
        <v>116</v>
      </c>
      <c r="F39" s="12" t="s">
        <v>24</v>
      </c>
      <c r="G39" t="s">
        <v>25</v>
      </c>
      <c r="H39" t="s">
        <v>216</v>
      </c>
      <c r="I39" t="s">
        <v>71</v>
      </c>
      <c r="J39" s="6">
        <v>47100</v>
      </c>
      <c r="K39" t="s">
        <v>3</v>
      </c>
      <c r="L39" t="s">
        <v>214</v>
      </c>
      <c r="M39" t="s">
        <v>3</v>
      </c>
      <c r="N39" s="25" t="str">
        <f>TEXT(tbl_Ledger[[#This Row],[Date]],"yyyy-mm")</f>
        <v>2025-07</v>
      </c>
      <c r="O39" s="25" t="str">
        <f>TEXT(tbl_Ledger[[#This Row],[Date]],"yyyy-mm") &amp; TRIM(tbl_Ledger[[#This Row],[Currency]])</f>
        <v>2025-07NGN</v>
      </c>
      <c r="P39" s="25">
        <f>_xlfn.XLOOKUP(tbl_Ledger[[#This Row],[Key]], tbl_FX[Key], tbl_FX[Rate_to_NGN])</f>
        <v>1</v>
      </c>
      <c r="Q39" s="37">
        <f>IF(tbl_Ledger[[#This Row],[Account_Type]]="Expense",-ABS(tbl_Ledger[[#This Row],[Amount]]*tbl_Ledger[[#This Row],[Rate_to_NGN]]),tbl_Ledger[[#This Row],[Amount]]*tbl_Ledger[[#This Row],[Rate_to_NGN]])</f>
        <v>47100</v>
      </c>
      <c r="R39" s="25" t="str">
        <f>_xlfn.XLOOKUP(tbl_Ledger[[#This Row],[Account_Code]], tbl_Accounts[Account_Code], tbl_Accounts[Type])</f>
        <v>Revenue</v>
      </c>
      <c r="S39" s="25" t="str">
        <f>_xlfn.XLOOKUP(tbl_Ledger[[#This Row],[Account_Code]], tbl_Accounts[Account_Code], tbl_Accounts[PL_Bucket])</f>
        <v>Revenue</v>
      </c>
      <c r="T39" s="25">
        <f t="shared" si="0"/>
        <v>47100</v>
      </c>
    </row>
    <row r="40" spans="1:20">
      <c r="A40" t="s">
        <v>217</v>
      </c>
      <c r="B40" s="7">
        <v>45841</v>
      </c>
      <c r="C40" t="s">
        <v>93</v>
      </c>
      <c r="D40" t="s">
        <v>111</v>
      </c>
      <c r="E40" t="s">
        <v>119</v>
      </c>
      <c r="F40" s="12" t="s">
        <v>24</v>
      </c>
      <c r="G40" t="s">
        <v>25</v>
      </c>
      <c r="H40" t="s">
        <v>218</v>
      </c>
      <c r="I40" t="s">
        <v>71</v>
      </c>
      <c r="J40" s="6">
        <v>50400</v>
      </c>
      <c r="K40" t="s">
        <v>3</v>
      </c>
      <c r="L40" t="s">
        <v>214</v>
      </c>
      <c r="M40" t="s">
        <v>3</v>
      </c>
      <c r="N40" s="25" t="str">
        <f>TEXT(tbl_Ledger[[#This Row],[Date]],"yyyy-mm")</f>
        <v>2025-07</v>
      </c>
      <c r="O40" s="25" t="str">
        <f>TEXT(tbl_Ledger[[#This Row],[Date]],"yyyy-mm") &amp; TRIM(tbl_Ledger[[#This Row],[Currency]])</f>
        <v>2025-07NGN</v>
      </c>
      <c r="P40" s="25">
        <f>_xlfn.XLOOKUP(tbl_Ledger[[#This Row],[Key]], tbl_FX[Key], tbl_FX[Rate_to_NGN])</f>
        <v>1</v>
      </c>
      <c r="Q40" s="37">
        <f>IF(tbl_Ledger[[#This Row],[Account_Type]]="Expense",-ABS(tbl_Ledger[[#This Row],[Amount]]*tbl_Ledger[[#This Row],[Rate_to_NGN]]),tbl_Ledger[[#This Row],[Amount]]*tbl_Ledger[[#This Row],[Rate_to_NGN]])</f>
        <v>50400</v>
      </c>
      <c r="R40" s="25" t="str">
        <f>_xlfn.XLOOKUP(tbl_Ledger[[#This Row],[Account_Code]], tbl_Accounts[Account_Code], tbl_Accounts[Type])</f>
        <v>Revenue</v>
      </c>
      <c r="S40" s="25" t="str">
        <f>_xlfn.XLOOKUP(tbl_Ledger[[#This Row],[Account_Code]], tbl_Accounts[Account_Code], tbl_Accounts[PL_Bucket])</f>
        <v>Revenue</v>
      </c>
      <c r="T40" s="25">
        <f t="shared" si="0"/>
        <v>50400</v>
      </c>
    </row>
    <row r="41" spans="1:20">
      <c r="A41" t="s">
        <v>219</v>
      </c>
      <c r="B41" s="7">
        <v>45841</v>
      </c>
      <c r="C41" t="s">
        <v>93</v>
      </c>
      <c r="D41" t="s">
        <v>111</v>
      </c>
      <c r="E41" t="s">
        <v>170</v>
      </c>
      <c r="F41" s="12" t="s">
        <v>24</v>
      </c>
      <c r="G41" t="s">
        <v>25</v>
      </c>
      <c r="H41" t="s">
        <v>220</v>
      </c>
      <c r="I41" t="s">
        <v>71</v>
      </c>
      <c r="J41" s="6">
        <v>50400</v>
      </c>
      <c r="K41" t="s">
        <v>3</v>
      </c>
      <c r="L41" t="s">
        <v>214</v>
      </c>
      <c r="M41" t="s">
        <v>3</v>
      </c>
      <c r="N41" s="25" t="str">
        <f>TEXT(tbl_Ledger[[#This Row],[Date]],"yyyy-mm")</f>
        <v>2025-07</v>
      </c>
      <c r="O41" s="25" t="str">
        <f>TEXT(tbl_Ledger[[#This Row],[Date]],"yyyy-mm") &amp; TRIM(tbl_Ledger[[#This Row],[Currency]])</f>
        <v>2025-07NGN</v>
      </c>
      <c r="P41" s="25">
        <f>_xlfn.XLOOKUP(tbl_Ledger[[#This Row],[Key]], tbl_FX[Key], tbl_FX[Rate_to_NGN])</f>
        <v>1</v>
      </c>
      <c r="Q41" s="37">
        <f>IF(tbl_Ledger[[#This Row],[Account_Type]]="Expense",-ABS(tbl_Ledger[[#This Row],[Amount]]*tbl_Ledger[[#This Row],[Rate_to_NGN]]),tbl_Ledger[[#This Row],[Amount]]*tbl_Ledger[[#This Row],[Rate_to_NGN]])</f>
        <v>50400</v>
      </c>
      <c r="R41" s="25" t="str">
        <f>_xlfn.XLOOKUP(tbl_Ledger[[#This Row],[Account_Code]], tbl_Accounts[Account_Code], tbl_Accounts[Type])</f>
        <v>Revenue</v>
      </c>
      <c r="S41" s="25" t="str">
        <f>_xlfn.XLOOKUP(tbl_Ledger[[#This Row],[Account_Code]], tbl_Accounts[Account_Code], tbl_Accounts[PL_Bucket])</f>
        <v>Revenue</v>
      </c>
      <c r="T41" s="25">
        <f t="shared" si="0"/>
        <v>50400</v>
      </c>
    </row>
    <row r="42" spans="1:20">
      <c r="A42" t="s">
        <v>221</v>
      </c>
      <c r="B42" s="7">
        <v>45841</v>
      </c>
      <c r="C42" t="s">
        <v>93</v>
      </c>
      <c r="D42" t="s">
        <v>111</v>
      </c>
      <c r="E42" t="s">
        <v>122</v>
      </c>
      <c r="F42" s="12" t="s">
        <v>24</v>
      </c>
      <c r="G42" t="s">
        <v>25</v>
      </c>
      <c r="H42" t="s">
        <v>222</v>
      </c>
      <c r="I42" t="s">
        <v>71</v>
      </c>
      <c r="J42" s="6">
        <v>47300</v>
      </c>
      <c r="K42" t="s">
        <v>3</v>
      </c>
      <c r="L42" t="s">
        <v>223</v>
      </c>
      <c r="M42" t="s">
        <v>3</v>
      </c>
      <c r="N42" s="25" t="str">
        <f>TEXT(tbl_Ledger[[#This Row],[Date]],"yyyy-mm")</f>
        <v>2025-07</v>
      </c>
      <c r="O42" s="25" t="str">
        <f>TEXT(tbl_Ledger[[#This Row],[Date]],"yyyy-mm") &amp; TRIM(tbl_Ledger[[#This Row],[Currency]])</f>
        <v>2025-07NGN</v>
      </c>
      <c r="P42" s="25">
        <f>_xlfn.XLOOKUP(tbl_Ledger[[#This Row],[Key]], tbl_FX[Key], tbl_FX[Rate_to_NGN])</f>
        <v>1</v>
      </c>
      <c r="Q42" s="37">
        <f>IF(tbl_Ledger[[#This Row],[Account_Type]]="Expense",-ABS(tbl_Ledger[[#This Row],[Amount]]*tbl_Ledger[[#This Row],[Rate_to_NGN]]),tbl_Ledger[[#This Row],[Amount]]*tbl_Ledger[[#This Row],[Rate_to_NGN]])</f>
        <v>47300</v>
      </c>
      <c r="R42" s="25" t="str">
        <f>_xlfn.XLOOKUP(tbl_Ledger[[#This Row],[Account_Code]], tbl_Accounts[Account_Code], tbl_Accounts[Type])</f>
        <v>Revenue</v>
      </c>
      <c r="S42" s="25" t="str">
        <f>_xlfn.XLOOKUP(tbl_Ledger[[#This Row],[Account_Code]], tbl_Accounts[Account_Code], tbl_Accounts[PL_Bucket])</f>
        <v>Revenue</v>
      </c>
      <c r="T42" s="25">
        <f t="shared" si="0"/>
        <v>47300</v>
      </c>
    </row>
    <row r="43" spans="1:20">
      <c r="A43" t="s">
        <v>224</v>
      </c>
      <c r="B43" s="7">
        <v>45841</v>
      </c>
      <c r="C43" t="s">
        <v>126</v>
      </c>
      <c r="D43" t="s">
        <v>88</v>
      </c>
      <c r="E43" t="s">
        <v>127</v>
      </c>
      <c r="F43" s="12" t="s">
        <v>29</v>
      </c>
      <c r="G43" t="s">
        <v>30</v>
      </c>
      <c r="H43" t="s">
        <v>225</v>
      </c>
      <c r="I43" t="s">
        <v>72</v>
      </c>
      <c r="J43" s="6">
        <v>26.99</v>
      </c>
      <c r="K43" t="s">
        <v>129</v>
      </c>
      <c r="L43" t="s">
        <v>226</v>
      </c>
      <c r="M43" t="s">
        <v>3</v>
      </c>
      <c r="N43" s="25" t="str">
        <f>TEXT(tbl_Ledger[[#This Row],[Date]],"yyyy-mm")</f>
        <v>2025-07</v>
      </c>
      <c r="O43" s="25" t="str">
        <f>TEXT(tbl_Ledger[[#This Row],[Date]],"yyyy-mm") &amp; TRIM(tbl_Ledger[[#This Row],[Currency]])</f>
        <v>2025-07USD</v>
      </c>
      <c r="P43" s="25">
        <f>_xlfn.XLOOKUP(tbl_Ledger[[#This Row],[Key]], tbl_FX[Key], tbl_FX[Rate_to_NGN])</f>
        <v>1530</v>
      </c>
      <c r="Q43" s="37">
        <f>IF(tbl_Ledger[[#This Row],[Account_Type]]="Expense",-ABS(tbl_Ledger[[#This Row],[Amount]]*tbl_Ledger[[#This Row],[Rate_to_NGN]]),tbl_Ledger[[#This Row],[Amount]]*tbl_Ledger[[#This Row],[Rate_to_NGN]])</f>
        <v>41294.699999999997</v>
      </c>
      <c r="R43" s="25" t="str">
        <f>_xlfn.XLOOKUP(tbl_Ledger[[#This Row],[Account_Code]], tbl_Accounts[Account_Code], tbl_Accounts[Type])</f>
        <v>Revenue</v>
      </c>
      <c r="S43" s="25" t="str">
        <f>_xlfn.XLOOKUP(tbl_Ledger[[#This Row],[Account_Code]], tbl_Accounts[Account_Code], tbl_Accounts[PL_Bucket])</f>
        <v>Revenue</v>
      </c>
      <c r="T43" s="25">
        <f t="shared" si="0"/>
        <v>41294.699999999997</v>
      </c>
    </row>
    <row r="44" spans="1:20">
      <c r="A44" t="s">
        <v>227</v>
      </c>
      <c r="B44" s="7">
        <v>45841</v>
      </c>
      <c r="C44" t="s">
        <v>126</v>
      </c>
      <c r="D44" t="s">
        <v>88</v>
      </c>
      <c r="E44" t="s">
        <v>132</v>
      </c>
      <c r="F44" s="12" t="s">
        <v>29</v>
      </c>
      <c r="G44" t="s">
        <v>30</v>
      </c>
      <c r="H44" t="s">
        <v>228</v>
      </c>
      <c r="I44" t="s">
        <v>71</v>
      </c>
      <c r="J44" s="6">
        <v>40600</v>
      </c>
      <c r="K44" t="s">
        <v>134</v>
      </c>
      <c r="L44" t="s">
        <v>226</v>
      </c>
      <c r="M44" t="s">
        <v>3</v>
      </c>
      <c r="N44" s="25" t="str">
        <f>TEXT(tbl_Ledger[[#This Row],[Date]],"yyyy-mm")</f>
        <v>2025-07</v>
      </c>
      <c r="O44" s="25" t="str">
        <f>TEXT(tbl_Ledger[[#This Row],[Date]],"yyyy-mm") &amp; TRIM(tbl_Ledger[[#This Row],[Currency]])</f>
        <v>2025-07NGN</v>
      </c>
      <c r="P44" s="25">
        <f>_xlfn.XLOOKUP(tbl_Ledger[[#This Row],[Key]], tbl_FX[Key], tbl_FX[Rate_to_NGN])</f>
        <v>1</v>
      </c>
      <c r="Q44" s="37">
        <f>IF(tbl_Ledger[[#This Row],[Account_Type]]="Expense",-ABS(tbl_Ledger[[#This Row],[Amount]]*tbl_Ledger[[#This Row],[Rate_to_NGN]]),tbl_Ledger[[#This Row],[Amount]]*tbl_Ledger[[#This Row],[Rate_to_NGN]])</f>
        <v>40600</v>
      </c>
      <c r="R44" s="25" t="str">
        <f>_xlfn.XLOOKUP(tbl_Ledger[[#This Row],[Account_Code]], tbl_Accounts[Account_Code], tbl_Accounts[Type])</f>
        <v>Revenue</v>
      </c>
      <c r="S44" s="25" t="str">
        <f>_xlfn.XLOOKUP(tbl_Ledger[[#This Row],[Account_Code]], tbl_Accounts[Account_Code], tbl_Accounts[PL_Bucket])</f>
        <v>Revenue</v>
      </c>
      <c r="T44" s="25">
        <f t="shared" si="0"/>
        <v>40600</v>
      </c>
    </row>
    <row r="45" spans="1:20">
      <c r="A45" t="s">
        <v>229</v>
      </c>
      <c r="B45" s="7">
        <v>45841</v>
      </c>
      <c r="C45" t="s">
        <v>126</v>
      </c>
      <c r="D45" t="s">
        <v>88</v>
      </c>
      <c r="E45" t="s">
        <v>136</v>
      </c>
      <c r="F45" s="12" t="s">
        <v>29</v>
      </c>
      <c r="G45" t="s">
        <v>30</v>
      </c>
      <c r="H45" t="s">
        <v>230</v>
      </c>
      <c r="I45" t="s">
        <v>72</v>
      </c>
      <c r="J45" s="6">
        <v>30.52</v>
      </c>
      <c r="K45" t="s">
        <v>138</v>
      </c>
      <c r="L45" t="s">
        <v>226</v>
      </c>
      <c r="M45" t="s">
        <v>3</v>
      </c>
      <c r="N45" s="25" t="str">
        <f>TEXT(tbl_Ledger[[#This Row],[Date]],"yyyy-mm")</f>
        <v>2025-07</v>
      </c>
      <c r="O45" s="25" t="str">
        <f>TEXT(tbl_Ledger[[#This Row],[Date]],"yyyy-mm") &amp; TRIM(tbl_Ledger[[#This Row],[Currency]])</f>
        <v>2025-07USD</v>
      </c>
      <c r="P45" s="25">
        <f>_xlfn.XLOOKUP(tbl_Ledger[[#This Row],[Key]], tbl_FX[Key], tbl_FX[Rate_to_NGN])</f>
        <v>1530</v>
      </c>
      <c r="Q45" s="37">
        <f>IF(tbl_Ledger[[#This Row],[Account_Type]]="Expense",-ABS(tbl_Ledger[[#This Row],[Amount]]*tbl_Ledger[[#This Row],[Rate_to_NGN]]),tbl_Ledger[[#This Row],[Amount]]*tbl_Ledger[[#This Row],[Rate_to_NGN]])</f>
        <v>46695.6</v>
      </c>
      <c r="R45" s="25" t="str">
        <f>_xlfn.XLOOKUP(tbl_Ledger[[#This Row],[Account_Code]], tbl_Accounts[Account_Code], tbl_Accounts[Type])</f>
        <v>Revenue</v>
      </c>
      <c r="S45" s="25" t="str">
        <f>_xlfn.XLOOKUP(tbl_Ledger[[#This Row],[Account_Code]], tbl_Accounts[Account_Code], tbl_Accounts[PL_Bucket])</f>
        <v>Revenue</v>
      </c>
      <c r="T45" s="25">
        <f t="shared" si="0"/>
        <v>46695.6</v>
      </c>
    </row>
    <row r="46" spans="1:20">
      <c r="A46" t="s">
        <v>231</v>
      </c>
      <c r="B46" s="7">
        <v>45841</v>
      </c>
      <c r="C46" t="s">
        <v>126</v>
      </c>
      <c r="D46" t="s">
        <v>88</v>
      </c>
      <c r="E46" t="s">
        <v>140</v>
      </c>
      <c r="F46" s="12" t="s">
        <v>29</v>
      </c>
      <c r="G46" t="s">
        <v>30</v>
      </c>
      <c r="H46" t="s">
        <v>232</v>
      </c>
      <c r="I46" t="s">
        <v>71</v>
      </c>
      <c r="J46" s="6">
        <v>40000</v>
      </c>
      <c r="K46" t="s">
        <v>3</v>
      </c>
      <c r="L46" t="s">
        <v>233</v>
      </c>
      <c r="M46" t="s">
        <v>3</v>
      </c>
      <c r="N46" s="25" t="str">
        <f>TEXT(tbl_Ledger[[#This Row],[Date]],"yyyy-mm")</f>
        <v>2025-07</v>
      </c>
      <c r="O46" s="25" t="str">
        <f>TEXT(tbl_Ledger[[#This Row],[Date]],"yyyy-mm") &amp; TRIM(tbl_Ledger[[#This Row],[Currency]])</f>
        <v>2025-07NGN</v>
      </c>
      <c r="P46" s="25">
        <f>_xlfn.XLOOKUP(tbl_Ledger[[#This Row],[Key]], tbl_FX[Key], tbl_FX[Rate_to_NGN])</f>
        <v>1</v>
      </c>
      <c r="Q46" s="37">
        <f>IF(tbl_Ledger[[#This Row],[Account_Type]]="Expense",-ABS(tbl_Ledger[[#This Row],[Amount]]*tbl_Ledger[[#This Row],[Rate_to_NGN]]),tbl_Ledger[[#This Row],[Amount]]*tbl_Ledger[[#This Row],[Rate_to_NGN]])</f>
        <v>40000</v>
      </c>
      <c r="R46" s="25" t="str">
        <f>_xlfn.XLOOKUP(tbl_Ledger[[#This Row],[Account_Code]], tbl_Accounts[Account_Code], tbl_Accounts[Type])</f>
        <v>Revenue</v>
      </c>
      <c r="S46" s="25" t="str">
        <f>_xlfn.XLOOKUP(tbl_Ledger[[#This Row],[Account_Code]], tbl_Accounts[Account_Code], tbl_Accounts[PL_Bucket])</f>
        <v>Revenue</v>
      </c>
      <c r="T46" s="25">
        <f t="shared" si="0"/>
        <v>40000</v>
      </c>
    </row>
    <row r="47" spans="1:20">
      <c r="A47" t="s">
        <v>234</v>
      </c>
      <c r="B47" s="7">
        <v>45841</v>
      </c>
      <c r="C47" t="s">
        <v>93</v>
      </c>
      <c r="D47" t="s">
        <v>111</v>
      </c>
      <c r="E47" t="s">
        <v>112</v>
      </c>
      <c r="F47" s="12" t="s">
        <v>31</v>
      </c>
      <c r="G47" t="s">
        <v>32</v>
      </c>
      <c r="H47" t="s">
        <v>235</v>
      </c>
      <c r="I47" t="s">
        <v>71</v>
      </c>
      <c r="J47" s="6">
        <v>146038</v>
      </c>
      <c r="K47" t="s">
        <v>3</v>
      </c>
      <c r="L47" t="s">
        <v>236</v>
      </c>
      <c r="M47" t="s">
        <v>237</v>
      </c>
      <c r="N47" s="25" t="str">
        <f>TEXT(tbl_Ledger[[#This Row],[Date]],"yyyy-mm")</f>
        <v>2025-07</v>
      </c>
      <c r="O47" s="25" t="str">
        <f>TEXT(tbl_Ledger[[#This Row],[Date]],"yyyy-mm") &amp; TRIM(tbl_Ledger[[#This Row],[Currency]])</f>
        <v>2025-07NGN</v>
      </c>
      <c r="P47" s="25">
        <f>_xlfn.XLOOKUP(tbl_Ledger[[#This Row],[Key]], tbl_FX[Key], tbl_FX[Rate_to_NGN])</f>
        <v>1</v>
      </c>
      <c r="Q47" s="37">
        <f>IF(tbl_Ledger[[#This Row],[Account_Type]]="Expense",-ABS(tbl_Ledger[[#This Row],[Amount]]*tbl_Ledger[[#This Row],[Rate_to_NGN]]),tbl_Ledger[[#This Row],[Amount]]*tbl_Ledger[[#This Row],[Rate_to_NGN]])</f>
        <v>146038</v>
      </c>
      <c r="R47" s="25" t="str">
        <f>_xlfn.XLOOKUP(tbl_Ledger[[#This Row],[Account_Code]], tbl_Accounts[Account_Code], tbl_Accounts[Type])</f>
        <v>Revenue</v>
      </c>
      <c r="S47" s="25" t="str">
        <f>_xlfn.XLOOKUP(tbl_Ledger[[#This Row],[Account_Code]], tbl_Accounts[Account_Code], tbl_Accounts[PL_Bucket])</f>
        <v>Revenue</v>
      </c>
      <c r="T47" s="25">
        <f t="shared" si="0"/>
        <v>146038</v>
      </c>
    </row>
    <row r="48" spans="1:20">
      <c r="A48" t="s">
        <v>238</v>
      </c>
      <c r="B48" s="7">
        <v>45842</v>
      </c>
      <c r="C48" t="s">
        <v>93</v>
      </c>
      <c r="D48" t="s">
        <v>94</v>
      </c>
      <c r="E48" t="s">
        <v>95</v>
      </c>
      <c r="F48" s="12" t="s">
        <v>24</v>
      </c>
      <c r="G48" t="s">
        <v>25</v>
      </c>
      <c r="H48" t="s">
        <v>239</v>
      </c>
      <c r="I48" t="s">
        <v>71</v>
      </c>
      <c r="J48" s="6">
        <v>30400</v>
      </c>
      <c r="K48" t="s">
        <v>3</v>
      </c>
      <c r="L48" t="s">
        <v>240</v>
      </c>
      <c r="M48" t="s">
        <v>3</v>
      </c>
      <c r="N48" s="25" t="str">
        <f>TEXT(tbl_Ledger[[#This Row],[Date]],"yyyy-mm")</f>
        <v>2025-07</v>
      </c>
      <c r="O48" s="25" t="str">
        <f>TEXT(tbl_Ledger[[#This Row],[Date]],"yyyy-mm") &amp; TRIM(tbl_Ledger[[#This Row],[Currency]])</f>
        <v>2025-07NGN</v>
      </c>
      <c r="P48" s="25">
        <f>_xlfn.XLOOKUP(tbl_Ledger[[#This Row],[Key]], tbl_FX[Key], tbl_FX[Rate_to_NGN])</f>
        <v>1</v>
      </c>
      <c r="Q48" s="37">
        <f>IF(tbl_Ledger[[#This Row],[Account_Type]]="Expense",-ABS(tbl_Ledger[[#This Row],[Amount]]*tbl_Ledger[[#This Row],[Rate_to_NGN]]),tbl_Ledger[[#This Row],[Amount]]*tbl_Ledger[[#This Row],[Rate_to_NGN]])</f>
        <v>30400</v>
      </c>
      <c r="R48" s="25" t="str">
        <f>_xlfn.XLOOKUP(tbl_Ledger[[#This Row],[Account_Code]], tbl_Accounts[Account_Code], tbl_Accounts[Type])</f>
        <v>Revenue</v>
      </c>
      <c r="S48" s="25" t="str">
        <f>_xlfn.XLOOKUP(tbl_Ledger[[#This Row],[Account_Code]], tbl_Accounts[Account_Code], tbl_Accounts[PL_Bucket])</f>
        <v>Revenue</v>
      </c>
      <c r="T48" s="25">
        <f t="shared" si="0"/>
        <v>30400</v>
      </c>
    </row>
    <row r="49" spans="1:20">
      <c r="A49" t="s">
        <v>241</v>
      </c>
      <c r="B49" s="7">
        <v>45842</v>
      </c>
      <c r="C49" t="s">
        <v>93</v>
      </c>
      <c r="D49" t="s">
        <v>94</v>
      </c>
      <c r="E49" t="s">
        <v>99</v>
      </c>
      <c r="F49" s="12" t="s">
        <v>24</v>
      </c>
      <c r="G49" t="s">
        <v>25</v>
      </c>
      <c r="H49" t="s">
        <v>242</v>
      </c>
      <c r="I49" t="s">
        <v>71</v>
      </c>
      <c r="J49" s="6">
        <v>29300</v>
      </c>
      <c r="K49" t="s">
        <v>3</v>
      </c>
      <c r="L49" t="s">
        <v>243</v>
      </c>
      <c r="M49" t="s">
        <v>3</v>
      </c>
      <c r="N49" s="25" t="str">
        <f>TEXT(tbl_Ledger[[#This Row],[Date]],"yyyy-mm")</f>
        <v>2025-07</v>
      </c>
      <c r="O49" s="25" t="str">
        <f>TEXT(tbl_Ledger[[#This Row],[Date]],"yyyy-mm") &amp; TRIM(tbl_Ledger[[#This Row],[Currency]])</f>
        <v>2025-07NGN</v>
      </c>
      <c r="P49" s="25">
        <f>_xlfn.XLOOKUP(tbl_Ledger[[#This Row],[Key]], tbl_FX[Key], tbl_FX[Rate_to_NGN])</f>
        <v>1</v>
      </c>
      <c r="Q49" s="37">
        <f>IF(tbl_Ledger[[#This Row],[Account_Type]]="Expense",-ABS(tbl_Ledger[[#This Row],[Amount]]*tbl_Ledger[[#This Row],[Rate_to_NGN]]),tbl_Ledger[[#This Row],[Amount]]*tbl_Ledger[[#This Row],[Rate_to_NGN]])</f>
        <v>29300</v>
      </c>
      <c r="R49" s="25" t="str">
        <f>_xlfn.XLOOKUP(tbl_Ledger[[#This Row],[Account_Code]], tbl_Accounts[Account_Code], tbl_Accounts[Type])</f>
        <v>Revenue</v>
      </c>
      <c r="S49" s="25" t="str">
        <f>_xlfn.XLOOKUP(tbl_Ledger[[#This Row],[Account_Code]], tbl_Accounts[Account_Code], tbl_Accounts[PL_Bucket])</f>
        <v>Revenue</v>
      </c>
      <c r="T49" s="25">
        <f t="shared" si="0"/>
        <v>29300</v>
      </c>
    </row>
    <row r="50" spans="1:20">
      <c r="A50" t="s">
        <v>244</v>
      </c>
      <c r="B50" s="7">
        <v>45842</v>
      </c>
      <c r="C50" t="s">
        <v>93</v>
      </c>
      <c r="D50" t="s">
        <v>94</v>
      </c>
      <c r="E50" t="s">
        <v>103</v>
      </c>
      <c r="F50" s="12" t="s">
        <v>24</v>
      </c>
      <c r="G50" t="s">
        <v>25</v>
      </c>
      <c r="H50" t="s">
        <v>245</v>
      </c>
      <c r="I50" t="s">
        <v>71</v>
      </c>
      <c r="J50" s="6">
        <v>29200</v>
      </c>
      <c r="K50" t="s">
        <v>3</v>
      </c>
      <c r="L50" t="s">
        <v>246</v>
      </c>
      <c r="M50" t="s">
        <v>3</v>
      </c>
      <c r="N50" s="25" t="str">
        <f>TEXT(tbl_Ledger[[#This Row],[Date]],"yyyy-mm")</f>
        <v>2025-07</v>
      </c>
      <c r="O50" s="25" t="str">
        <f>TEXT(tbl_Ledger[[#This Row],[Date]],"yyyy-mm") &amp; TRIM(tbl_Ledger[[#This Row],[Currency]])</f>
        <v>2025-07NGN</v>
      </c>
      <c r="P50" s="25">
        <f>_xlfn.XLOOKUP(tbl_Ledger[[#This Row],[Key]], tbl_FX[Key], tbl_FX[Rate_to_NGN])</f>
        <v>1</v>
      </c>
      <c r="Q50" s="37">
        <f>IF(tbl_Ledger[[#This Row],[Account_Type]]="Expense",-ABS(tbl_Ledger[[#This Row],[Amount]]*tbl_Ledger[[#This Row],[Rate_to_NGN]]),tbl_Ledger[[#This Row],[Amount]]*tbl_Ledger[[#This Row],[Rate_to_NGN]])</f>
        <v>29200</v>
      </c>
      <c r="R50" s="25" t="str">
        <f>_xlfn.XLOOKUP(tbl_Ledger[[#This Row],[Account_Code]], tbl_Accounts[Account_Code], tbl_Accounts[Type])</f>
        <v>Revenue</v>
      </c>
      <c r="S50" s="25" t="str">
        <f>_xlfn.XLOOKUP(tbl_Ledger[[#This Row],[Account_Code]], tbl_Accounts[Account_Code], tbl_Accounts[PL_Bucket])</f>
        <v>Revenue</v>
      </c>
      <c r="T50" s="25">
        <f t="shared" si="0"/>
        <v>29200</v>
      </c>
    </row>
    <row r="51" spans="1:20">
      <c r="A51" t="s">
        <v>247</v>
      </c>
      <c r="B51" s="7">
        <v>45842</v>
      </c>
      <c r="C51" t="s">
        <v>93</v>
      </c>
      <c r="D51" t="s">
        <v>94</v>
      </c>
      <c r="E51" t="s">
        <v>160</v>
      </c>
      <c r="F51" s="12" t="s">
        <v>24</v>
      </c>
      <c r="G51" t="s">
        <v>25</v>
      </c>
      <c r="H51" t="s">
        <v>248</v>
      </c>
      <c r="I51" t="s">
        <v>71</v>
      </c>
      <c r="J51" s="6">
        <v>27300</v>
      </c>
      <c r="K51" t="s">
        <v>3</v>
      </c>
      <c r="L51" t="s">
        <v>246</v>
      </c>
      <c r="M51" t="s">
        <v>3</v>
      </c>
      <c r="N51" s="25" t="str">
        <f>TEXT(tbl_Ledger[[#This Row],[Date]],"yyyy-mm")</f>
        <v>2025-07</v>
      </c>
      <c r="O51" s="25" t="str">
        <f>TEXT(tbl_Ledger[[#This Row],[Date]],"yyyy-mm") &amp; TRIM(tbl_Ledger[[#This Row],[Currency]])</f>
        <v>2025-07NGN</v>
      </c>
      <c r="P51" s="25">
        <f>_xlfn.XLOOKUP(tbl_Ledger[[#This Row],[Key]], tbl_FX[Key], tbl_FX[Rate_to_NGN])</f>
        <v>1</v>
      </c>
      <c r="Q51" s="37">
        <f>IF(tbl_Ledger[[#This Row],[Account_Type]]="Expense",-ABS(tbl_Ledger[[#This Row],[Amount]]*tbl_Ledger[[#This Row],[Rate_to_NGN]]),tbl_Ledger[[#This Row],[Amount]]*tbl_Ledger[[#This Row],[Rate_to_NGN]])</f>
        <v>27300</v>
      </c>
      <c r="R51" s="25" t="str">
        <f>_xlfn.XLOOKUP(tbl_Ledger[[#This Row],[Account_Code]], tbl_Accounts[Account_Code], tbl_Accounts[Type])</f>
        <v>Revenue</v>
      </c>
      <c r="S51" s="25" t="str">
        <f>_xlfn.XLOOKUP(tbl_Ledger[[#This Row],[Account_Code]], tbl_Accounts[Account_Code], tbl_Accounts[PL_Bucket])</f>
        <v>Revenue</v>
      </c>
      <c r="T51" s="25">
        <f t="shared" si="0"/>
        <v>27300</v>
      </c>
    </row>
    <row r="52" spans="1:20">
      <c r="A52" t="s">
        <v>249</v>
      </c>
      <c r="B52" s="7">
        <v>45842</v>
      </c>
      <c r="C52" t="s">
        <v>93</v>
      </c>
      <c r="D52" t="s">
        <v>94</v>
      </c>
      <c r="E52" t="s">
        <v>107</v>
      </c>
      <c r="F52" s="12" t="s">
        <v>24</v>
      </c>
      <c r="G52" t="s">
        <v>25</v>
      </c>
      <c r="H52" t="s">
        <v>250</v>
      </c>
      <c r="I52" t="s">
        <v>71</v>
      </c>
      <c r="J52" s="6">
        <v>27600</v>
      </c>
      <c r="K52" t="s">
        <v>3</v>
      </c>
      <c r="L52" t="s">
        <v>251</v>
      </c>
      <c r="M52" t="s">
        <v>3</v>
      </c>
      <c r="N52" s="25" t="str">
        <f>TEXT(tbl_Ledger[[#This Row],[Date]],"yyyy-mm")</f>
        <v>2025-07</v>
      </c>
      <c r="O52" s="25" t="str">
        <f>TEXT(tbl_Ledger[[#This Row],[Date]],"yyyy-mm") &amp; TRIM(tbl_Ledger[[#This Row],[Currency]])</f>
        <v>2025-07NGN</v>
      </c>
      <c r="P52" s="25">
        <f>_xlfn.XLOOKUP(tbl_Ledger[[#This Row],[Key]], tbl_FX[Key], tbl_FX[Rate_to_NGN])</f>
        <v>1</v>
      </c>
      <c r="Q52" s="37">
        <f>IF(tbl_Ledger[[#This Row],[Account_Type]]="Expense",-ABS(tbl_Ledger[[#This Row],[Amount]]*tbl_Ledger[[#This Row],[Rate_to_NGN]]),tbl_Ledger[[#This Row],[Amount]]*tbl_Ledger[[#This Row],[Rate_to_NGN]])</f>
        <v>27600</v>
      </c>
      <c r="R52" s="25" t="str">
        <f>_xlfn.XLOOKUP(tbl_Ledger[[#This Row],[Account_Code]], tbl_Accounts[Account_Code], tbl_Accounts[Type])</f>
        <v>Revenue</v>
      </c>
      <c r="S52" s="25" t="str">
        <f>_xlfn.XLOOKUP(tbl_Ledger[[#This Row],[Account_Code]], tbl_Accounts[Account_Code], tbl_Accounts[PL_Bucket])</f>
        <v>Revenue</v>
      </c>
      <c r="T52" s="25">
        <f t="shared" si="0"/>
        <v>27600</v>
      </c>
    </row>
    <row r="53" spans="1:20">
      <c r="A53" t="s">
        <v>252</v>
      </c>
      <c r="B53" s="7">
        <v>45842</v>
      </c>
      <c r="C53" t="s">
        <v>93</v>
      </c>
      <c r="D53" t="s">
        <v>111</v>
      </c>
      <c r="E53" t="s">
        <v>112</v>
      </c>
      <c r="F53" s="12" t="s">
        <v>24</v>
      </c>
      <c r="G53" t="s">
        <v>25</v>
      </c>
      <c r="H53" t="s">
        <v>253</v>
      </c>
      <c r="I53" t="s">
        <v>71</v>
      </c>
      <c r="J53" s="6">
        <v>49800</v>
      </c>
      <c r="K53" t="s">
        <v>3</v>
      </c>
      <c r="L53" t="s">
        <v>254</v>
      </c>
      <c r="M53" t="s">
        <v>3</v>
      </c>
      <c r="N53" s="25" t="str">
        <f>TEXT(tbl_Ledger[[#This Row],[Date]],"yyyy-mm")</f>
        <v>2025-07</v>
      </c>
      <c r="O53" s="25" t="str">
        <f>TEXT(tbl_Ledger[[#This Row],[Date]],"yyyy-mm") &amp; TRIM(tbl_Ledger[[#This Row],[Currency]])</f>
        <v>2025-07NGN</v>
      </c>
      <c r="P53" s="25">
        <f>_xlfn.XLOOKUP(tbl_Ledger[[#This Row],[Key]], tbl_FX[Key], tbl_FX[Rate_to_NGN])</f>
        <v>1</v>
      </c>
      <c r="Q53" s="37">
        <f>IF(tbl_Ledger[[#This Row],[Account_Type]]="Expense",-ABS(tbl_Ledger[[#This Row],[Amount]]*tbl_Ledger[[#This Row],[Rate_to_NGN]]),tbl_Ledger[[#This Row],[Amount]]*tbl_Ledger[[#This Row],[Rate_to_NGN]])</f>
        <v>49800</v>
      </c>
      <c r="R53" s="25" t="str">
        <f>_xlfn.XLOOKUP(tbl_Ledger[[#This Row],[Account_Code]], tbl_Accounts[Account_Code], tbl_Accounts[Type])</f>
        <v>Revenue</v>
      </c>
      <c r="S53" s="25" t="str">
        <f>_xlfn.XLOOKUP(tbl_Ledger[[#This Row],[Account_Code]], tbl_Accounts[Account_Code], tbl_Accounts[PL_Bucket])</f>
        <v>Revenue</v>
      </c>
      <c r="T53" s="25">
        <f t="shared" si="0"/>
        <v>49800</v>
      </c>
    </row>
    <row r="54" spans="1:20">
      <c r="A54" t="s">
        <v>255</v>
      </c>
      <c r="B54" s="7">
        <v>45842</v>
      </c>
      <c r="C54" t="s">
        <v>93</v>
      </c>
      <c r="D54" t="s">
        <v>111</v>
      </c>
      <c r="E54" t="s">
        <v>116</v>
      </c>
      <c r="F54" s="12" t="s">
        <v>24</v>
      </c>
      <c r="G54" t="s">
        <v>25</v>
      </c>
      <c r="H54" t="s">
        <v>256</v>
      </c>
      <c r="I54" t="s">
        <v>71</v>
      </c>
      <c r="J54" s="6">
        <v>50600</v>
      </c>
      <c r="K54" t="s">
        <v>3</v>
      </c>
      <c r="L54" t="s">
        <v>254</v>
      </c>
      <c r="M54" t="s">
        <v>3</v>
      </c>
      <c r="N54" s="25" t="str">
        <f>TEXT(tbl_Ledger[[#This Row],[Date]],"yyyy-mm")</f>
        <v>2025-07</v>
      </c>
      <c r="O54" s="25" t="str">
        <f>TEXT(tbl_Ledger[[#This Row],[Date]],"yyyy-mm") &amp; TRIM(tbl_Ledger[[#This Row],[Currency]])</f>
        <v>2025-07NGN</v>
      </c>
      <c r="P54" s="25">
        <f>_xlfn.XLOOKUP(tbl_Ledger[[#This Row],[Key]], tbl_FX[Key], tbl_FX[Rate_to_NGN])</f>
        <v>1</v>
      </c>
      <c r="Q54" s="37">
        <f>IF(tbl_Ledger[[#This Row],[Account_Type]]="Expense",-ABS(tbl_Ledger[[#This Row],[Amount]]*tbl_Ledger[[#This Row],[Rate_to_NGN]]),tbl_Ledger[[#This Row],[Amount]]*tbl_Ledger[[#This Row],[Rate_to_NGN]])</f>
        <v>50600</v>
      </c>
      <c r="R54" s="25" t="str">
        <f>_xlfn.XLOOKUP(tbl_Ledger[[#This Row],[Account_Code]], tbl_Accounts[Account_Code], tbl_Accounts[Type])</f>
        <v>Revenue</v>
      </c>
      <c r="S54" s="25" t="str">
        <f>_xlfn.XLOOKUP(tbl_Ledger[[#This Row],[Account_Code]], tbl_Accounts[Account_Code], tbl_Accounts[PL_Bucket])</f>
        <v>Revenue</v>
      </c>
      <c r="T54" s="25">
        <f t="shared" si="0"/>
        <v>50600</v>
      </c>
    </row>
    <row r="55" spans="1:20">
      <c r="A55" t="s">
        <v>257</v>
      </c>
      <c r="B55" s="7">
        <v>45842</v>
      </c>
      <c r="C55" t="s">
        <v>93</v>
      </c>
      <c r="D55" t="s">
        <v>111</v>
      </c>
      <c r="E55" t="s">
        <v>119</v>
      </c>
      <c r="F55" s="12" t="s">
        <v>24</v>
      </c>
      <c r="G55" t="s">
        <v>25</v>
      </c>
      <c r="H55" t="s">
        <v>258</v>
      </c>
      <c r="I55" t="s">
        <v>71</v>
      </c>
      <c r="J55" s="6">
        <v>46100</v>
      </c>
      <c r="K55" t="s">
        <v>3</v>
      </c>
      <c r="L55" t="s">
        <v>254</v>
      </c>
      <c r="M55" t="s">
        <v>3</v>
      </c>
      <c r="N55" s="25" t="str">
        <f>TEXT(tbl_Ledger[[#This Row],[Date]],"yyyy-mm")</f>
        <v>2025-07</v>
      </c>
      <c r="O55" s="25" t="str">
        <f>TEXT(tbl_Ledger[[#This Row],[Date]],"yyyy-mm") &amp; TRIM(tbl_Ledger[[#This Row],[Currency]])</f>
        <v>2025-07NGN</v>
      </c>
      <c r="P55" s="25">
        <f>_xlfn.XLOOKUP(tbl_Ledger[[#This Row],[Key]], tbl_FX[Key], tbl_FX[Rate_to_NGN])</f>
        <v>1</v>
      </c>
      <c r="Q55" s="37">
        <f>IF(tbl_Ledger[[#This Row],[Account_Type]]="Expense",-ABS(tbl_Ledger[[#This Row],[Amount]]*tbl_Ledger[[#This Row],[Rate_to_NGN]]),tbl_Ledger[[#This Row],[Amount]]*tbl_Ledger[[#This Row],[Rate_to_NGN]])</f>
        <v>46100</v>
      </c>
      <c r="R55" s="25" t="str">
        <f>_xlfn.XLOOKUP(tbl_Ledger[[#This Row],[Account_Code]], tbl_Accounts[Account_Code], tbl_Accounts[Type])</f>
        <v>Revenue</v>
      </c>
      <c r="S55" s="25" t="str">
        <f>_xlfn.XLOOKUP(tbl_Ledger[[#This Row],[Account_Code]], tbl_Accounts[Account_Code], tbl_Accounts[PL_Bucket])</f>
        <v>Revenue</v>
      </c>
      <c r="T55" s="25">
        <f t="shared" si="0"/>
        <v>46100</v>
      </c>
    </row>
    <row r="56" spans="1:20">
      <c r="A56" t="s">
        <v>259</v>
      </c>
      <c r="B56" s="7">
        <v>45842</v>
      </c>
      <c r="C56" t="s">
        <v>93</v>
      </c>
      <c r="D56" t="s">
        <v>111</v>
      </c>
      <c r="E56" t="s">
        <v>170</v>
      </c>
      <c r="F56" s="12" t="s">
        <v>24</v>
      </c>
      <c r="G56" t="s">
        <v>25</v>
      </c>
      <c r="H56" t="s">
        <v>260</v>
      </c>
      <c r="I56" t="s">
        <v>71</v>
      </c>
      <c r="J56" s="6">
        <v>46200</v>
      </c>
      <c r="K56" t="s">
        <v>3</v>
      </c>
      <c r="L56" t="s">
        <v>254</v>
      </c>
      <c r="M56" t="s">
        <v>3</v>
      </c>
      <c r="N56" s="25" t="str">
        <f>TEXT(tbl_Ledger[[#This Row],[Date]],"yyyy-mm")</f>
        <v>2025-07</v>
      </c>
      <c r="O56" s="25" t="str">
        <f>TEXT(tbl_Ledger[[#This Row],[Date]],"yyyy-mm") &amp; TRIM(tbl_Ledger[[#This Row],[Currency]])</f>
        <v>2025-07NGN</v>
      </c>
      <c r="P56" s="25">
        <f>_xlfn.XLOOKUP(tbl_Ledger[[#This Row],[Key]], tbl_FX[Key], tbl_FX[Rate_to_NGN])</f>
        <v>1</v>
      </c>
      <c r="Q56" s="37">
        <f>IF(tbl_Ledger[[#This Row],[Account_Type]]="Expense",-ABS(tbl_Ledger[[#This Row],[Amount]]*tbl_Ledger[[#This Row],[Rate_to_NGN]]),tbl_Ledger[[#This Row],[Amount]]*tbl_Ledger[[#This Row],[Rate_to_NGN]])</f>
        <v>46200</v>
      </c>
      <c r="R56" s="25" t="str">
        <f>_xlfn.XLOOKUP(tbl_Ledger[[#This Row],[Account_Code]], tbl_Accounts[Account_Code], tbl_Accounts[Type])</f>
        <v>Revenue</v>
      </c>
      <c r="S56" s="25" t="str">
        <f>_xlfn.XLOOKUP(tbl_Ledger[[#This Row],[Account_Code]], tbl_Accounts[Account_Code], tbl_Accounts[PL_Bucket])</f>
        <v>Revenue</v>
      </c>
      <c r="T56" s="25">
        <f t="shared" si="0"/>
        <v>46200</v>
      </c>
    </row>
    <row r="57" spans="1:20">
      <c r="A57" t="s">
        <v>261</v>
      </c>
      <c r="B57" s="7">
        <v>45842</v>
      </c>
      <c r="C57" t="s">
        <v>93</v>
      </c>
      <c r="D57" t="s">
        <v>111</v>
      </c>
      <c r="E57" t="s">
        <v>122</v>
      </c>
      <c r="F57" s="12" t="s">
        <v>24</v>
      </c>
      <c r="G57" t="s">
        <v>25</v>
      </c>
      <c r="H57" t="s">
        <v>262</v>
      </c>
      <c r="I57" t="s">
        <v>71</v>
      </c>
      <c r="J57" s="6">
        <v>46900</v>
      </c>
      <c r="K57" t="s">
        <v>3</v>
      </c>
      <c r="L57" t="s">
        <v>263</v>
      </c>
      <c r="M57" t="s">
        <v>3</v>
      </c>
      <c r="N57" s="25" t="str">
        <f>TEXT(tbl_Ledger[[#This Row],[Date]],"yyyy-mm")</f>
        <v>2025-07</v>
      </c>
      <c r="O57" s="25" t="str">
        <f>TEXT(tbl_Ledger[[#This Row],[Date]],"yyyy-mm") &amp; TRIM(tbl_Ledger[[#This Row],[Currency]])</f>
        <v>2025-07NGN</v>
      </c>
      <c r="P57" s="25">
        <f>_xlfn.XLOOKUP(tbl_Ledger[[#This Row],[Key]], tbl_FX[Key], tbl_FX[Rate_to_NGN])</f>
        <v>1</v>
      </c>
      <c r="Q57" s="37">
        <f>IF(tbl_Ledger[[#This Row],[Account_Type]]="Expense",-ABS(tbl_Ledger[[#This Row],[Amount]]*tbl_Ledger[[#This Row],[Rate_to_NGN]]),tbl_Ledger[[#This Row],[Amount]]*tbl_Ledger[[#This Row],[Rate_to_NGN]])</f>
        <v>46900</v>
      </c>
      <c r="R57" s="25" t="str">
        <f>_xlfn.XLOOKUP(tbl_Ledger[[#This Row],[Account_Code]], tbl_Accounts[Account_Code], tbl_Accounts[Type])</f>
        <v>Revenue</v>
      </c>
      <c r="S57" s="25" t="str">
        <f>_xlfn.XLOOKUP(tbl_Ledger[[#This Row],[Account_Code]], tbl_Accounts[Account_Code], tbl_Accounts[PL_Bucket])</f>
        <v>Revenue</v>
      </c>
      <c r="T57" s="25">
        <f t="shared" si="0"/>
        <v>46900</v>
      </c>
    </row>
    <row r="58" spans="1:20">
      <c r="A58" t="s">
        <v>264</v>
      </c>
      <c r="B58" s="7">
        <v>45842</v>
      </c>
      <c r="C58" t="s">
        <v>126</v>
      </c>
      <c r="D58" t="s">
        <v>88</v>
      </c>
      <c r="E58" t="s">
        <v>127</v>
      </c>
      <c r="F58" s="12" t="s">
        <v>29</v>
      </c>
      <c r="G58" t="s">
        <v>30</v>
      </c>
      <c r="H58" t="s">
        <v>265</v>
      </c>
      <c r="I58" t="s">
        <v>71</v>
      </c>
      <c r="J58" s="6">
        <v>44700</v>
      </c>
      <c r="K58" t="s">
        <v>129</v>
      </c>
      <c r="L58" t="s">
        <v>266</v>
      </c>
      <c r="M58" t="s">
        <v>3</v>
      </c>
      <c r="N58" s="25" t="str">
        <f>TEXT(tbl_Ledger[[#This Row],[Date]],"yyyy-mm")</f>
        <v>2025-07</v>
      </c>
      <c r="O58" s="25" t="str">
        <f>TEXT(tbl_Ledger[[#This Row],[Date]],"yyyy-mm") &amp; TRIM(tbl_Ledger[[#This Row],[Currency]])</f>
        <v>2025-07NGN</v>
      </c>
      <c r="P58" s="25">
        <f>_xlfn.XLOOKUP(tbl_Ledger[[#This Row],[Key]], tbl_FX[Key], tbl_FX[Rate_to_NGN])</f>
        <v>1</v>
      </c>
      <c r="Q58" s="37">
        <f>IF(tbl_Ledger[[#This Row],[Account_Type]]="Expense",-ABS(tbl_Ledger[[#This Row],[Amount]]*tbl_Ledger[[#This Row],[Rate_to_NGN]]),tbl_Ledger[[#This Row],[Amount]]*tbl_Ledger[[#This Row],[Rate_to_NGN]])</f>
        <v>44700</v>
      </c>
      <c r="R58" s="25" t="str">
        <f>_xlfn.XLOOKUP(tbl_Ledger[[#This Row],[Account_Code]], tbl_Accounts[Account_Code], tbl_Accounts[Type])</f>
        <v>Revenue</v>
      </c>
      <c r="S58" s="25" t="str">
        <f>_xlfn.XLOOKUP(tbl_Ledger[[#This Row],[Account_Code]], tbl_Accounts[Account_Code], tbl_Accounts[PL_Bucket])</f>
        <v>Revenue</v>
      </c>
      <c r="T58" s="25">
        <f t="shared" si="0"/>
        <v>44700</v>
      </c>
    </row>
    <row r="59" spans="1:20">
      <c r="A59" t="s">
        <v>267</v>
      </c>
      <c r="B59" s="7">
        <v>45842</v>
      </c>
      <c r="C59" t="s">
        <v>126</v>
      </c>
      <c r="D59" t="s">
        <v>88</v>
      </c>
      <c r="E59" t="s">
        <v>132</v>
      </c>
      <c r="F59" s="12" t="s">
        <v>29</v>
      </c>
      <c r="G59" t="s">
        <v>30</v>
      </c>
      <c r="H59" t="s">
        <v>268</v>
      </c>
      <c r="I59" t="s">
        <v>71</v>
      </c>
      <c r="J59" s="6">
        <v>39700</v>
      </c>
      <c r="K59" t="s">
        <v>134</v>
      </c>
      <c r="L59" t="s">
        <v>266</v>
      </c>
      <c r="M59" t="s">
        <v>3</v>
      </c>
      <c r="N59" s="25" t="str">
        <f>TEXT(tbl_Ledger[[#This Row],[Date]],"yyyy-mm")</f>
        <v>2025-07</v>
      </c>
      <c r="O59" s="25" t="str">
        <f>TEXT(tbl_Ledger[[#This Row],[Date]],"yyyy-mm") &amp; TRIM(tbl_Ledger[[#This Row],[Currency]])</f>
        <v>2025-07NGN</v>
      </c>
      <c r="P59" s="25">
        <f>_xlfn.XLOOKUP(tbl_Ledger[[#This Row],[Key]], tbl_FX[Key], tbl_FX[Rate_to_NGN])</f>
        <v>1</v>
      </c>
      <c r="Q59" s="37">
        <f>IF(tbl_Ledger[[#This Row],[Account_Type]]="Expense",-ABS(tbl_Ledger[[#This Row],[Amount]]*tbl_Ledger[[#This Row],[Rate_to_NGN]]),tbl_Ledger[[#This Row],[Amount]]*tbl_Ledger[[#This Row],[Rate_to_NGN]])</f>
        <v>39700</v>
      </c>
      <c r="R59" s="25" t="str">
        <f>_xlfn.XLOOKUP(tbl_Ledger[[#This Row],[Account_Code]], tbl_Accounts[Account_Code], tbl_Accounts[Type])</f>
        <v>Revenue</v>
      </c>
      <c r="S59" s="25" t="str">
        <f>_xlfn.XLOOKUP(tbl_Ledger[[#This Row],[Account_Code]], tbl_Accounts[Account_Code], tbl_Accounts[PL_Bucket])</f>
        <v>Revenue</v>
      </c>
      <c r="T59" s="25">
        <f t="shared" si="0"/>
        <v>39700</v>
      </c>
    </row>
    <row r="60" spans="1:20">
      <c r="A60" t="s">
        <v>269</v>
      </c>
      <c r="B60" s="7">
        <v>45842</v>
      </c>
      <c r="C60" t="s">
        <v>126</v>
      </c>
      <c r="D60" t="s">
        <v>88</v>
      </c>
      <c r="E60" t="s">
        <v>136</v>
      </c>
      <c r="F60" s="12" t="s">
        <v>29</v>
      </c>
      <c r="G60" t="s">
        <v>30</v>
      </c>
      <c r="H60" t="s">
        <v>270</v>
      </c>
      <c r="I60" t="s">
        <v>71</v>
      </c>
      <c r="J60" s="6">
        <v>41800</v>
      </c>
      <c r="K60" t="s">
        <v>138</v>
      </c>
      <c r="L60" t="s">
        <v>266</v>
      </c>
      <c r="M60" t="s">
        <v>3</v>
      </c>
      <c r="N60" s="25" t="str">
        <f>TEXT(tbl_Ledger[[#This Row],[Date]],"yyyy-mm")</f>
        <v>2025-07</v>
      </c>
      <c r="O60" s="25" t="str">
        <f>TEXT(tbl_Ledger[[#This Row],[Date]],"yyyy-mm") &amp; TRIM(tbl_Ledger[[#This Row],[Currency]])</f>
        <v>2025-07NGN</v>
      </c>
      <c r="P60" s="25">
        <f>_xlfn.XLOOKUP(tbl_Ledger[[#This Row],[Key]], tbl_FX[Key], tbl_FX[Rate_to_NGN])</f>
        <v>1</v>
      </c>
      <c r="Q60" s="37">
        <f>IF(tbl_Ledger[[#This Row],[Account_Type]]="Expense",-ABS(tbl_Ledger[[#This Row],[Amount]]*tbl_Ledger[[#This Row],[Rate_to_NGN]]),tbl_Ledger[[#This Row],[Amount]]*tbl_Ledger[[#This Row],[Rate_to_NGN]])</f>
        <v>41800</v>
      </c>
      <c r="R60" s="25" t="str">
        <f>_xlfn.XLOOKUP(tbl_Ledger[[#This Row],[Account_Code]], tbl_Accounts[Account_Code], tbl_Accounts[Type])</f>
        <v>Revenue</v>
      </c>
      <c r="S60" s="25" t="str">
        <f>_xlfn.XLOOKUP(tbl_Ledger[[#This Row],[Account_Code]], tbl_Accounts[Account_Code], tbl_Accounts[PL_Bucket])</f>
        <v>Revenue</v>
      </c>
      <c r="T60" s="25">
        <f t="shared" si="0"/>
        <v>41800</v>
      </c>
    </row>
    <row r="61" spans="1:20">
      <c r="A61" t="s">
        <v>271</v>
      </c>
      <c r="B61" s="7">
        <v>45842</v>
      </c>
      <c r="C61" t="s">
        <v>126</v>
      </c>
      <c r="D61" t="s">
        <v>88</v>
      </c>
      <c r="E61" t="s">
        <v>140</v>
      </c>
      <c r="F61" s="12" t="s">
        <v>29</v>
      </c>
      <c r="G61" t="s">
        <v>30</v>
      </c>
      <c r="H61" t="s">
        <v>272</v>
      </c>
      <c r="I61" t="s">
        <v>71</v>
      </c>
      <c r="J61" s="6">
        <v>41500</v>
      </c>
      <c r="K61" t="s">
        <v>3</v>
      </c>
      <c r="L61" t="s">
        <v>273</v>
      </c>
      <c r="M61" t="s">
        <v>3</v>
      </c>
      <c r="N61" s="25" t="str">
        <f>TEXT(tbl_Ledger[[#This Row],[Date]],"yyyy-mm")</f>
        <v>2025-07</v>
      </c>
      <c r="O61" s="25" t="str">
        <f>TEXT(tbl_Ledger[[#This Row],[Date]],"yyyy-mm") &amp; TRIM(tbl_Ledger[[#This Row],[Currency]])</f>
        <v>2025-07NGN</v>
      </c>
      <c r="P61" s="25">
        <f>_xlfn.XLOOKUP(tbl_Ledger[[#This Row],[Key]], tbl_FX[Key], tbl_FX[Rate_to_NGN])</f>
        <v>1</v>
      </c>
      <c r="Q61" s="37">
        <f>IF(tbl_Ledger[[#This Row],[Account_Type]]="Expense",-ABS(tbl_Ledger[[#This Row],[Amount]]*tbl_Ledger[[#This Row],[Rate_to_NGN]]),tbl_Ledger[[#This Row],[Amount]]*tbl_Ledger[[#This Row],[Rate_to_NGN]])</f>
        <v>41500</v>
      </c>
      <c r="R61" s="25" t="str">
        <f>_xlfn.XLOOKUP(tbl_Ledger[[#This Row],[Account_Code]], tbl_Accounts[Account_Code], tbl_Accounts[Type])</f>
        <v>Revenue</v>
      </c>
      <c r="S61" s="25" t="str">
        <f>_xlfn.XLOOKUP(tbl_Ledger[[#This Row],[Account_Code]], tbl_Accounts[Account_Code], tbl_Accounts[PL_Bucket])</f>
        <v>Revenue</v>
      </c>
      <c r="T61" s="25">
        <f t="shared" si="0"/>
        <v>41500</v>
      </c>
    </row>
    <row r="62" spans="1:20">
      <c r="A62" t="s">
        <v>274</v>
      </c>
      <c r="B62" s="7">
        <v>45842</v>
      </c>
      <c r="C62" t="s">
        <v>87</v>
      </c>
      <c r="D62" t="s">
        <v>94</v>
      </c>
      <c r="E62" t="s">
        <v>3</v>
      </c>
      <c r="F62" s="12" t="s">
        <v>38</v>
      </c>
      <c r="G62" t="s">
        <v>39</v>
      </c>
      <c r="H62" t="s">
        <v>275</v>
      </c>
      <c r="I62" t="s">
        <v>71</v>
      </c>
      <c r="J62" s="6">
        <v>-127000</v>
      </c>
      <c r="K62" t="s">
        <v>276</v>
      </c>
      <c r="L62" t="s">
        <v>277</v>
      </c>
      <c r="M62" t="s">
        <v>3</v>
      </c>
      <c r="N62" s="25" t="str">
        <f>TEXT(tbl_Ledger[[#This Row],[Date]],"yyyy-mm")</f>
        <v>2025-07</v>
      </c>
      <c r="O62" s="25" t="str">
        <f>TEXT(tbl_Ledger[[#This Row],[Date]],"yyyy-mm") &amp; TRIM(tbl_Ledger[[#This Row],[Currency]])</f>
        <v>2025-07NGN</v>
      </c>
      <c r="P62" s="25">
        <f>_xlfn.XLOOKUP(tbl_Ledger[[#This Row],[Key]], tbl_FX[Key], tbl_FX[Rate_to_NGN])</f>
        <v>1</v>
      </c>
      <c r="Q62" s="37">
        <f>IF(tbl_Ledger[[#This Row],[Account_Type]]="Expense",-ABS(tbl_Ledger[[#This Row],[Amount]]*tbl_Ledger[[#This Row],[Rate_to_NGN]]),tbl_Ledger[[#This Row],[Amount]]*tbl_Ledger[[#This Row],[Rate_to_NGN]])</f>
        <v>-127000</v>
      </c>
      <c r="R62" s="25" t="str">
        <f>_xlfn.XLOOKUP(tbl_Ledger[[#This Row],[Account_Code]], tbl_Accounts[Account_Code], tbl_Accounts[Type])</f>
        <v>COGS</v>
      </c>
      <c r="S62" s="25" t="str">
        <f>_xlfn.XLOOKUP(tbl_Ledger[[#This Row],[Account_Code]], tbl_Accounts[Account_Code], tbl_Accounts[PL_Bucket])</f>
        <v>COGS</v>
      </c>
      <c r="T62" s="25">
        <f t="shared" si="0"/>
        <v>-127000</v>
      </c>
    </row>
    <row r="63" spans="1:20">
      <c r="A63" t="s">
        <v>278</v>
      </c>
      <c r="B63" s="7">
        <v>45842</v>
      </c>
      <c r="C63" t="s">
        <v>87</v>
      </c>
      <c r="D63" t="s">
        <v>88</v>
      </c>
      <c r="E63" t="s">
        <v>3</v>
      </c>
      <c r="F63" s="12" t="s">
        <v>40</v>
      </c>
      <c r="G63" t="s">
        <v>41</v>
      </c>
      <c r="H63" t="s">
        <v>279</v>
      </c>
      <c r="I63" t="s">
        <v>71</v>
      </c>
      <c r="J63" s="6">
        <v>-324000</v>
      </c>
      <c r="K63" t="s">
        <v>280</v>
      </c>
      <c r="L63" t="s">
        <v>281</v>
      </c>
      <c r="M63" t="s">
        <v>3</v>
      </c>
      <c r="N63" s="25" t="str">
        <f>TEXT(tbl_Ledger[[#This Row],[Date]],"yyyy-mm")</f>
        <v>2025-07</v>
      </c>
      <c r="O63" s="25" t="str">
        <f>TEXT(tbl_Ledger[[#This Row],[Date]],"yyyy-mm") &amp; TRIM(tbl_Ledger[[#This Row],[Currency]])</f>
        <v>2025-07NGN</v>
      </c>
      <c r="P63" s="25">
        <f>_xlfn.XLOOKUP(tbl_Ledger[[#This Row],[Key]], tbl_FX[Key], tbl_FX[Rate_to_NGN])</f>
        <v>1</v>
      </c>
      <c r="Q63" s="37">
        <f>IF(tbl_Ledger[[#This Row],[Account_Type]]="Expense",-ABS(tbl_Ledger[[#This Row],[Amount]]*tbl_Ledger[[#This Row],[Rate_to_NGN]]),tbl_Ledger[[#This Row],[Amount]]*tbl_Ledger[[#This Row],[Rate_to_NGN]])</f>
        <v>-324000</v>
      </c>
      <c r="R63" s="25" t="str">
        <f>_xlfn.XLOOKUP(tbl_Ledger[[#This Row],[Account_Code]], tbl_Accounts[Account_Code], tbl_Accounts[Type])</f>
        <v>COGS</v>
      </c>
      <c r="S63" s="25" t="str">
        <f>_xlfn.XLOOKUP(tbl_Ledger[[#This Row],[Account_Code]], tbl_Accounts[Account_Code], tbl_Accounts[PL_Bucket])</f>
        <v>COGS</v>
      </c>
      <c r="T63" s="25">
        <f t="shared" si="0"/>
        <v>-324000</v>
      </c>
    </row>
    <row r="64" spans="1:20">
      <c r="A64" t="s">
        <v>282</v>
      </c>
      <c r="B64" s="7">
        <v>45843</v>
      </c>
      <c r="C64" t="s">
        <v>93</v>
      </c>
      <c r="D64" t="s">
        <v>94</v>
      </c>
      <c r="E64" t="s">
        <v>95</v>
      </c>
      <c r="F64" s="12" t="s">
        <v>24</v>
      </c>
      <c r="G64" t="s">
        <v>25</v>
      </c>
      <c r="H64" t="s">
        <v>283</v>
      </c>
      <c r="I64" t="s">
        <v>71</v>
      </c>
      <c r="J64" s="6">
        <v>35200</v>
      </c>
      <c r="K64" t="s">
        <v>3</v>
      </c>
      <c r="L64" t="s">
        <v>284</v>
      </c>
      <c r="M64" t="s">
        <v>3</v>
      </c>
      <c r="N64" s="25" t="str">
        <f>TEXT(tbl_Ledger[[#This Row],[Date]],"yyyy-mm")</f>
        <v>2025-07</v>
      </c>
      <c r="O64" s="25" t="str">
        <f>TEXT(tbl_Ledger[[#This Row],[Date]],"yyyy-mm") &amp; TRIM(tbl_Ledger[[#This Row],[Currency]])</f>
        <v>2025-07NGN</v>
      </c>
      <c r="P64" s="25">
        <f>_xlfn.XLOOKUP(tbl_Ledger[[#This Row],[Key]], tbl_FX[Key], tbl_FX[Rate_to_NGN])</f>
        <v>1</v>
      </c>
      <c r="Q64" s="37">
        <f>IF(tbl_Ledger[[#This Row],[Account_Type]]="Expense",-ABS(tbl_Ledger[[#This Row],[Amount]]*tbl_Ledger[[#This Row],[Rate_to_NGN]]),tbl_Ledger[[#This Row],[Amount]]*tbl_Ledger[[#This Row],[Rate_to_NGN]])</f>
        <v>35200</v>
      </c>
      <c r="R64" s="25" t="str">
        <f>_xlfn.XLOOKUP(tbl_Ledger[[#This Row],[Account_Code]], tbl_Accounts[Account_Code], tbl_Accounts[Type])</f>
        <v>Revenue</v>
      </c>
      <c r="S64" s="25" t="str">
        <f>_xlfn.XLOOKUP(tbl_Ledger[[#This Row],[Account_Code]], tbl_Accounts[Account_Code], tbl_Accounts[PL_Bucket])</f>
        <v>Revenue</v>
      </c>
      <c r="T64" s="25">
        <f t="shared" si="0"/>
        <v>35200</v>
      </c>
    </row>
    <row r="65" spans="1:20">
      <c r="A65" t="s">
        <v>285</v>
      </c>
      <c r="B65" s="7">
        <v>45843</v>
      </c>
      <c r="C65" t="s">
        <v>93</v>
      </c>
      <c r="D65" t="s">
        <v>94</v>
      </c>
      <c r="E65" t="s">
        <v>99</v>
      </c>
      <c r="F65" s="12" t="s">
        <v>24</v>
      </c>
      <c r="G65" t="s">
        <v>25</v>
      </c>
      <c r="H65" t="s">
        <v>286</v>
      </c>
      <c r="I65" t="s">
        <v>71</v>
      </c>
      <c r="J65" s="6">
        <v>34900</v>
      </c>
      <c r="K65" t="s">
        <v>3</v>
      </c>
      <c r="L65" t="s">
        <v>287</v>
      </c>
      <c r="M65" t="s">
        <v>3</v>
      </c>
      <c r="N65" s="25" t="str">
        <f>TEXT(tbl_Ledger[[#This Row],[Date]],"yyyy-mm")</f>
        <v>2025-07</v>
      </c>
      <c r="O65" s="25" t="str">
        <f>TEXT(tbl_Ledger[[#This Row],[Date]],"yyyy-mm") &amp; TRIM(tbl_Ledger[[#This Row],[Currency]])</f>
        <v>2025-07NGN</v>
      </c>
      <c r="P65" s="25">
        <f>_xlfn.XLOOKUP(tbl_Ledger[[#This Row],[Key]], tbl_FX[Key], tbl_FX[Rate_to_NGN])</f>
        <v>1</v>
      </c>
      <c r="Q65" s="37">
        <f>IF(tbl_Ledger[[#This Row],[Account_Type]]="Expense",-ABS(tbl_Ledger[[#This Row],[Amount]]*tbl_Ledger[[#This Row],[Rate_to_NGN]]),tbl_Ledger[[#This Row],[Amount]]*tbl_Ledger[[#This Row],[Rate_to_NGN]])</f>
        <v>34900</v>
      </c>
      <c r="R65" s="25" t="str">
        <f>_xlfn.XLOOKUP(tbl_Ledger[[#This Row],[Account_Code]], tbl_Accounts[Account_Code], tbl_Accounts[Type])</f>
        <v>Revenue</v>
      </c>
      <c r="S65" s="25" t="str">
        <f>_xlfn.XLOOKUP(tbl_Ledger[[#This Row],[Account_Code]], tbl_Accounts[Account_Code], tbl_Accounts[PL_Bucket])</f>
        <v>Revenue</v>
      </c>
      <c r="T65" s="25">
        <f t="shared" si="0"/>
        <v>34900</v>
      </c>
    </row>
    <row r="66" spans="1:20">
      <c r="A66" t="s">
        <v>288</v>
      </c>
      <c r="B66" s="7">
        <v>45843</v>
      </c>
      <c r="C66" t="s">
        <v>93</v>
      </c>
      <c r="D66" t="s">
        <v>94</v>
      </c>
      <c r="E66" t="s">
        <v>103</v>
      </c>
      <c r="F66" s="12" t="s">
        <v>24</v>
      </c>
      <c r="G66" t="s">
        <v>25</v>
      </c>
      <c r="H66" t="s">
        <v>289</v>
      </c>
      <c r="I66" t="s">
        <v>71</v>
      </c>
      <c r="J66" s="6">
        <v>35900</v>
      </c>
      <c r="K66" t="s">
        <v>3</v>
      </c>
      <c r="L66" t="s">
        <v>290</v>
      </c>
      <c r="M66" t="s">
        <v>3</v>
      </c>
      <c r="N66" s="25" t="str">
        <f>TEXT(tbl_Ledger[[#This Row],[Date]],"yyyy-mm")</f>
        <v>2025-07</v>
      </c>
      <c r="O66" s="25" t="str">
        <f>TEXT(tbl_Ledger[[#This Row],[Date]],"yyyy-mm") &amp; TRIM(tbl_Ledger[[#This Row],[Currency]])</f>
        <v>2025-07NGN</v>
      </c>
      <c r="P66" s="25">
        <f>_xlfn.XLOOKUP(tbl_Ledger[[#This Row],[Key]], tbl_FX[Key], tbl_FX[Rate_to_NGN])</f>
        <v>1</v>
      </c>
      <c r="Q66" s="37">
        <f>IF(tbl_Ledger[[#This Row],[Account_Type]]="Expense",-ABS(tbl_Ledger[[#This Row],[Amount]]*tbl_Ledger[[#This Row],[Rate_to_NGN]]),tbl_Ledger[[#This Row],[Amount]]*tbl_Ledger[[#This Row],[Rate_to_NGN]])</f>
        <v>35900</v>
      </c>
      <c r="R66" s="25" t="str">
        <f>_xlfn.XLOOKUP(tbl_Ledger[[#This Row],[Account_Code]], tbl_Accounts[Account_Code], tbl_Accounts[Type])</f>
        <v>Revenue</v>
      </c>
      <c r="S66" s="25" t="str">
        <f>_xlfn.XLOOKUP(tbl_Ledger[[#This Row],[Account_Code]], tbl_Accounts[Account_Code], tbl_Accounts[PL_Bucket])</f>
        <v>Revenue</v>
      </c>
      <c r="T66" s="25">
        <f t="shared" ref="T66:T129" si="1">IF(AND(S66="Revenue",F66&lt;&gt;4900),ABS(Q66),-ABS(Q66))</f>
        <v>35900</v>
      </c>
    </row>
    <row r="67" spans="1:20">
      <c r="A67" t="s">
        <v>291</v>
      </c>
      <c r="B67" s="7">
        <v>45843</v>
      </c>
      <c r="C67" t="s">
        <v>93</v>
      </c>
      <c r="D67" t="s">
        <v>94</v>
      </c>
      <c r="E67" t="s">
        <v>160</v>
      </c>
      <c r="F67" s="12" t="s">
        <v>24</v>
      </c>
      <c r="G67" t="s">
        <v>25</v>
      </c>
      <c r="H67" t="s">
        <v>292</v>
      </c>
      <c r="I67" t="s">
        <v>71</v>
      </c>
      <c r="J67" s="6">
        <v>33100</v>
      </c>
      <c r="K67" t="s">
        <v>3</v>
      </c>
      <c r="L67" t="s">
        <v>290</v>
      </c>
      <c r="M67" t="s">
        <v>3</v>
      </c>
      <c r="N67" s="25" t="str">
        <f>TEXT(tbl_Ledger[[#This Row],[Date]],"yyyy-mm")</f>
        <v>2025-07</v>
      </c>
      <c r="O67" s="25" t="str">
        <f>TEXT(tbl_Ledger[[#This Row],[Date]],"yyyy-mm") &amp; TRIM(tbl_Ledger[[#This Row],[Currency]])</f>
        <v>2025-07NGN</v>
      </c>
      <c r="P67" s="25">
        <f>_xlfn.XLOOKUP(tbl_Ledger[[#This Row],[Key]], tbl_FX[Key], tbl_FX[Rate_to_NGN])</f>
        <v>1</v>
      </c>
      <c r="Q67" s="37">
        <f>IF(tbl_Ledger[[#This Row],[Account_Type]]="Expense",-ABS(tbl_Ledger[[#This Row],[Amount]]*tbl_Ledger[[#This Row],[Rate_to_NGN]]),tbl_Ledger[[#This Row],[Amount]]*tbl_Ledger[[#This Row],[Rate_to_NGN]])</f>
        <v>33100</v>
      </c>
      <c r="R67" s="25" t="str">
        <f>_xlfn.XLOOKUP(tbl_Ledger[[#This Row],[Account_Code]], tbl_Accounts[Account_Code], tbl_Accounts[Type])</f>
        <v>Revenue</v>
      </c>
      <c r="S67" s="25" t="str">
        <f>_xlfn.XLOOKUP(tbl_Ledger[[#This Row],[Account_Code]], tbl_Accounts[Account_Code], tbl_Accounts[PL_Bucket])</f>
        <v>Revenue</v>
      </c>
      <c r="T67" s="25">
        <f t="shared" si="1"/>
        <v>33100</v>
      </c>
    </row>
    <row r="68" spans="1:20">
      <c r="A68" t="s">
        <v>293</v>
      </c>
      <c r="B68" s="7">
        <v>45843</v>
      </c>
      <c r="C68" t="s">
        <v>93</v>
      </c>
      <c r="D68" t="s">
        <v>94</v>
      </c>
      <c r="E68" t="s">
        <v>107</v>
      </c>
      <c r="F68" s="12" t="s">
        <v>24</v>
      </c>
      <c r="G68" t="s">
        <v>25</v>
      </c>
      <c r="H68" t="s">
        <v>294</v>
      </c>
      <c r="I68" t="s">
        <v>71</v>
      </c>
      <c r="J68" s="6">
        <v>39100</v>
      </c>
      <c r="K68" t="s">
        <v>3</v>
      </c>
      <c r="L68" t="s">
        <v>295</v>
      </c>
      <c r="M68" t="s">
        <v>3</v>
      </c>
      <c r="N68" s="25" t="str">
        <f>TEXT(tbl_Ledger[[#This Row],[Date]],"yyyy-mm")</f>
        <v>2025-07</v>
      </c>
      <c r="O68" s="25" t="str">
        <f>TEXT(tbl_Ledger[[#This Row],[Date]],"yyyy-mm") &amp; TRIM(tbl_Ledger[[#This Row],[Currency]])</f>
        <v>2025-07NGN</v>
      </c>
      <c r="P68" s="25">
        <f>_xlfn.XLOOKUP(tbl_Ledger[[#This Row],[Key]], tbl_FX[Key], tbl_FX[Rate_to_NGN])</f>
        <v>1</v>
      </c>
      <c r="Q68" s="37">
        <f>IF(tbl_Ledger[[#This Row],[Account_Type]]="Expense",-ABS(tbl_Ledger[[#This Row],[Amount]]*tbl_Ledger[[#This Row],[Rate_to_NGN]]),tbl_Ledger[[#This Row],[Amount]]*tbl_Ledger[[#This Row],[Rate_to_NGN]])</f>
        <v>39100</v>
      </c>
      <c r="R68" s="25" t="str">
        <f>_xlfn.XLOOKUP(tbl_Ledger[[#This Row],[Account_Code]], tbl_Accounts[Account_Code], tbl_Accounts[Type])</f>
        <v>Revenue</v>
      </c>
      <c r="S68" s="25" t="str">
        <f>_xlfn.XLOOKUP(tbl_Ledger[[#This Row],[Account_Code]], tbl_Accounts[Account_Code], tbl_Accounts[PL_Bucket])</f>
        <v>Revenue</v>
      </c>
      <c r="T68" s="25">
        <f t="shared" si="1"/>
        <v>39100</v>
      </c>
    </row>
    <row r="69" spans="1:20">
      <c r="A69" t="s">
        <v>296</v>
      </c>
      <c r="B69" s="7">
        <v>45843</v>
      </c>
      <c r="C69" t="s">
        <v>93</v>
      </c>
      <c r="D69" t="s">
        <v>111</v>
      </c>
      <c r="E69" t="s">
        <v>112</v>
      </c>
      <c r="F69" s="12" t="s">
        <v>24</v>
      </c>
      <c r="G69" t="s">
        <v>25</v>
      </c>
      <c r="H69" t="s">
        <v>297</v>
      </c>
      <c r="I69" t="s">
        <v>71</v>
      </c>
      <c r="J69" s="6">
        <v>59500</v>
      </c>
      <c r="K69" t="s">
        <v>3</v>
      </c>
      <c r="L69" t="s">
        <v>298</v>
      </c>
      <c r="M69" t="s">
        <v>3</v>
      </c>
      <c r="N69" s="25" t="str">
        <f>TEXT(tbl_Ledger[[#This Row],[Date]],"yyyy-mm")</f>
        <v>2025-07</v>
      </c>
      <c r="O69" s="25" t="str">
        <f>TEXT(tbl_Ledger[[#This Row],[Date]],"yyyy-mm") &amp; TRIM(tbl_Ledger[[#This Row],[Currency]])</f>
        <v>2025-07NGN</v>
      </c>
      <c r="P69" s="25">
        <f>_xlfn.XLOOKUP(tbl_Ledger[[#This Row],[Key]], tbl_FX[Key], tbl_FX[Rate_to_NGN])</f>
        <v>1</v>
      </c>
      <c r="Q69" s="37">
        <f>IF(tbl_Ledger[[#This Row],[Account_Type]]="Expense",-ABS(tbl_Ledger[[#This Row],[Amount]]*tbl_Ledger[[#This Row],[Rate_to_NGN]]),tbl_Ledger[[#This Row],[Amount]]*tbl_Ledger[[#This Row],[Rate_to_NGN]])</f>
        <v>59500</v>
      </c>
      <c r="R69" s="25" t="str">
        <f>_xlfn.XLOOKUP(tbl_Ledger[[#This Row],[Account_Code]], tbl_Accounts[Account_Code], tbl_Accounts[Type])</f>
        <v>Revenue</v>
      </c>
      <c r="S69" s="25" t="str">
        <f>_xlfn.XLOOKUP(tbl_Ledger[[#This Row],[Account_Code]], tbl_Accounts[Account_Code], tbl_Accounts[PL_Bucket])</f>
        <v>Revenue</v>
      </c>
      <c r="T69" s="25">
        <f t="shared" si="1"/>
        <v>59500</v>
      </c>
    </row>
    <row r="70" spans="1:20">
      <c r="A70" t="s">
        <v>299</v>
      </c>
      <c r="B70" s="7">
        <v>45843</v>
      </c>
      <c r="C70" t="s">
        <v>93</v>
      </c>
      <c r="D70" t="s">
        <v>111</v>
      </c>
      <c r="E70" t="s">
        <v>116</v>
      </c>
      <c r="F70" s="12" t="s">
        <v>24</v>
      </c>
      <c r="G70" t="s">
        <v>25</v>
      </c>
      <c r="H70" t="s">
        <v>300</v>
      </c>
      <c r="I70" t="s">
        <v>71</v>
      </c>
      <c r="J70" s="6">
        <v>62700</v>
      </c>
      <c r="K70" t="s">
        <v>3</v>
      </c>
      <c r="L70" t="s">
        <v>298</v>
      </c>
      <c r="M70" t="s">
        <v>3</v>
      </c>
      <c r="N70" s="25" t="str">
        <f>TEXT(tbl_Ledger[[#This Row],[Date]],"yyyy-mm")</f>
        <v>2025-07</v>
      </c>
      <c r="O70" s="25" t="str">
        <f>TEXT(tbl_Ledger[[#This Row],[Date]],"yyyy-mm") &amp; TRIM(tbl_Ledger[[#This Row],[Currency]])</f>
        <v>2025-07NGN</v>
      </c>
      <c r="P70" s="25">
        <f>_xlfn.XLOOKUP(tbl_Ledger[[#This Row],[Key]], tbl_FX[Key], tbl_FX[Rate_to_NGN])</f>
        <v>1</v>
      </c>
      <c r="Q70" s="37">
        <f>IF(tbl_Ledger[[#This Row],[Account_Type]]="Expense",-ABS(tbl_Ledger[[#This Row],[Amount]]*tbl_Ledger[[#This Row],[Rate_to_NGN]]),tbl_Ledger[[#This Row],[Amount]]*tbl_Ledger[[#This Row],[Rate_to_NGN]])</f>
        <v>62700</v>
      </c>
      <c r="R70" s="25" t="str">
        <f>_xlfn.XLOOKUP(tbl_Ledger[[#This Row],[Account_Code]], tbl_Accounts[Account_Code], tbl_Accounts[Type])</f>
        <v>Revenue</v>
      </c>
      <c r="S70" s="25" t="str">
        <f>_xlfn.XLOOKUP(tbl_Ledger[[#This Row],[Account_Code]], tbl_Accounts[Account_Code], tbl_Accounts[PL_Bucket])</f>
        <v>Revenue</v>
      </c>
      <c r="T70" s="25">
        <f t="shared" si="1"/>
        <v>62700</v>
      </c>
    </row>
    <row r="71" spans="1:20">
      <c r="A71" t="s">
        <v>301</v>
      </c>
      <c r="B71" s="7">
        <v>45843</v>
      </c>
      <c r="C71" t="s">
        <v>93</v>
      </c>
      <c r="D71" t="s">
        <v>111</v>
      </c>
      <c r="E71" t="s">
        <v>170</v>
      </c>
      <c r="F71" s="12" t="s">
        <v>24</v>
      </c>
      <c r="G71" t="s">
        <v>25</v>
      </c>
      <c r="H71" t="s">
        <v>302</v>
      </c>
      <c r="I71" t="s">
        <v>71</v>
      </c>
      <c r="J71" s="6">
        <v>58500</v>
      </c>
      <c r="K71" t="s">
        <v>3</v>
      </c>
      <c r="L71" t="s">
        <v>298</v>
      </c>
      <c r="M71" t="s">
        <v>3</v>
      </c>
      <c r="N71" s="25" t="str">
        <f>TEXT(tbl_Ledger[[#This Row],[Date]],"yyyy-mm")</f>
        <v>2025-07</v>
      </c>
      <c r="O71" s="25" t="str">
        <f>TEXT(tbl_Ledger[[#This Row],[Date]],"yyyy-mm") &amp; TRIM(tbl_Ledger[[#This Row],[Currency]])</f>
        <v>2025-07NGN</v>
      </c>
      <c r="P71" s="25">
        <f>_xlfn.XLOOKUP(tbl_Ledger[[#This Row],[Key]], tbl_FX[Key], tbl_FX[Rate_to_NGN])</f>
        <v>1</v>
      </c>
      <c r="Q71" s="37">
        <f>IF(tbl_Ledger[[#This Row],[Account_Type]]="Expense",-ABS(tbl_Ledger[[#This Row],[Amount]]*tbl_Ledger[[#This Row],[Rate_to_NGN]]),tbl_Ledger[[#This Row],[Amount]]*tbl_Ledger[[#This Row],[Rate_to_NGN]])</f>
        <v>58500</v>
      </c>
      <c r="R71" s="25" t="str">
        <f>_xlfn.XLOOKUP(tbl_Ledger[[#This Row],[Account_Code]], tbl_Accounts[Account_Code], tbl_Accounts[Type])</f>
        <v>Revenue</v>
      </c>
      <c r="S71" s="25" t="str">
        <f>_xlfn.XLOOKUP(tbl_Ledger[[#This Row],[Account_Code]], tbl_Accounts[Account_Code], tbl_Accounts[PL_Bucket])</f>
        <v>Revenue</v>
      </c>
      <c r="T71" s="25">
        <f t="shared" si="1"/>
        <v>58500</v>
      </c>
    </row>
    <row r="72" spans="1:20">
      <c r="A72" t="s">
        <v>303</v>
      </c>
      <c r="B72" s="7">
        <v>45843</v>
      </c>
      <c r="C72" t="s">
        <v>93</v>
      </c>
      <c r="D72" t="s">
        <v>111</v>
      </c>
      <c r="E72" t="s">
        <v>122</v>
      </c>
      <c r="F72" s="12" t="s">
        <v>24</v>
      </c>
      <c r="G72" t="s">
        <v>25</v>
      </c>
      <c r="H72" t="s">
        <v>304</v>
      </c>
      <c r="I72" t="s">
        <v>71</v>
      </c>
      <c r="J72" s="6">
        <v>62300</v>
      </c>
      <c r="K72" t="s">
        <v>3</v>
      </c>
      <c r="L72" t="s">
        <v>305</v>
      </c>
      <c r="M72" t="s">
        <v>3</v>
      </c>
      <c r="N72" s="25" t="str">
        <f>TEXT(tbl_Ledger[[#This Row],[Date]],"yyyy-mm")</f>
        <v>2025-07</v>
      </c>
      <c r="O72" s="25" t="str">
        <f>TEXT(tbl_Ledger[[#This Row],[Date]],"yyyy-mm") &amp; TRIM(tbl_Ledger[[#This Row],[Currency]])</f>
        <v>2025-07NGN</v>
      </c>
      <c r="P72" s="25">
        <f>_xlfn.XLOOKUP(tbl_Ledger[[#This Row],[Key]], tbl_FX[Key], tbl_FX[Rate_to_NGN])</f>
        <v>1</v>
      </c>
      <c r="Q72" s="37">
        <f>IF(tbl_Ledger[[#This Row],[Account_Type]]="Expense",-ABS(tbl_Ledger[[#This Row],[Amount]]*tbl_Ledger[[#This Row],[Rate_to_NGN]]),tbl_Ledger[[#This Row],[Amount]]*tbl_Ledger[[#This Row],[Rate_to_NGN]])</f>
        <v>62300</v>
      </c>
      <c r="R72" s="25" t="str">
        <f>_xlfn.XLOOKUP(tbl_Ledger[[#This Row],[Account_Code]], tbl_Accounts[Account_Code], tbl_Accounts[Type])</f>
        <v>Revenue</v>
      </c>
      <c r="S72" s="25" t="str">
        <f>_xlfn.XLOOKUP(tbl_Ledger[[#This Row],[Account_Code]], tbl_Accounts[Account_Code], tbl_Accounts[PL_Bucket])</f>
        <v>Revenue</v>
      </c>
      <c r="T72" s="25">
        <f t="shared" si="1"/>
        <v>62300</v>
      </c>
    </row>
    <row r="73" spans="1:20">
      <c r="A73" t="s">
        <v>306</v>
      </c>
      <c r="B73" s="7">
        <v>45843</v>
      </c>
      <c r="C73" t="s">
        <v>126</v>
      </c>
      <c r="D73" t="s">
        <v>88</v>
      </c>
      <c r="E73" t="s">
        <v>132</v>
      </c>
      <c r="F73" s="12" t="s">
        <v>29</v>
      </c>
      <c r="G73" t="s">
        <v>30</v>
      </c>
      <c r="H73" t="s">
        <v>307</v>
      </c>
      <c r="I73" t="s">
        <v>72</v>
      </c>
      <c r="J73" s="6">
        <v>29.28</v>
      </c>
      <c r="K73" t="s">
        <v>134</v>
      </c>
      <c r="L73" t="s">
        <v>308</v>
      </c>
      <c r="M73" t="s">
        <v>3</v>
      </c>
      <c r="N73" s="25" t="str">
        <f>TEXT(tbl_Ledger[[#This Row],[Date]],"yyyy-mm")</f>
        <v>2025-07</v>
      </c>
      <c r="O73" s="25" t="str">
        <f>TEXT(tbl_Ledger[[#This Row],[Date]],"yyyy-mm") &amp; TRIM(tbl_Ledger[[#This Row],[Currency]])</f>
        <v>2025-07USD</v>
      </c>
      <c r="P73" s="25">
        <f>_xlfn.XLOOKUP(tbl_Ledger[[#This Row],[Key]], tbl_FX[Key], tbl_FX[Rate_to_NGN])</f>
        <v>1530</v>
      </c>
      <c r="Q73" s="37">
        <f>IF(tbl_Ledger[[#This Row],[Account_Type]]="Expense",-ABS(tbl_Ledger[[#This Row],[Amount]]*tbl_Ledger[[#This Row],[Rate_to_NGN]]),tbl_Ledger[[#This Row],[Amount]]*tbl_Ledger[[#This Row],[Rate_to_NGN]])</f>
        <v>44798.400000000001</v>
      </c>
      <c r="R73" s="25" t="str">
        <f>_xlfn.XLOOKUP(tbl_Ledger[[#This Row],[Account_Code]], tbl_Accounts[Account_Code], tbl_Accounts[Type])</f>
        <v>Revenue</v>
      </c>
      <c r="S73" s="25" t="str">
        <f>_xlfn.XLOOKUP(tbl_Ledger[[#This Row],[Account_Code]], tbl_Accounts[Account_Code], tbl_Accounts[PL_Bucket])</f>
        <v>Revenue</v>
      </c>
      <c r="T73" s="25">
        <f t="shared" si="1"/>
        <v>44798.400000000001</v>
      </c>
    </row>
    <row r="74" spans="1:20">
      <c r="A74" t="s">
        <v>309</v>
      </c>
      <c r="B74" s="7">
        <v>45843</v>
      </c>
      <c r="C74" t="s">
        <v>126</v>
      </c>
      <c r="D74" t="s">
        <v>88</v>
      </c>
      <c r="E74" t="s">
        <v>136</v>
      </c>
      <c r="F74" s="12" t="s">
        <v>29</v>
      </c>
      <c r="G74" t="s">
        <v>30</v>
      </c>
      <c r="H74" t="s">
        <v>310</v>
      </c>
      <c r="I74" t="s">
        <v>72</v>
      </c>
      <c r="J74" s="6">
        <v>28.24</v>
      </c>
      <c r="K74" t="s">
        <v>138</v>
      </c>
      <c r="L74" t="s">
        <v>308</v>
      </c>
      <c r="M74" t="s">
        <v>3</v>
      </c>
      <c r="N74" s="25" t="str">
        <f>TEXT(tbl_Ledger[[#This Row],[Date]],"yyyy-mm")</f>
        <v>2025-07</v>
      </c>
      <c r="O74" s="25" t="str">
        <f>TEXT(tbl_Ledger[[#This Row],[Date]],"yyyy-mm") &amp; TRIM(tbl_Ledger[[#This Row],[Currency]])</f>
        <v>2025-07USD</v>
      </c>
      <c r="P74" s="25">
        <f>_xlfn.XLOOKUP(tbl_Ledger[[#This Row],[Key]], tbl_FX[Key], tbl_FX[Rate_to_NGN])</f>
        <v>1530</v>
      </c>
      <c r="Q74" s="37">
        <f>IF(tbl_Ledger[[#This Row],[Account_Type]]="Expense",-ABS(tbl_Ledger[[#This Row],[Amount]]*tbl_Ledger[[#This Row],[Rate_to_NGN]]),tbl_Ledger[[#This Row],[Amount]]*tbl_Ledger[[#This Row],[Rate_to_NGN]])</f>
        <v>43207.199999999997</v>
      </c>
      <c r="R74" s="25" t="str">
        <f>_xlfn.XLOOKUP(tbl_Ledger[[#This Row],[Account_Code]], tbl_Accounts[Account_Code], tbl_Accounts[Type])</f>
        <v>Revenue</v>
      </c>
      <c r="S74" s="25" t="str">
        <f>_xlfn.XLOOKUP(tbl_Ledger[[#This Row],[Account_Code]], tbl_Accounts[Account_Code], tbl_Accounts[PL_Bucket])</f>
        <v>Revenue</v>
      </c>
      <c r="T74" s="25">
        <f t="shared" si="1"/>
        <v>43207.199999999997</v>
      </c>
    </row>
    <row r="75" spans="1:20">
      <c r="A75" t="s">
        <v>311</v>
      </c>
      <c r="B75" s="7">
        <v>45843</v>
      </c>
      <c r="C75" t="s">
        <v>126</v>
      </c>
      <c r="D75" t="s">
        <v>88</v>
      </c>
      <c r="E75" t="s">
        <v>140</v>
      </c>
      <c r="F75" s="12" t="s">
        <v>29</v>
      </c>
      <c r="G75" t="s">
        <v>30</v>
      </c>
      <c r="H75" t="s">
        <v>312</v>
      </c>
      <c r="I75" t="s">
        <v>71</v>
      </c>
      <c r="J75" s="6">
        <v>42200</v>
      </c>
      <c r="K75" t="s">
        <v>3</v>
      </c>
      <c r="L75" t="s">
        <v>313</v>
      </c>
      <c r="M75" t="s">
        <v>3</v>
      </c>
      <c r="N75" s="25" t="str">
        <f>TEXT(tbl_Ledger[[#This Row],[Date]],"yyyy-mm")</f>
        <v>2025-07</v>
      </c>
      <c r="O75" s="25" t="str">
        <f>TEXT(tbl_Ledger[[#This Row],[Date]],"yyyy-mm") &amp; TRIM(tbl_Ledger[[#This Row],[Currency]])</f>
        <v>2025-07NGN</v>
      </c>
      <c r="P75" s="25">
        <f>_xlfn.XLOOKUP(tbl_Ledger[[#This Row],[Key]], tbl_FX[Key], tbl_FX[Rate_to_NGN])</f>
        <v>1</v>
      </c>
      <c r="Q75" s="37">
        <f>IF(tbl_Ledger[[#This Row],[Account_Type]]="Expense",-ABS(tbl_Ledger[[#This Row],[Amount]]*tbl_Ledger[[#This Row],[Rate_to_NGN]]),tbl_Ledger[[#This Row],[Amount]]*tbl_Ledger[[#This Row],[Rate_to_NGN]])</f>
        <v>42200</v>
      </c>
      <c r="R75" s="25" t="str">
        <f>_xlfn.XLOOKUP(tbl_Ledger[[#This Row],[Account_Code]], tbl_Accounts[Account_Code], tbl_Accounts[Type])</f>
        <v>Revenue</v>
      </c>
      <c r="S75" s="25" t="str">
        <f>_xlfn.XLOOKUP(tbl_Ledger[[#This Row],[Account_Code]], tbl_Accounts[Account_Code], tbl_Accounts[PL_Bucket])</f>
        <v>Revenue</v>
      </c>
      <c r="T75" s="25">
        <f t="shared" si="1"/>
        <v>42200</v>
      </c>
    </row>
    <row r="76" spans="1:20">
      <c r="A76" t="s">
        <v>314</v>
      </c>
      <c r="B76" s="7">
        <v>45843</v>
      </c>
      <c r="C76" t="s">
        <v>87</v>
      </c>
      <c r="D76" t="s">
        <v>94</v>
      </c>
      <c r="E76" t="s">
        <v>3</v>
      </c>
      <c r="F76" s="12" t="s">
        <v>33</v>
      </c>
      <c r="G76" t="s">
        <v>34</v>
      </c>
      <c r="H76" t="s">
        <v>315</v>
      </c>
      <c r="I76" t="s">
        <v>71</v>
      </c>
      <c r="J76" s="6">
        <v>-453000</v>
      </c>
      <c r="K76" t="s">
        <v>316</v>
      </c>
      <c r="L76" t="s">
        <v>317</v>
      </c>
      <c r="M76" t="s">
        <v>3</v>
      </c>
      <c r="N76" s="25" t="str">
        <f>TEXT(tbl_Ledger[[#This Row],[Date]],"yyyy-mm")</f>
        <v>2025-07</v>
      </c>
      <c r="O76" s="25" t="str">
        <f>TEXT(tbl_Ledger[[#This Row],[Date]],"yyyy-mm") &amp; TRIM(tbl_Ledger[[#This Row],[Currency]])</f>
        <v>2025-07NGN</v>
      </c>
      <c r="P76" s="25">
        <f>_xlfn.XLOOKUP(tbl_Ledger[[#This Row],[Key]], tbl_FX[Key], tbl_FX[Rate_to_NGN])</f>
        <v>1</v>
      </c>
      <c r="Q76" s="37">
        <f>IF(tbl_Ledger[[#This Row],[Account_Type]]="Expense",-ABS(tbl_Ledger[[#This Row],[Amount]]*tbl_Ledger[[#This Row],[Rate_to_NGN]]),tbl_Ledger[[#This Row],[Amount]]*tbl_Ledger[[#This Row],[Rate_to_NGN]])</f>
        <v>-453000</v>
      </c>
      <c r="R76" s="25" t="str">
        <f>_xlfn.XLOOKUP(tbl_Ledger[[#This Row],[Account_Code]], tbl_Accounts[Account_Code], tbl_Accounts[Type])</f>
        <v>COGS</v>
      </c>
      <c r="S76" s="25" t="str">
        <f>_xlfn.XLOOKUP(tbl_Ledger[[#This Row],[Account_Code]], tbl_Accounts[Account_Code], tbl_Accounts[PL_Bucket])</f>
        <v>COGS</v>
      </c>
      <c r="T76" s="25">
        <f t="shared" si="1"/>
        <v>-453000</v>
      </c>
    </row>
    <row r="77" spans="1:20">
      <c r="A77" t="s">
        <v>318</v>
      </c>
      <c r="B77" s="7">
        <v>45843</v>
      </c>
      <c r="C77" t="s">
        <v>87</v>
      </c>
      <c r="D77" t="s">
        <v>94</v>
      </c>
      <c r="E77" t="s">
        <v>3</v>
      </c>
      <c r="F77" s="12" t="s">
        <v>49</v>
      </c>
      <c r="G77" t="s">
        <v>50</v>
      </c>
      <c r="H77" t="s">
        <v>319</v>
      </c>
      <c r="I77" t="s">
        <v>71</v>
      </c>
      <c r="J77" s="6">
        <v>-720000</v>
      </c>
      <c r="K77" t="s">
        <v>320</v>
      </c>
      <c r="L77" t="s">
        <v>321</v>
      </c>
      <c r="M77" t="s">
        <v>3</v>
      </c>
      <c r="N77" s="25" t="str">
        <f>TEXT(tbl_Ledger[[#This Row],[Date]],"yyyy-mm")</f>
        <v>2025-07</v>
      </c>
      <c r="O77" s="25" t="str">
        <f>TEXT(tbl_Ledger[[#This Row],[Date]],"yyyy-mm") &amp; TRIM(tbl_Ledger[[#This Row],[Currency]])</f>
        <v>2025-07NGN</v>
      </c>
      <c r="P77" s="25">
        <f>_xlfn.XLOOKUP(tbl_Ledger[[#This Row],[Key]], tbl_FX[Key], tbl_FX[Rate_to_NGN])</f>
        <v>1</v>
      </c>
      <c r="Q77" s="37">
        <f>IF(tbl_Ledger[[#This Row],[Account_Type]]="Expense",-ABS(tbl_Ledger[[#This Row],[Amount]]*tbl_Ledger[[#This Row],[Rate_to_NGN]]),tbl_Ledger[[#This Row],[Amount]]*tbl_Ledger[[#This Row],[Rate_to_NGN]])</f>
        <v>-720000</v>
      </c>
      <c r="R77" s="25" t="str">
        <f>_xlfn.XLOOKUP(tbl_Ledger[[#This Row],[Account_Code]], tbl_Accounts[Account_Code], tbl_Accounts[Type])</f>
        <v>Opex</v>
      </c>
      <c r="S77" s="25" t="str">
        <f>_xlfn.XLOOKUP(tbl_Ledger[[#This Row],[Account_Code]], tbl_Accounts[Account_Code], tbl_Accounts[PL_Bucket])</f>
        <v>Opex</v>
      </c>
      <c r="T77" s="25">
        <f t="shared" si="1"/>
        <v>-720000</v>
      </c>
    </row>
    <row r="78" spans="1:20">
      <c r="A78" t="s">
        <v>322</v>
      </c>
      <c r="B78" s="7">
        <v>45843</v>
      </c>
      <c r="C78" t="s">
        <v>87</v>
      </c>
      <c r="D78" t="s">
        <v>111</v>
      </c>
      <c r="E78" t="s">
        <v>3</v>
      </c>
      <c r="F78" s="12" t="s">
        <v>49</v>
      </c>
      <c r="G78" t="s">
        <v>50</v>
      </c>
      <c r="H78" t="s">
        <v>319</v>
      </c>
      <c r="I78" t="s">
        <v>71</v>
      </c>
      <c r="J78" s="6">
        <v>-1400000</v>
      </c>
      <c r="K78" t="s">
        <v>320</v>
      </c>
      <c r="L78" t="s">
        <v>323</v>
      </c>
      <c r="M78" t="s">
        <v>3</v>
      </c>
      <c r="N78" s="25" t="str">
        <f>TEXT(tbl_Ledger[[#This Row],[Date]],"yyyy-mm")</f>
        <v>2025-07</v>
      </c>
      <c r="O78" s="25" t="str">
        <f>TEXT(tbl_Ledger[[#This Row],[Date]],"yyyy-mm") &amp; TRIM(tbl_Ledger[[#This Row],[Currency]])</f>
        <v>2025-07NGN</v>
      </c>
      <c r="P78" s="25">
        <f>_xlfn.XLOOKUP(tbl_Ledger[[#This Row],[Key]], tbl_FX[Key], tbl_FX[Rate_to_NGN])</f>
        <v>1</v>
      </c>
      <c r="Q78" s="37">
        <f>IF(tbl_Ledger[[#This Row],[Account_Type]]="Expense",-ABS(tbl_Ledger[[#This Row],[Amount]]*tbl_Ledger[[#This Row],[Rate_to_NGN]]),tbl_Ledger[[#This Row],[Amount]]*tbl_Ledger[[#This Row],[Rate_to_NGN]])</f>
        <v>-1400000</v>
      </c>
      <c r="R78" s="25" t="str">
        <f>_xlfn.XLOOKUP(tbl_Ledger[[#This Row],[Account_Code]], tbl_Accounts[Account_Code], tbl_Accounts[Type])</f>
        <v>Opex</v>
      </c>
      <c r="S78" s="25" t="str">
        <f>_xlfn.XLOOKUP(tbl_Ledger[[#This Row],[Account_Code]], tbl_Accounts[Account_Code], tbl_Accounts[PL_Bucket])</f>
        <v>Opex</v>
      </c>
      <c r="T78" s="25">
        <f t="shared" si="1"/>
        <v>-1400000</v>
      </c>
    </row>
    <row r="79" spans="1:20">
      <c r="A79" t="s">
        <v>324</v>
      </c>
      <c r="B79" s="7">
        <v>45843</v>
      </c>
      <c r="C79" t="s">
        <v>87</v>
      </c>
      <c r="D79" t="s">
        <v>88</v>
      </c>
      <c r="E79" t="s">
        <v>3</v>
      </c>
      <c r="F79" s="12" t="s">
        <v>49</v>
      </c>
      <c r="G79" t="s">
        <v>50</v>
      </c>
      <c r="H79" t="s">
        <v>319</v>
      </c>
      <c r="I79" t="s">
        <v>71</v>
      </c>
      <c r="J79" s="6">
        <v>-380000</v>
      </c>
      <c r="K79" t="s">
        <v>320</v>
      </c>
      <c r="L79" t="s">
        <v>325</v>
      </c>
      <c r="M79" t="s">
        <v>3</v>
      </c>
      <c r="N79" s="25" t="str">
        <f>TEXT(tbl_Ledger[[#This Row],[Date]],"yyyy-mm")</f>
        <v>2025-07</v>
      </c>
      <c r="O79" s="25" t="str">
        <f>TEXT(tbl_Ledger[[#This Row],[Date]],"yyyy-mm") &amp; TRIM(tbl_Ledger[[#This Row],[Currency]])</f>
        <v>2025-07NGN</v>
      </c>
      <c r="P79" s="25">
        <f>_xlfn.XLOOKUP(tbl_Ledger[[#This Row],[Key]], tbl_FX[Key], tbl_FX[Rate_to_NGN])</f>
        <v>1</v>
      </c>
      <c r="Q79" s="37">
        <f>IF(tbl_Ledger[[#This Row],[Account_Type]]="Expense",-ABS(tbl_Ledger[[#This Row],[Amount]]*tbl_Ledger[[#This Row],[Rate_to_NGN]]),tbl_Ledger[[#This Row],[Amount]]*tbl_Ledger[[#This Row],[Rate_to_NGN]])</f>
        <v>-380000</v>
      </c>
      <c r="R79" s="25" t="str">
        <f>_xlfn.XLOOKUP(tbl_Ledger[[#This Row],[Account_Code]], tbl_Accounts[Account_Code], tbl_Accounts[Type])</f>
        <v>Opex</v>
      </c>
      <c r="S79" s="25" t="str">
        <f>_xlfn.XLOOKUP(tbl_Ledger[[#This Row],[Account_Code]], tbl_Accounts[Account_Code], tbl_Accounts[PL_Bucket])</f>
        <v>Opex</v>
      </c>
      <c r="T79" s="25">
        <f t="shared" si="1"/>
        <v>-380000</v>
      </c>
    </row>
    <row r="80" spans="1:20">
      <c r="A80" t="s">
        <v>326</v>
      </c>
      <c r="B80" s="7">
        <v>45844</v>
      </c>
      <c r="C80" t="s">
        <v>93</v>
      </c>
      <c r="D80" t="s">
        <v>94</v>
      </c>
      <c r="E80" t="s">
        <v>99</v>
      </c>
      <c r="F80" s="12" t="s">
        <v>24</v>
      </c>
      <c r="G80" t="s">
        <v>25</v>
      </c>
      <c r="H80" t="s">
        <v>327</v>
      </c>
      <c r="I80" t="s">
        <v>71</v>
      </c>
      <c r="J80" s="6">
        <v>33300</v>
      </c>
      <c r="K80" t="s">
        <v>3</v>
      </c>
      <c r="L80" t="s">
        <v>328</v>
      </c>
      <c r="M80" t="s">
        <v>3</v>
      </c>
      <c r="N80" s="25" t="str">
        <f>TEXT(tbl_Ledger[[#This Row],[Date]],"yyyy-mm")</f>
        <v>2025-07</v>
      </c>
      <c r="O80" s="25" t="str">
        <f>TEXT(tbl_Ledger[[#This Row],[Date]],"yyyy-mm") &amp; TRIM(tbl_Ledger[[#This Row],[Currency]])</f>
        <v>2025-07NGN</v>
      </c>
      <c r="P80" s="25">
        <f>_xlfn.XLOOKUP(tbl_Ledger[[#This Row],[Key]], tbl_FX[Key], tbl_FX[Rate_to_NGN])</f>
        <v>1</v>
      </c>
      <c r="Q80" s="37">
        <f>IF(tbl_Ledger[[#This Row],[Account_Type]]="Expense",-ABS(tbl_Ledger[[#This Row],[Amount]]*tbl_Ledger[[#This Row],[Rate_to_NGN]]),tbl_Ledger[[#This Row],[Amount]]*tbl_Ledger[[#This Row],[Rate_to_NGN]])</f>
        <v>33300</v>
      </c>
      <c r="R80" s="25" t="str">
        <f>_xlfn.XLOOKUP(tbl_Ledger[[#This Row],[Account_Code]], tbl_Accounts[Account_Code], tbl_Accounts[Type])</f>
        <v>Revenue</v>
      </c>
      <c r="S80" s="25" t="str">
        <f>_xlfn.XLOOKUP(tbl_Ledger[[#This Row],[Account_Code]], tbl_Accounts[Account_Code], tbl_Accounts[PL_Bucket])</f>
        <v>Revenue</v>
      </c>
      <c r="T80" s="25">
        <f t="shared" si="1"/>
        <v>33300</v>
      </c>
    </row>
    <row r="81" spans="1:20">
      <c r="A81" t="s">
        <v>329</v>
      </c>
      <c r="B81" s="7">
        <v>45844</v>
      </c>
      <c r="C81" t="s">
        <v>93</v>
      </c>
      <c r="D81" t="s">
        <v>94</v>
      </c>
      <c r="E81" t="s">
        <v>103</v>
      </c>
      <c r="F81" s="12" t="s">
        <v>24</v>
      </c>
      <c r="G81" t="s">
        <v>25</v>
      </c>
      <c r="H81" t="s">
        <v>330</v>
      </c>
      <c r="I81" t="s">
        <v>71</v>
      </c>
      <c r="J81" s="6">
        <v>35100</v>
      </c>
      <c r="K81" t="s">
        <v>3</v>
      </c>
      <c r="L81" t="s">
        <v>331</v>
      </c>
      <c r="M81" t="s">
        <v>3</v>
      </c>
      <c r="N81" s="25" t="str">
        <f>TEXT(tbl_Ledger[[#This Row],[Date]],"yyyy-mm")</f>
        <v>2025-07</v>
      </c>
      <c r="O81" s="25" t="str">
        <f>TEXT(tbl_Ledger[[#This Row],[Date]],"yyyy-mm") &amp; TRIM(tbl_Ledger[[#This Row],[Currency]])</f>
        <v>2025-07NGN</v>
      </c>
      <c r="P81" s="25">
        <f>_xlfn.XLOOKUP(tbl_Ledger[[#This Row],[Key]], tbl_FX[Key], tbl_FX[Rate_to_NGN])</f>
        <v>1</v>
      </c>
      <c r="Q81" s="37">
        <f>IF(tbl_Ledger[[#This Row],[Account_Type]]="Expense",-ABS(tbl_Ledger[[#This Row],[Amount]]*tbl_Ledger[[#This Row],[Rate_to_NGN]]),tbl_Ledger[[#This Row],[Amount]]*tbl_Ledger[[#This Row],[Rate_to_NGN]])</f>
        <v>35100</v>
      </c>
      <c r="R81" s="25" t="str">
        <f>_xlfn.XLOOKUP(tbl_Ledger[[#This Row],[Account_Code]], tbl_Accounts[Account_Code], tbl_Accounts[Type])</f>
        <v>Revenue</v>
      </c>
      <c r="S81" s="25" t="str">
        <f>_xlfn.XLOOKUP(tbl_Ledger[[#This Row],[Account_Code]], tbl_Accounts[Account_Code], tbl_Accounts[PL_Bucket])</f>
        <v>Revenue</v>
      </c>
      <c r="T81" s="25">
        <f t="shared" si="1"/>
        <v>35100</v>
      </c>
    </row>
    <row r="82" spans="1:20">
      <c r="A82" t="s">
        <v>332</v>
      </c>
      <c r="B82" s="7">
        <v>45844</v>
      </c>
      <c r="C82" t="s">
        <v>93</v>
      </c>
      <c r="D82" t="s">
        <v>94</v>
      </c>
      <c r="E82" t="s">
        <v>160</v>
      </c>
      <c r="F82" s="12" t="s">
        <v>24</v>
      </c>
      <c r="G82" t="s">
        <v>25</v>
      </c>
      <c r="H82" t="s">
        <v>333</v>
      </c>
      <c r="I82" t="s">
        <v>71</v>
      </c>
      <c r="J82" s="6">
        <v>39000</v>
      </c>
      <c r="K82" t="s">
        <v>3</v>
      </c>
      <c r="L82" t="s">
        <v>331</v>
      </c>
      <c r="M82" t="s">
        <v>3</v>
      </c>
      <c r="N82" s="25" t="str">
        <f>TEXT(tbl_Ledger[[#This Row],[Date]],"yyyy-mm")</f>
        <v>2025-07</v>
      </c>
      <c r="O82" s="25" t="str">
        <f>TEXT(tbl_Ledger[[#This Row],[Date]],"yyyy-mm") &amp; TRIM(tbl_Ledger[[#This Row],[Currency]])</f>
        <v>2025-07NGN</v>
      </c>
      <c r="P82" s="25">
        <f>_xlfn.XLOOKUP(tbl_Ledger[[#This Row],[Key]], tbl_FX[Key], tbl_FX[Rate_to_NGN])</f>
        <v>1</v>
      </c>
      <c r="Q82" s="37">
        <f>IF(tbl_Ledger[[#This Row],[Account_Type]]="Expense",-ABS(tbl_Ledger[[#This Row],[Amount]]*tbl_Ledger[[#This Row],[Rate_to_NGN]]),tbl_Ledger[[#This Row],[Amount]]*tbl_Ledger[[#This Row],[Rate_to_NGN]])</f>
        <v>39000</v>
      </c>
      <c r="R82" s="25" t="str">
        <f>_xlfn.XLOOKUP(tbl_Ledger[[#This Row],[Account_Code]], tbl_Accounts[Account_Code], tbl_Accounts[Type])</f>
        <v>Revenue</v>
      </c>
      <c r="S82" s="25" t="str">
        <f>_xlfn.XLOOKUP(tbl_Ledger[[#This Row],[Account_Code]], tbl_Accounts[Account_Code], tbl_Accounts[PL_Bucket])</f>
        <v>Revenue</v>
      </c>
      <c r="T82" s="25">
        <f t="shared" si="1"/>
        <v>39000</v>
      </c>
    </row>
    <row r="83" spans="1:20">
      <c r="A83" t="s">
        <v>334</v>
      </c>
      <c r="B83" s="7">
        <v>45844</v>
      </c>
      <c r="C83" t="s">
        <v>93</v>
      </c>
      <c r="D83" t="s">
        <v>94</v>
      </c>
      <c r="E83" t="s">
        <v>107</v>
      </c>
      <c r="F83" s="12" t="s">
        <v>24</v>
      </c>
      <c r="G83" t="s">
        <v>25</v>
      </c>
      <c r="H83" t="s">
        <v>335</v>
      </c>
      <c r="I83" t="s">
        <v>71</v>
      </c>
      <c r="J83" s="6">
        <v>36900</v>
      </c>
      <c r="K83" t="s">
        <v>3</v>
      </c>
      <c r="L83" t="s">
        <v>336</v>
      </c>
      <c r="M83" t="s">
        <v>3</v>
      </c>
      <c r="N83" s="25" t="str">
        <f>TEXT(tbl_Ledger[[#This Row],[Date]],"yyyy-mm")</f>
        <v>2025-07</v>
      </c>
      <c r="O83" s="25" t="str">
        <f>TEXT(tbl_Ledger[[#This Row],[Date]],"yyyy-mm") &amp; TRIM(tbl_Ledger[[#This Row],[Currency]])</f>
        <v>2025-07NGN</v>
      </c>
      <c r="P83" s="25">
        <f>_xlfn.XLOOKUP(tbl_Ledger[[#This Row],[Key]], tbl_FX[Key], tbl_FX[Rate_to_NGN])</f>
        <v>1</v>
      </c>
      <c r="Q83" s="37">
        <f>IF(tbl_Ledger[[#This Row],[Account_Type]]="Expense",-ABS(tbl_Ledger[[#This Row],[Amount]]*tbl_Ledger[[#This Row],[Rate_to_NGN]]),tbl_Ledger[[#This Row],[Amount]]*tbl_Ledger[[#This Row],[Rate_to_NGN]])</f>
        <v>36900</v>
      </c>
      <c r="R83" s="25" t="str">
        <f>_xlfn.XLOOKUP(tbl_Ledger[[#This Row],[Account_Code]], tbl_Accounts[Account_Code], tbl_Accounts[Type])</f>
        <v>Revenue</v>
      </c>
      <c r="S83" s="25" t="str">
        <f>_xlfn.XLOOKUP(tbl_Ledger[[#This Row],[Account_Code]], tbl_Accounts[Account_Code], tbl_Accounts[PL_Bucket])</f>
        <v>Revenue</v>
      </c>
      <c r="T83" s="25">
        <f t="shared" si="1"/>
        <v>36900</v>
      </c>
    </row>
    <row r="84" spans="1:20">
      <c r="A84" t="s">
        <v>337</v>
      </c>
      <c r="B84" s="7">
        <v>45844</v>
      </c>
      <c r="C84" t="s">
        <v>93</v>
      </c>
      <c r="D84" t="s">
        <v>111</v>
      </c>
      <c r="E84" t="s">
        <v>116</v>
      </c>
      <c r="F84" s="12" t="s">
        <v>24</v>
      </c>
      <c r="G84" t="s">
        <v>25</v>
      </c>
      <c r="H84" t="s">
        <v>338</v>
      </c>
      <c r="I84" t="s">
        <v>71</v>
      </c>
      <c r="J84" s="6">
        <v>59700</v>
      </c>
      <c r="K84" t="s">
        <v>3</v>
      </c>
      <c r="L84" t="s">
        <v>339</v>
      </c>
      <c r="M84" t="s">
        <v>3</v>
      </c>
      <c r="N84" s="25" t="str">
        <f>TEXT(tbl_Ledger[[#This Row],[Date]],"yyyy-mm")</f>
        <v>2025-07</v>
      </c>
      <c r="O84" s="25" t="str">
        <f>TEXT(tbl_Ledger[[#This Row],[Date]],"yyyy-mm") &amp; TRIM(tbl_Ledger[[#This Row],[Currency]])</f>
        <v>2025-07NGN</v>
      </c>
      <c r="P84" s="25">
        <f>_xlfn.XLOOKUP(tbl_Ledger[[#This Row],[Key]], tbl_FX[Key], tbl_FX[Rate_to_NGN])</f>
        <v>1</v>
      </c>
      <c r="Q84" s="37">
        <f>IF(tbl_Ledger[[#This Row],[Account_Type]]="Expense",-ABS(tbl_Ledger[[#This Row],[Amount]]*tbl_Ledger[[#This Row],[Rate_to_NGN]]),tbl_Ledger[[#This Row],[Amount]]*tbl_Ledger[[#This Row],[Rate_to_NGN]])</f>
        <v>59700</v>
      </c>
      <c r="R84" s="25" t="str">
        <f>_xlfn.XLOOKUP(tbl_Ledger[[#This Row],[Account_Code]], tbl_Accounts[Account_Code], tbl_Accounts[Type])</f>
        <v>Revenue</v>
      </c>
      <c r="S84" s="25" t="str">
        <f>_xlfn.XLOOKUP(tbl_Ledger[[#This Row],[Account_Code]], tbl_Accounts[Account_Code], tbl_Accounts[PL_Bucket])</f>
        <v>Revenue</v>
      </c>
      <c r="T84" s="25">
        <f t="shared" si="1"/>
        <v>59700</v>
      </c>
    </row>
    <row r="85" spans="1:20">
      <c r="A85" t="s">
        <v>340</v>
      </c>
      <c r="B85" s="7">
        <v>45844</v>
      </c>
      <c r="C85" t="s">
        <v>93</v>
      </c>
      <c r="D85" t="s">
        <v>111</v>
      </c>
      <c r="E85" t="s">
        <v>119</v>
      </c>
      <c r="F85" s="12" t="s">
        <v>24</v>
      </c>
      <c r="G85" t="s">
        <v>25</v>
      </c>
      <c r="H85" t="s">
        <v>341</v>
      </c>
      <c r="I85" t="s">
        <v>71</v>
      </c>
      <c r="J85" s="6">
        <v>59500</v>
      </c>
      <c r="K85" t="s">
        <v>3</v>
      </c>
      <c r="L85" t="s">
        <v>339</v>
      </c>
      <c r="M85" t="s">
        <v>3</v>
      </c>
      <c r="N85" s="25" t="str">
        <f>TEXT(tbl_Ledger[[#This Row],[Date]],"yyyy-mm")</f>
        <v>2025-07</v>
      </c>
      <c r="O85" s="25" t="str">
        <f>TEXT(tbl_Ledger[[#This Row],[Date]],"yyyy-mm") &amp; TRIM(tbl_Ledger[[#This Row],[Currency]])</f>
        <v>2025-07NGN</v>
      </c>
      <c r="P85" s="25">
        <f>_xlfn.XLOOKUP(tbl_Ledger[[#This Row],[Key]], tbl_FX[Key], tbl_FX[Rate_to_NGN])</f>
        <v>1</v>
      </c>
      <c r="Q85" s="37">
        <f>IF(tbl_Ledger[[#This Row],[Account_Type]]="Expense",-ABS(tbl_Ledger[[#This Row],[Amount]]*tbl_Ledger[[#This Row],[Rate_to_NGN]]),tbl_Ledger[[#This Row],[Amount]]*tbl_Ledger[[#This Row],[Rate_to_NGN]])</f>
        <v>59500</v>
      </c>
      <c r="R85" s="25" t="str">
        <f>_xlfn.XLOOKUP(tbl_Ledger[[#This Row],[Account_Code]], tbl_Accounts[Account_Code], tbl_Accounts[Type])</f>
        <v>Revenue</v>
      </c>
      <c r="S85" s="25" t="str">
        <f>_xlfn.XLOOKUP(tbl_Ledger[[#This Row],[Account_Code]], tbl_Accounts[Account_Code], tbl_Accounts[PL_Bucket])</f>
        <v>Revenue</v>
      </c>
      <c r="T85" s="25">
        <f t="shared" si="1"/>
        <v>59500</v>
      </c>
    </row>
    <row r="86" spans="1:20">
      <c r="A86" t="s">
        <v>342</v>
      </c>
      <c r="B86" s="7">
        <v>45844</v>
      </c>
      <c r="C86" t="s">
        <v>93</v>
      </c>
      <c r="D86" t="s">
        <v>111</v>
      </c>
      <c r="E86" t="s">
        <v>170</v>
      </c>
      <c r="F86" s="12" t="s">
        <v>24</v>
      </c>
      <c r="G86" t="s">
        <v>25</v>
      </c>
      <c r="H86" t="s">
        <v>343</v>
      </c>
      <c r="I86" t="s">
        <v>71</v>
      </c>
      <c r="J86" s="6">
        <v>58400</v>
      </c>
      <c r="K86" t="s">
        <v>3</v>
      </c>
      <c r="L86" t="s">
        <v>339</v>
      </c>
      <c r="M86" t="s">
        <v>3</v>
      </c>
      <c r="N86" s="25" t="str">
        <f>TEXT(tbl_Ledger[[#This Row],[Date]],"yyyy-mm")</f>
        <v>2025-07</v>
      </c>
      <c r="O86" s="25" t="str">
        <f>TEXT(tbl_Ledger[[#This Row],[Date]],"yyyy-mm") &amp; TRIM(tbl_Ledger[[#This Row],[Currency]])</f>
        <v>2025-07NGN</v>
      </c>
      <c r="P86" s="25">
        <f>_xlfn.XLOOKUP(tbl_Ledger[[#This Row],[Key]], tbl_FX[Key], tbl_FX[Rate_to_NGN])</f>
        <v>1</v>
      </c>
      <c r="Q86" s="37">
        <f>IF(tbl_Ledger[[#This Row],[Account_Type]]="Expense",-ABS(tbl_Ledger[[#This Row],[Amount]]*tbl_Ledger[[#This Row],[Rate_to_NGN]]),tbl_Ledger[[#This Row],[Amount]]*tbl_Ledger[[#This Row],[Rate_to_NGN]])</f>
        <v>58400</v>
      </c>
      <c r="R86" s="25" t="str">
        <f>_xlfn.XLOOKUP(tbl_Ledger[[#This Row],[Account_Code]], tbl_Accounts[Account_Code], tbl_Accounts[Type])</f>
        <v>Revenue</v>
      </c>
      <c r="S86" s="25" t="str">
        <f>_xlfn.XLOOKUP(tbl_Ledger[[#This Row],[Account_Code]], tbl_Accounts[Account_Code], tbl_Accounts[PL_Bucket])</f>
        <v>Revenue</v>
      </c>
      <c r="T86" s="25">
        <f t="shared" si="1"/>
        <v>58400</v>
      </c>
    </row>
    <row r="87" spans="1:20">
      <c r="A87" t="s">
        <v>344</v>
      </c>
      <c r="B87" s="7">
        <v>45844</v>
      </c>
      <c r="C87" t="s">
        <v>93</v>
      </c>
      <c r="D87" t="s">
        <v>111</v>
      </c>
      <c r="E87" t="s">
        <v>122</v>
      </c>
      <c r="F87" s="12" t="s">
        <v>24</v>
      </c>
      <c r="G87" t="s">
        <v>25</v>
      </c>
      <c r="H87" t="s">
        <v>345</v>
      </c>
      <c r="I87" t="s">
        <v>71</v>
      </c>
      <c r="J87" s="6">
        <v>62500</v>
      </c>
      <c r="K87" t="s">
        <v>3</v>
      </c>
      <c r="L87" t="s">
        <v>346</v>
      </c>
      <c r="M87" t="s">
        <v>3</v>
      </c>
      <c r="N87" s="25" t="str">
        <f>TEXT(tbl_Ledger[[#This Row],[Date]],"yyyy-mm")</f>
        <v>2025-07</v>
      </c>
      <c r="O87" s="25" t="str">
        <f>TEXT(tbl_Ledger[[#This Row],[Date]],"yyyy-mm") &amp; TRIM(tbl_Ledger[[#This Row],[Currency]])</f>
        <v>2025-07NGN</v>
      </c>
      <c r="P87" s="25">
        <f>_xlfn.XLOOKUP(tbl_Ledger[[#This Row],[Key]], tbl_FX[Key], tbl_FX[Rate_to_NGN])</f>
        <v>1</v>
      </c>
      <c r="Q87" s="37">
        <f>IF(tbl_Ledger[[#This Row],[Account_Type]]="Expense",-ABS(tbl_Ledger[[#This Row],[Amount]]*tbl_Ledger[[#This Row],[Rate_to_NGN]]),tbl_Ledger[[#This Row],[Amount]]*tbl_Ledger[[#This Row],[Rate_to_NGN]])</f>
        <v>62500</v>
      </c>
      <c r="R87" s="25" t="str">
        <f>_xlfn.XLOOKUP(tbl_Ledger[[#This Row],[Account_Code]], tbl_Accounts[Account_Code], tbl_Accounts[Type])</f>
        <v>Revenue</v>
      </c>
      <c r="S87" s="25" t="str">
        <f>_xlfn.XLOOKUP(tbl_Ledger[[#This Row],[Account_Code]], tbl_Accounts[Account_Code], tbl_Accounts[PL_Bucket])</f>
        <v>Revenue</v>
      </c>
      <c r="T87" s="25">
        <f t="shared" si="1"/>
        <v>62500</v>
      </c>
    </row>
    <row r="88" spans="1:20">
      <c r="A88" t="s">
        <v>347</v>
      </c>
      <c r="B88" s="7">
        <v>45844</v>
      </c>
      <c r="C88" t="s">
        <v>126</v>
      </c>
      <c r="D88" t="s">
        <v>88</v>
      </c>
      <c r="E88" t="s">
        <v>127</v>
      </c>
      <c r="F88" s="12" t="s">
        <v>29</v>
      </c>
      <c r="G88" t="s">
        <v>30</v>
      </c>
      <c r="H88" t="s">
        <v>348</v>
      </c>
      <c r="I88" t="s">
        <v>72</v>
      </c>
      <c r="J88" s="6">
        <v>30.07</v>
      </c>
      <c r="K88" t="s">
        <v>129</v>
      </c>
      <c r="L88" t="s">
        <v>349</v>
      </c>
      <c r="M88" t="s">
        <v>3</v>
      </c>
      <c r="N88" s="25" t="str">
        <f>TEXT(tbl_Ledger[[#This Row],[Date]],"yyyy-mm")</f>
        <v>2025-07</v>
      </c>
      <c r="O88" s="25" t="str">
        <f>TEXT(tbl_Ledger[[#This Row],[Date]],"yyyy-mm") &amp; TRIM(tbl_Ledger[[#This Row],[Currency]])</f>
        <v>2025-07USD</v>
      </c>
      <c r="P88" s="25">
        <f>_xlfn.XLOOKUP(tbl_Ledger[[#This Row],[Key]], tbl_FX[Key], tbl_FX[Rate_to_NGN])</f>
        <v>1530</v>
      </c>
      <c r="Q88" s="37">
        <f>IF(tbl_Ledger[[#This Row],[Account_Type]]="Expense",-ABS(tbl_Ledger[[#This Row],[Amount]]*tbl_Ledger[[#This Row],[Rate_to_NGN]]),tbl_Ledger[[#This Row],[Amount]]*tbl_Ledger[[#This Row],[Rate_to_NGN]])</f>
        <v>46007.1</v>
      </c>
      <c r="R88" s="25" t="str">
        <f>_xlfn.XLOOKUP(tbl_Ledger[[#This Row],[Account_Code]], tbl_Accounts[Account_Code], tbl_Accounts[Type])</f>
        <v>Revenue</v>
      </c>
      <c r="S88" s="25" t="str">
        <f>_xlfn.XLOOKUP(tbl_Ledger[[#This Row],[Account_Code]], tbl_Accounts[Account_Code], tbl_Accounts[PL_Bucket])</f>
        <v>Revenue</v>
      </c>
      <c r="T88" s="25">
        <f t="shared" si="1"/>
        <v>46007.1</v>
      </c>
    </row>
    <row r="89" spans="1:20">
      <c r="A89" t="s">
        <v>350</v>
      </c>
      <c r="B89" s="7">
        <v>45844</v>
      </c>
      <c r="C89" t="s">
        <v>126</v>
      </c>
      <c r="D89" t="s">
        <v>88</v>
      </c>
      <c r="E89" t="s">
        <v>132</v>
      </c>
      <c r="F89" s="12" t="s">
        <v>29</v>
      </c>
      <c r="G89" t="s">
        <v>30</v>
      </c>
      <c r="H89" t="s">
        <v>351</v>
      </c>
      <c r="I89" t="s">
        <v>72</v>
      </c>
      <c r="J89" s="6">
        <v>28.04</v>
      </c>
      <c r="K89" t="s">
        <v>134</v>
      </c>
      <c r="L89" t="s">
        <v>349</v>
      </c>
      <c r="M89" t="s">
        <v>3</v>
      </c>
      <c r="N89" s="25" t="str">
        <f>TEXT(tbl_Ledger[[#This Row],[Date]],"yyyy-mm")</f>
        <v>2025-07</v>
      </c>
      <c r="O89" s="25" t="str">
        <f>TEXT(tbl_Ledger[[#This Row],[Date]],"yyyy-mm") &amp; TRIM(tbl_Ledger[[#This Row],[Currency]])</f>
        <v>2025-07USD</v>
      </c>
      <c r="P89" s="25">
        <f>_xlfn.XLOOKUP(tbl_Ledger[[#This Row],[Key]], tbl_FX[Key], tbl_FX[Rate_to_NGN])</f>
        <v>1530</v>
      </c>
      <c r="Q89" s="37">
        <f>IF(tbl_Ledger[[#This Row],[Account_Type]]="Expense",-ABS(tbl_Ledger[[#This Row],[Amount]]*tbl_Ledger[[#This Row],[Rate_to_NGN]]),tbl_Ledger[[#This Row],[Amount]]*tbl_Ledger[[#This Row],[Rate_to_NGN]])</f>
        <v>42901.2</v>
      </c>
      <c r="R89" s="25" t="str">
        <f>_xlfn.XLOOKUP(tbl_Ledger[[#This Row],[Account_Code]], tbl_Accounts[Account_Code], tbl_Accounts[Type])</f>
        <v>Revenue</v>
      </c>
      <c r="S89" s="25" t="str">
        <f>_xlfn.XLOOKUP(tbl_Ledger[[#This Row],[Account_Code]], tbl_Accounts[Account_Code], tbl_Accounts[PL_Bucket])</f>
        <v>Revenue</v>
      </c>
      <c r="T89" s="25">
        <f t="shared" si="1"/>
        <v>42901.2</v>
      </c>
    </row>
    <row r="90" spans="1:20">
      <c r="A90" t="s">
        <v>352</v>
      </c>
      <c r="B90" s="7">
        <v>45844</v>
      </c>
      <c r="C90" t="s">
        <v>126</v>
      </c>
      <c r="D90" t="s">
        <v>88</v>
      </c>
      <c r="E90" t="s">
        <v>136</v>
      </c>
      <c r="F90" s="12" t="s">
        <v>29</v>
      </c>
      <c r="G90" t="s">
        <v>30</v>
      </c>
      <c r="H90" t="s">
        <v>353</v>
      </c>
      <c r="I90" t="s">
        <v>71</v>
      </c>
      <c r="J90" s="6">
        <v>47000</v>
      </c>
      <c r="K90" t="s">
        <v>138</v>
      </c>
      <c r="L90" t="s">
        <v>349</v>
      </c>
      <c r="M90" t="s">
        <v>3</v>
      </c>
      <c r="N90" s="25" t="str">
        <f>TEXT(tbl_Ledger[[#This Row],[Date]],"yyyy-mm")</f>
        <v>2025-07</v>
      </c>
      <c r="O90" s="25" t="str">
        <f>TEXT(tbl_Ledger[[#This Row],[Date]],"yyyy-mm") &amp; TRIM(tbl_Ledger[[#This Row],[Currency]])</f>
        <v>2025-07NGN</v>
      </c>
      <c r="P90" s="25">
        <f>_xlfn.XLOOKUP(tbl_Ledger[[#This Row],[Key]], tbl_FX[Key], tbl_FX[Rate_to_NGN])</f>
        <v>1</v>
      </c>
      <c r="Q90" s="37">
        <f>IF(tbl_Ledger[[#This Row],[Account_Type]]="Expense",-ABS(tbl_Ledger[[#This Row],[Amount]]*tbl_Ledger[[#This Row],[Rate_to_NGN]]),tbl_Ledger[[#This Row],[Amount]]*tbl_Ledger[[#This Row],[Rate_to_NGN]])</f>
        <v>47000</v>
      </c>
      <c r="R90" s="25" t="str">
        <f>_xlfn.XLOOKUP(tbl_Ledger[[#This Row],[Account_Code]], tbl_Accounts[Account_Code], tbl_Accounts[Type])</f>
        <v>Revenue</v>
      </c>
      <c r="S90" s="25" t="str">
        <f>_xlfn.XLOOKUP(tbl_Ledger[[#This Row],[Account_Code]], tbl_Accounts[Account_Code], tbl_Accounts[PL_Bucket])</f>
        <v>Revenue</v>
      </c>
      <c r="T90" s="25">
        <f t="shared" si="1"/>
        <v>47000</v>
      </c>
    </row>
    <row r="91" spans="1:20">
      <c r="A91" t="s">
        <v>354</v>
      </c>
      <c r="B91" s="7">
        <v>45844</v>
      </c>
      <c r="C91" t="s">
        <v>126</v>
      </c>
      <c r="D91" t="s">
        <v>88</v>
      </c>
      <c r="E91" t="s">
        <v>140</v>
      </c>
      <c r="F91" s="12" t="s">
        <v>29</v>
      </c>
      <c r="G91" t="s">
        <v>30</v>
      </c>
      <c r="H91" t="s">
        <v>355</v>
      </c>
      <c r="I91" t="s">
        <v>71</v>
      </c>
      <c r="J91" s="6">
        <v>41500</v>
      </c>
      <c r="K91" t="s">
        <v>3</v>
      </c>
      <c r="L91" t="s">
        <v>356</v>
      </c>
      <c r="M91" t="s">
        <v>3</v>
      </c>
      <c r="N91" s="25" t="str">
        <f>TEXT(tbl_Ledger[[#This Row],[Date]],"yyyy-mm")</f>
        <v>2025-07</v>
      </c>
      <c r="O91" s="25" t="str">
        <f>TEXT(tbl_Ledger[[#This Row],[Date]],"yyyy-mm") &amp; TRIM(tbl_Ledger[[#This Row],[Currency]])</f>
        <v>2025-07NGN</v>
      </c>
      <c r="P91" s="25">
        <f>_xlfn.XLOOKUP(tbl_Ledger[[#This Row],[Key]], tbl_FX[Key], tbl_FX[Rate_to_NGN])</f>
        <v>1</v>
      </c>
      <c r="Q91" s="37">
        <f>IF(tbl_Ledger[[#This Row],[Account_Type]]="Expense",-ABS(tbl_Ledger[[#This Row],[Amount]]*tbl_Ledger[[#This Row],[Rate_to_NGN]]),tbl_Ledger[[#This Row],[Amount]]*tbl_Ledger[[#This Row],[Rate_to_NGN]])</f>
        <v>41500</v>
      </c>
      <c r="R91" s="25" t="str">
        <f>_xlfn.XLOOKUP(tbl_Ledger[[#This Row],[Account_Code]], tbl_Accounts[Account_Code], tbl_Accounts[Type])</f>
        <v>Revenue</v>
      </c>
      <c r="S91" s="25" t="str">
        <f>_xlfn.XLOOKUP(tbl_Ledger[[#This Row],[Account_Code]], tbl_Accounts[Account_Code], tbl_Accounts[PL_Bucket])</f>
        <v>Revenue</v>
      </c>
      <c r="T91" s="25">
        <f t="shared" si="1"/>
        <v>41500</v>
      </c>
    </row>
    <row r="92" spans="1:20">
      <c r="A92" t="s">
        <v>357</v>
      </c>
      <c r="B92" s="7">
        <v>45844</v>
      </c>
      <c r="C92" t="s">
        <v>93</v>
      </c>
      <c r="D92" t="s">
        <v>111</v>
      </c>
      <c r="E92" t="s">
        <v>112</v>
      </c>
      <c r="F92" s="12" t="s">
        <v>31</v>
      </c>
      <c r="G92" t="s">
        <v>32</v>
      </c>
      <c r="H92" t="s">
        <v>358</v>
      </c>
      <c r="I92" t="s">
        <v>71</v>
      </c>
      <c r="J92" s="6">
        <v>68559</v>
      </c>
      <c r="K92" t="s">
        <v>3</v>
      </c>
      <c r="L92" t="s">
        <v>359</v>
      </c>
      <c r="M92" t="s">
        <v>237</v>
      </c>
      <c r="N92" s="25" t="str">
        <f>TEXT(tbl_Ledger[[#This Row],[Date]],"yyyy-mm")</f>
        <v>2025-07</v>
      </c>
      <c r="O92" s="25" t="str">
        <f>TEXT(tbl_Ledger[[#This Row],[Date]],"yyyy-mm") &amp; TRIM(tbl_Ledger[[#This Row],[Currency]])</f>
        <v>2025-07NGN</v>
      </c>
      <c r="P92" s="25">
        <f>_xlfn.XLOOKUP(tbl_Ledger[[#This Row],[Key]], tbl_FX[Key], tbl_FX[Rate_to_NGN])</f>
        <v>1</v>
      </c>
      <c r="Q92" s="37">
        <f>IF(tbl_Ledger[[#This Row],[Account_Type]]="Expense",-ABS(tbl_Ledger[[#This Row],[Amount]]*tbl_Ledger[[#This Row],[Rate_to_NGN]]),tbl_Ledger[[#This Row],[Amount]]*tbl_Ledger[[#This Row],[Rate_to_NGN]])</f>
        <v>68559</v>
      </c>
      <c r="R92" s="25" t="str">
        <f>_xlfn.XLOOKUP(tbl_Ledger[[#This Row],[Account_Code]], tbl_Accounts[Account_Code], tbl_Accounts[Type])</f>
        <v>Revenue</v>
      </c>
      <c r="S92" s="25" t="str">
        <f>_xlfn.XLOOKUP(tbl_Ledger[[#This Row],[Account_Code]], tbl_Accounts[Account_Code], tbl_Accounts[PL_Bucket])</f>
        <v>Revenue</v>
      </c>
      <c r="T92" s="25">
        <f t="shared" si="1"/>
        <v>68559</v>
      </c>
    </row>
    <row r="93" spans="1:20">
      <c r="A93" t="s">
        <v>360</v>
      </c>
      <c r="B93" s="7">
        <v>45844</v>
      </c>
      <c r="C93" t="s">
        <v>87</v>
      </c>
      <c r="D93" t="s">
        <v>88</v>
      </c>
      <c r="E93" t="s">
        <v>3</v>
      </c>
      <c r="F93" s="12" t="s">
        <v>40</v>
      </c>
      <c r="G93" t="s">
        <v>41</v>
      </c>
      <c r="H93" t="s">
        <v>148</v>
      </c>
      <c r="I93" t="s">
        <v>71</v>
      </c>
      <c r="J93" s="6">
        <v>-562000</v>
      </c>
      <c r="K93" t="s">
        <v>90</v>
      </c>
      <c r="L93" t="s">
        <v>361</v>
      </c>
      <c r="M93" t="s">
        <v>3</v>
      </c>
      <c r="N93" s="25" t="str">
        <f>TEXT(tbl_Ledger[[#This Row],[Date]],"yyyy-mm")</f>
        <v>2025-07</v>
      </c>
      <c r="O93" s="25" t="str">
        <f>TEXT(tbl_Ledger[[#This Row],[Date]],"yyyy-mm") &amp; TRIM(tbl_Ledger[[#This Row],[Currency]])</f>
        <v>2025-07NGN</v>
      </c>
      <c r="P93" s="25">
        <f>_xlfn.XLOOKUP(tbl_Ledger[[#This Row],[Key]], tbl_FX[Key], tbl_FX[Rate_to_NGN])</f>
        <v>1</v>
      </c>
      <c r="Q93" s="37">
        <f>IF(tbl_Ledger[[#This Row],[Account_Type]]="Expense",-ABS(tbl_Ledger[[#This Row],[Amount]]*tbl_Ledger[[#This Row],[Rate_to_NGN]]),tbl_Ledger[[#This Row],[Amount]]*tbl_Ledger[[#This Row],[Rate_to_NGN]])</f>
        <v>-562000</v>
      </c>
      <c r="R93" s="25" t="str">
        <f>_xlfn.XLOOKUP(tbl_Ledger[[#This Row],[Account_Code]], tbl_Accounts[Account_Code], tbl_Accounts[Type])</f>
        <v>COGS</v>
      </c>
      <c r="S93" s="25" t="str">
        <f>_xlfn.XLOOKUP(tbl_Ledger[[#This Row],[Account_Code]], tbl_Accounts[Account_Code], tbl_Accounts[PL_Bucket])</f>
        <v>COGS</v>
      </c>
      <c r="T93" s="25">
        <f t="shared" si="1"/>
        <v>-562000</v>
      </c>
    </row>
    <row r="94" spans="1:20">
      <c r="A94" t="s">
        <v>362</v>
      </c>
      <c r="B94" s="7">
        <v>45845</v>
      </c>
      <c r="C94" t="s">
        <v>93</v>
      </c>
      <c r="D94" t="s">
        <v>94</v>
      </c>
      <c r="E94" t="s">
        <v>95</v>
      </c>
      <c r="F94" s="12" t="s">
        <v>24</v>
      </c>
      <c r="G94" t="s">
        <v>25</v>
      </c>
      <c r="H94" t="s">
        <v>363</v>
      </c>
      <c r="I94" t="s">
        <v>71</v>
      </c>
      <c r="J94" s="6">
        <v>26500</v>
      </c>
      <c r="K94" t="s">
        <v>3</v>
      </c>
      <c r="L94" t="s">
        <v>364</v>
      </c>
      <c r="M94" t="s">
        <v>3</v>
      </c>
      <c r="N94" s="25" t="str">
        <f>TEXT(tbl_Ledger[[#This Row],[Date]],"yyyy-mm")</f>
        <v>2025-07</v>
      </c>
      <c r="O94" s="25" t="str">
        <f>TEXT(tbl_Ledger[[#This Row],[Date]],"yyyy-mm") &amp; TRIM(tbl_Ledger[[#This Row],[Currency]])</f>
        <v>2025-07NGN</v>
      </c>
      <c r="P94" s="25">
        <f>_xlfn.XLOOKUP(tbl_Ledger[[#This Row],[Key]], tbl_FX[Key], tbl_FX[Rate_to_NGN])</f>
        <v>1</v>
      </c>
      <c r="Q94" s="37">
        <f>IF(tbl_Ledger[[#This Row],[Account_Type]]="Expense",-ABS(tbl_Ledger[[#This Row],[Amount]]*tbl_Ledger[[#This Row],[Rate_to_NGN]]),tbl_Ledger[[#This Row],[Amount]]*tbl_Ledger[[#This Row],[Rate_to_NGN]])</f>
        <v>26500</v>
      </c>
      <c r="R94" s="25" t="str">
        <f>_xlfn.XLOOKUP(tbl_Ledger[[#This Row],[Account_Code]], tbl_Accounts[Account_Code], tbl_Accounts[Type])</f>
        <v>Revenue</v>
      </c>
      <c r="S94" s="25" t="str">
        <f>_xlfn.XLOOKUP(tbl_Ledger[[#This Row],[Account_Code]], tbl_Accounts[Account_Code], tbl_Accounts[PL_Bucket])</f>
        <v>Revenue</v>
      </c>
      <c r="T94" s="25">
        <f t="shared" si="1"/>
        <v>26500</v>
      </c>
    </row>
    <row r="95" spans="1:20">
      <c r="A95" t="s">
        <v>365</v>
      </c>
      <c r="B95" s="7">
        <v>45845</v>
      </c>
      <c r="C95" t="s">
        <v>93</v>
      </c>
      <c r="D95" t="s">
        <v>94</v>
      </c>
      <c r="E95" t="s">
        <v>99</v>
      </c>
      <c r="F95" s="12" t="s">
        <v>24</v>
      </c>
      <c r="G95" t="s">
        <v>25</v>
      </c>
      <c r="H95" t="s">
        <v>366</v>
      </c>
      <c r="I95" t="s">
        <v>71</v>
      </c>
      <c r="J95" s="6">
        <v>27800</v>
      </c>
      <c r="K95" t="s">
        <v>3</v>
      </c>
      <c r="L95" t="s">
        <v>367</v>
      </c>
      <c r="M95" t="s">
        <v>3</v>
      </c>
      <c r="N95" s="25" t="str">
        <f>TEXT(tbl_Ledger[[#This Row],[Date]],"yyyy-mm")</f>
        <v>2025-07</v>
      </c>
      <c r="O95" s="25" t="str">
        <f>TEXT(tbl_Ledger[[#This Row],[Date]],"yyyy-mm") &amp; TRIM(tbl_Ledger[[#This Row],[Currency]])</f>
        <v>2025-07NGN</v>
      </c>
      <c r="P95" s="25">
        <f>_xlfn.XLOOKUP(tbl_Ledger[[#This Row],[Key]], tbl_FX[Key], tbl_FX[Rate_to_NGN])</f>
        <v>1</v>
      </c>
      <c r="Q95" s="37">
        <f>IF(tbl_Ledger[[#This Row],[Account_Type]]="Expense",-ABS(tbl_Ledger[[#This Row],[Amount]]*tbl_Ledger[[#This Row],[Rate_to_NGN]]),tbl_Ledger[[#This Row],[Amount]]*tbl_Ledger[[#This Row],[Rate_to_NGN]])</f>
        <v>27800</v>
      </c>
      <c r="R95" s="25" t="str">
        <f>_xlfn.XLOOKUP(tbl_Ledger[[#This Row],[Account_Code]], tbl_Accounts[Account_Code], tbl_Accounts[Type])</f>
        <v>Revenue</v>
      </c>
      <c r="S95" s="25" t="str">
        <f>_xlfn.XLOOKUP(tbl_Ledger[[#This Row],[Account_Code]], tbl_Accounts[Account_Code], tbl_Accounts[PL_Bucket])</f>
        <v>Revenue</v>
      </c>
      <c r="T95" s="25">
        <f t="shared" si="1"/>
        <v>27800</v>
      </c>
    </row>
    <row r="96" spans="1:20">
      <c r="A96" t="s">
        <v>368</v>
      </c>
      <c r="B96" s="7">
        <v>45845</v>
      </c>
      <c r="C96" t="s">
        <v>93</v>
      </c>
      <c r="D96" t="s">
        <v>94</v>
      </c>
      <c r="E96" t="s">
        <v>103</v>
      </c>
      <c r="F96" s="12" t="s">
        <v>24</v>
      </c>
      <c r="G96" t="s">
        <v>25</v>
      </c>
      <c r="H96" t="s">
        <v>369</v>
      </c>
      <c r="I96" t="s">
        <v>71</v>
      </c>
      <c r="J96" s="6">
        <v>28300</v>
      </c>
      <c r="K96" t="s">
        <v>3</v>
      </c>
      <c r="L96" t="s">
        <v>370</v>
      </c>
      <c r="M96" t="s">
        <v>3</v>
      </c>
      <c r="N96" s="25" t="str">
        <f>TEXT(tbl_Ledger[[#This Row],[Date]],"yyyy-mm")</f>
        <v>2025-07</v>
      </c>
      <c r="O96" s="25" t="str">
        <f>TEXT(tbl_Ledger[[#This Row],[Date]],"yyyy-mm") &amp; TRIM(tbl_Ledger[[#This Row],[Currency]])</f>
        <v>2025-07NGN</v>
      </c>
      <c r="P96" s="25">
        <f>_xlfn.XLOOKUP(tbl_Ledger[[#This Row],[Key]], tbl_FX[Key], tbl_FX[Rate_to_NGN])</f>
        <v>1</v>
      </c>
      <c r="Q96" s="37">
        <f>IF(tbl_Ledger[[#This Row],[Account_Type]]="Expense",-ABS(tbl_Ledger[[#This Row],[Amount]]*tbl_Ledger[[#This Row],[Rate_to_NGN]]),tbl_Ledger[[#This Row],[Amount]]*tbl_Ledger[[#This Row],[Rate_to_NGN]])</f>
        <v>28300</v>
      </c>
      <c r="R96" s="25" t="str">
        <f>_xlfn.XLOOKUP(tbl_Ledger[[#This Row],[Account_Code]], tbl_Accounts[Account_Code], tbl_Accounts[Type])</f>
        <v>Revenue</v>
      </c>
      <c r="S96" s="25" t="str">
        <f>_xlfn.XLOOKUP(tbl_Ledger[[#This Row],[Account_Code]], tbl_Accounts[Account_Code], tbl_Accounts[PL_Bucket])</f>
        <v>Revenue</v>
      </c>
      <c r="T96" s="25">
        <f t="shared" si="1"/>
        <v>28300</v>
      </c>
    </row>
    <row r="97" spans="1:20">
      <c r="A97" t="s">
        <v>371</v>
      </c>
      <c r="B97" s="7">
        <v>45845</v>
      </c>
      <c r="C97" t="s">
        <v>93</v>
      </c>
      <c r="D97" t="s">
        <v>94</v>
      </c>
      <c r="E97" t="s">
        <v>160</v>
      </c>
      <c r="F97" s="12" t="s">
        <v>24</v>
      </c>
      <c r="G97" t="s">
        <v>25</v>
      </c>
      <c r="H97" t="s">
        <v>372</v>
      </c>
      <c r="I97" t="s">
        <v>71</v>
      </c>
      <c r="J97" s="6">
        <v>30700</v>
      </c>
      <c r="K97" t="s">
        <v>3</v>
      </c>
      <c r="L97" t="s">
        <v>370</v>
      </c>
      <c r="M97" t="s">
        <v>3</v>
      </c>
      <c r="N97" s="25" t="str">
        <f>TEXT(tbl_Ledger[[#This Row],[Date]],"yyyy-mm")</f>
        <v>2025-07</v>
      </c>
      <c r="O97" s="25" t="str">
        <f>TEXT(tbl_Ledger[[#This Row],[Date]],"yyyy-mm") &amp; TRIM(tbl_Ledger[[#This Row],[Currency]])</f>
        <v>2025-07NGN</v>
      </c>
      <c r="P97" s="25">
        <f>_xlfn.XLOOKUP(tbl_Ledger[[#This Row],[Key]], tbl_FX[Key], tbl_FX[Rate_to_NGN])</f>
        <v>1</v>
      </c>
      <c r="Q97" s="37">
        <f>IF(tbl_Ledger[[#This Row],[Account_Type]]="Expense",-ABS(tbl_Ledger[[#This Row],[Amount]]*tbl_Ledger[[#This Row],[Rate_to_NGN]]),tbl_Ledger[[#This Row],[Amount]]*tbl_Ledger[[#This Row],[Rate_to_NGN]])</f>
        <v>30700</v>
      </c>
      <c r="R97" s="25" t="str">
        <f>_xlfn.XLOOKUP(tbl_Ledger[[#This Row],[Account_Code]], tbl_Accounts[Account_Code], tbl_Accounts[Type])</f>
        <v>Revenue</v>
      </c>
      <c r="S97" s="25" t="str">
        <f>_xlfn.XLOOKUP(tbl_Ledger[[#This Row],[Account_Code]], tbl_Accounts[Account_Code], tbl_Accounts[PL_Bucket])</f>
        <v>Revenue</v>
      </c>
      <c r="T97" s="25">
        <f t="shared" si="1"/>
        <v>30700</v>
      </c>
    </row>
    <row r="98" spans="1:20">
      <c r="A98" t="s">
        <v>373</v>
      </c>
      <c r="B98" s="7">
        <v>45845</v>
      </c>
      <c r="C98" t="s">
        <v>93</v>
      </c>
      <c r="D98" t="s">
        <v>94</v>
      </c>
      <c r="E98" t="s">
        <v>107</v>
      </c>
      <c r="F98" s="12" t="s">
        <v>24</v>
      </c>
      <c r="G98" t="s">
        <v>25</v>
      </c>
      <c r="H98" t="s">
        <v>374</v>
      </c>
      <c r="I98" t="s">
        <v>71</v>
      </c>
      <c r="J98" s="6">
        <v>30500</v>
      </c>
      <c r="K98" t="s">
        <v>3</v>
      </c>
      <c r="L98" t="s">
        <v>375</v>
      </c>
      <c r="M98" t="s">
        <v>3</v>
      </c>
      <c r="N98" s="25" t="str">
        <f>TEXT(tbl_Ledger[[#This Row],[Date]],"yyyy-mm")</f>
        <v>2025-07</v>
      </c>
      <c r="O98" s="25" t="str">
        <f>TEXT(tbl_Ledger[[#This Row],[Date]],"yyyy-mm") &amp; TRIM(tbl_Ledger[[#This Row],[Currency]])</f>
        <v>2025-07NGN</v>
      </c>
      <c r="P98" s="25">
        <f>_xlfn.XLOOKUP(tbl_Ledger[[#This Row],[Key]], tbl_FX[Key], tbl_FX[Rate_to_NGN])</f>
        <v>1</v>
      </c>
      <c r="Q98" s="37">
        <f>IF(tbl_Ledger[[#This Row],[Account_Type]]="Expense",-ABS(tbl_Ledger[[#This Row],[Amount]]*tbl_Ledger[[#This Row],[Rate_to_NGN]]),tbl_Ledger[[#This Row],[Amount]]*tbl_Ledger[[#This Row],[Rate_to_NGN]])</f>
        <v>30500</v>
      </c>
      <c r="R98" s="25" t="str">
        <f>_xlfn.XLOOKUP(tbl_Ledger[[#This Row],[Account_Code]], tbl_Accounts[Account_Code], tbl_Accounts[Type])</f>
        <v>Revenue</v>
      </c>
      <c r="S98" s="25" t="str">
        <f>_xlfn.XLOOKUP(tbl_Ledger[[#This Row],[Account_Code]], tbl_Accounts[Account_Code], tbl_Accounts[PL_Bucket])</f>
        <v>Revenue</v>
      </c>
      <c r="T98" s="25">
        <f t="shared" si="1"/>
        <v>30500</v>
      </c>
    </row>
    <row r="99" spans="1:20">
      <c r="A99" t="s">
        <v>376</v>
      </c>
      <c r="B99" s="7">
        <v>45845</v>
      </c>
      <c r="C99" t="s">
        <v>93</v>
      </c>
      <c r="D99" t="s">
        <v>111</v>
      </c>
      <c r="E99" t="s">
        <v>116</v>
      </c>
      <c r="F99" s="12" t="s">
        <v>24</v>
      </c>
      <c r="G99" t="s">
        <v>25</v>
      </c>
      <c r="H99" t="s">
        <v>377</v>
      </c>
      <c r="I99" t="s">
        <v>71</v>
      </c>
      <c r="J99" s="6">
        <v>50500</v>
      </c>
      <c r="K99" t="s">
        <v>3</v>
      </c>
      <c r="L99" t="s">
        <v>378</v>
      </c>
      <c r="M99" t="s">
        <v>3</v>
      </c>
      <c r="N99" s="25" t="str">
        <f>TEXT(tbl_Ledger[[#This Row],[Date]],"yyyy-mm")</f>
        <v>2025-07</v>
      </c>
      <c r="O99" s="25" t="str">
        <f>TEXT(tbl_Ledger[[#This Row],[Date]],"yyyy-mm") &amp; TRIM(tbl_Ledger[[#This Row],[Currency]])</f>
        <v>2025-07NGN</v>
      </c>
      <c r="P99" s="25">
        <f>_xlfn.XLOOKUP(tbl_Ledger[[#This Row],[Key]], tbl_FX[Key], tbl_FX[Rate_to_NGN])</f>
        <v>1</v>
      </c>
      <c r="Q99" s="37">
        <f>IF(tbl_Ledger[[#This Row],[Account_Type]]="Expense",-ABS(tbl_Ledger[[#This Row],[Amount]]*tbl_Ledger[[#This Row],[Rate_to_NGN]]),tbl_Ledger[[#This Row],[Amount]]*tbl_Ledger[[#This Row],[Rate_to_NGN]])</f>
        <v>50500</v>
      </c>
      <c r="R99" s="25" t="str">
        <f>_xlfn.XLOOKUP(tbl_Ledger[[#This Row],[Account_Code]], tbl_Accounts[Account_Code], tbl_Accounts[Type])</f>
        <v>Revenue</v>
      </c>
      <c r="S99" s="25" t="str">
        <f>_xlfn.XLOOKUP(tbl_Ledger[[#This Row],[Account_Code]], tbl_Accounts[Account_Code], tbl_Accounts[PL_Bucket])</f>
        <v>Revenue</v>
      </c>
      <c r="T99" s="25">
        <f t="shared" si="1"/>
        <v>50500</v>
      </c>
    </row>
    <row r="100" spans="1:20">
      <c r="A100" t="s">
        <v>379</v>
      </c>
      <c r="B100" s="7">
        <v>45845</v>
      </c>
      <c r="C100" t="s">
        <v>93</v>
      </c>
      <c r="D100" t="s">
        <v>111</v>
      </c>
      <c r="E100" t="s">
        <v>119</v>
      </c>
      <c r="F100" s="12" t="s">
        <v>24</v>
      </c>
      <c r="G100" t="s">
        <v>25</v>
      </c>
      <c r="H100" t="s">
        <v>380</v>
      </c>
      <c r="I100" t="s">
        <v>71</v>
      </c>
      <c r="J100" s="6">
        <v>47700</v>
      </c>
      <c r="K100" t="s">
        <v>3</v>
      </c>
      <c r="L100" t="s">
        <v>378</v>
      </c>
      <c r="M100" t="s">
        <v>3</v>
      </c>
      <c r="N100" s="25" t="str">
        <f>TEXT(tbl_Ledger[[#This Row],[Date]],"yyyy-mm")</f>
        <v>2025-07</v>
      </c>
      <c r="O100" s="25" t="str">
        <f>TEXT(tbl_Ledger[[#This Row],[Date]],"yyyy-mm") &amp; TRIM(tbl_Ledger[[#This Row],[Currency]])</f>
        <v>2025-07NGN</v>
      </c>
      <c r="P100" s="25">
        <f>_xlfn.XLOOKUP(tbl_Ledger[[#This Row],[Key]], tbl_FX[Key], tbl_FX[Rate_to_NGN])</f>
        <v>1</v>
      </c>
      <c r="Q100" s="37">
        <f>IF(tbl_Ledger[[#This Row],[Account_Type]]="Expense",-ABS(tbl_Ledger[[#This Row],[Amount]]*tbl_Ledger[[#This Row],[Rate_to_NGN]]),tbl_Ledger[[#This Row],[Amount]]*tbl_Ledger[[#This Row],[Rate_to_NGN]])</f>
        <v>47700</v>
      </c>
      <c r="R100" s="25" t="str">
        <f>_xlfn.XLOOKUP(tbl_Ledger[[#This Row],[Account_Code]], tbl_Accounts[Account_Code], tbl_Accounts[Type])</f>
        <v>Revenue</v>
      </c>
      <c r="S100" s="25" t="str">
        <f>_xlfn.XLOOKUP(tbl_Ledger[[#This Row],[Account_Code]], tbl_Accounts[Account_Code], tbl_Accounts[PL_Bucket])</f>
        <v>Revenue</v>
      </c>
      <c r="T100" s="25">
        <f t="shared" si="1"/>
        <v>47700</v>
      </c>
    </row>
    <row r="101" spans="1:20">
      <c r="A101" t="s">
        <v>381</v>
      </c>
      <c r="B101" s="7">
        <v>45845</v>
      </c>
      <c r="C101" t="s">
        <v>93</v>
      </c>
      <c r="D101" t="s">
        <v>111</v>
      </c>
      <c r="E101" t="s">
        <v>170</v>
      </c>
      <c r="F101" s="12" t="s">
        <v>24</v>
      </c>
      <c r="G101" t="s">
        <v>25</v>
      </c>
      <c r="H101" t="s">
        <v>382</v>
      </c>
      <c r="I101" t="s">
        <v>71</v>
      </c>
      <c r="J101" s="6">
        <v>49900</v>
      </c>
      <c r="K101" t="s">
        <v>3</v>
      </c>
      <c r="L101" t="s">
        <v>378</v>
      </c>
      <c r="M101" t="s">
        <v>3</v>
      </c>
      <c r="N101" s="25" t="str">
        <f>TEXT(tbl_Ledger[[#This Row],[Date]],"yyyy-mm")</f>
        <v>2025-07</v>
      </c>
      <c r="O101" s="25" t="str">
        <f>TEXT(tbl_Ledger[[#This Row],[Date]],"yyyy-mm") &amp; TRIM(tbl_Ledger[[#This Row],[Currency]])</f>
        <v>2025-07NGN</v>
      </c>
      <c r="P101" s="25">
        <f>_xlfn.XLOOKUP(tbl_Ledger[[#This Row],[Key]], tbl_FX[Key], tbl_FX[Rate_to_NGN])</f>
        <v>1</v>
      </c>
      <c r="Q101" s="37">
        <f>IF(tbl_Ledger[[#This Row],[Account_Type]]="Expense",-ABS(tbl_Ledger[[#This Row],[Amount]]*tbl_Ledger[[#This Row],[Rate_to_NGN]]),tbl_Ledger[[#This Row],[Amount]]*tbl_Ledger[[#This Row],[Rate_to_NGN]])</f>
        <v>49900</v>
      </c>
      <c r="R101" s="25" t="str">
        <f>_xlfn.XLOOKUP(tbl_Ledger[[#This Row],[Account_Code]], tbl_Accounts[Account_Code], tbl_Accounts[Type])</f>
        <v>Revenue</v>
      </c>
      <c r="S101" s="25" t="str">
        <f>_xlfn.XLOOKUP(tbl_Ledger[[#This Row],[Account_Code]], tbl_Accounts[Account_Code], tbl_Accounts[PL_Bucket])</f>
        <v>Revenue</v>
      </c>
      <c r="T101" s="25">
        <f t="shared" si="1"/>
        <v>49900</v>
      </c>
    </row>
    <row r="102" spans="1:20">
      <c r="A102" t="s">
        <v>383</v>
      </c>
      <c r="B102" s="7">
        <v>45845</v>
      </c>
      <c r="C102" t="s">
        <v>93</v>
      </c>
      <c r="D102" t="s">
        <v>111</v>
      </c>
      <c r="E102" t="s">
        <v>122</v>
      </c>
      <c r="F102" s="12" t="s">
        <v>24</v>
      </c>
      <c r="G102" t="s">
        <v>25</v>
      </c>
      <c r="H102" t="s">
        <v>384</v>
      </c>
      <c r="I102" t="s">
        <v>71</v>
      </c>
      <c r="J102" s="6">
        <v>47200</v>
      </c>
      <c r="K102" t="s">
        <v>3</v>
      </c>
      <c r="L102" t="s">
        <v>385</v>
      </c>
      <c r="M102" t="s">
        <v>3</v>
      </c>
      <c r="N102" s="25" t="str">
        <f>TEXT(tbl_Ledger[[#This Row],[Date]],"yyyy-mm")</f>
        <v>2025-07</v>
      </c>
      <c r="O102" s="25" t="str">
        <f>TEXT(tbl_Ledger[[#This Row],[Date]],"yyyy-mm") &amp; TRIM(tbl_Ledger[[#This Row],[Currency]])</f>
        <v>2025-07NGN</v>
      </c>
      <c r="P102" s="25">
        <f>_xlfn.XLOOKUP(tbl_Ledger[[#This Row],[Key]], tbl_FX[Key], tbl_FX[Rate_to_NGN])</f>
        <v>1</v>
      </c>
      <c r="Q102" s="37">
        <f>IF(tbl_Ledger[[#This Row],[Account_Type]]="Expense",-ABS(tbl_Ledger[[#This Row],[Amount]]*tbl_Ledger[[#This Row],[Rate_to_NGN]]),tbl_Ledger[[#This Row],[Amount]]*tbl_Ledger[[#This Row],[Rate_to_NGN]])</f>
        <v>47200</v>
      </c>
      <c r="R102" s="25" t="str">
        <f>_xlfn.XLOOKUP(tbl_Ledger[[#This Row],[Account_Code]], tbl_Accounts[Account_Code], tbl_Accounts[Type])</f>
        <v>Revenue</v>
      </c>
      <c r="S102" s="25" t="str">
        <f>_xlfn.XLOOKUP(tbl_Ledger[[#This Row],[Account_Code]], tbl_Accounts[Account_Code], tbl_Accounts[PL_Bucket])</f>
        <v>Revenue</v>
      </c>
      <c r="T102" s="25">
        <f t="shared" si="1"/>
        <v>47200</v>
      </c>
    </row>
    <row r="103" spans="1:20">
      <c r="A103" t="s">
        <v>386</v>
      </c>
      <c r="B103" s="7">
        <v>45845</v>
      </c>
      <c r="C103" t="s">
        <v>126</v>
      </c>
      <c r="D103" t="s">
        <v>88</v>
      </c>
      <c r="E103" t="s">
        <v>127</v>
      </c>
      <c r="F103" s="12" t="s">
        <v>29</v>
      </c>
      <c r="G103" t="s">
        <v>30</v>
      </c>
      <c r="H103" t="s">
        <v>387</v>
      </c>
      <c r="I103" t="s">
        <v>71</v>
      </c>
      <c r="J103" s="6">
        <v>41900</v>
      </c>
      <c r="K103" t="s">
        <v>129</v>
      </c>
      <c r="L103" t="s">
        <v>388</v>
      </c>
      <c r="M103" t="s">
        <v>3</v>
      </c>
      <c r="N103" s="25" t="str">
        <f>TEXT(tbl_Ledger[[#This Row],[Date]],"yyyy-mm")</f>
        <v>2025-07</v>
      </c>
      <c r="O103" s="25" t="str">
        <f>TEXT(tbl_Ledger[[#This Row],[Date]],"yyyy-mm") &amp; TRIM(tbl_Ledger[[#This Row],[Currency]])</f>
        <v>2025-07NGN</v>
      </c>
      <c r="P103" s="25">
        <f>_xlfn.XLOOKUP(tbl_Ledger[[#This Row],[Key]], tbl_FX[Key], tbl_FX[Rate_to_NGN])</f>
        <v>1</v>
      </c>
      <c r="Q103" s="37">
        <f>IF(tbl_Ledger[[#This Row],[Account_Type]]="Expense",-ABS(tbl_Ledger[[#This Row],[Amount]]*tbl_Ledger[[#This Row],[Rate_to_NGN]]),tbl_Ledger[[#This Row],[Amount]]*tbl_Ledger[[#This Row],[Rate_to_NGN]])</f>
        <v>41900</v>
      </c>
      <c r="R103" s="25" t="str">
        <f>_xlfn.XLOOKUP(tbl_Ledger[[#This Row],[Account_Code]], tbl_Accounts[Account_Code], tbl_Accounts[Type])</f>
        <v>Revenue</v>
      </c>
      <c r="S103" s="25" t="str">
        <f>_xlfn.XLOOKUP(tbl_Ledger[[#This Row],[Account_Code]], tbl_Accounts[Account_Code], tbl_Accounts[PL_Bucket])</f>
        <v>Revenue</v>
      </c>
      <c r="T103" s="25">
        <f t="shared" si="1"/>
        <v>41900</v>
      </c>
    </row>
    <row r="104" spans="1:20">
      <c r="A104" t="s">
        <v>389</v>
      </c>
      <c r="B104" s="7">
        <v>45845</v>
      </c>
      <c r="C104" t="s">
        <v>126</v>
      </c>
      <c r="D104" t="s">
        <v>88</v>
      </c>
      <c r="E104" t="s">
        <v>132</v>
      </c>
      <c r="F104" s="12" t="s">
        <v>29</v>
      </c>
      <c r="G104" t="s">
        <v>30</v>
      </c>
      <c r="H104" t="s">
        <v>390</v>
      </c>
      <c r="I104" t="s">
        <v>71</v>
      </c>
      <c r="J104" s="6">
        <v>46700</v>
      </c>
      <c r="K104" t="s">
        <v>134</v>
      </c>
      <c r="L104" t="s">
        <v>388</v>
      </c>
      <c r="M104" t="s">
        <v>3</v>
      </c>
      <c r="N104" s="25" t="str">
        <f>TEXT(tbl_Ledger[[#This Row],[Date]],"yyyy-mm")</f>
        <v>2025-07</v>
      </c>
      <c r="O104" s="25" t="str">
        <f>TEXT(tbl_Ledger[[#This Row],[Date]],"yyyy-mm") &amp; TRIM(tbl_Ledger[[#This Row],[Currency]])</f>
        <v>2025-07NGN</v>
      </c>
      <c r="P104" s="25">
        <f>_xlfn.XLOOKUP(tbl_Ledger[[#This Row],[Key]], tbl_FX[Key], tbl_FX[Rate_to_NGN])</f>
        <v>1</v>
      </c>
      <c r="Q104" s="37">
        <f>IF(tbl_Ledger[[#This Row],[Account_Type]]="Expense",-ABS(tbl_Ledger[[#This Row],[Amount]]*tbl_Ledger[[#This Row],[Rate_to_NGN]]),tbl_Ledger[[#This Row],[Amount]]*tbl_Ledger[[#This Row],[Rate_to_NGN]])</f>
        <v>46700</v>
      </c>
      <c r="R104" s="25" t="str">
        <f>_xlfn.XLOOKUP(tbl_Ledger[[#This Row],[Account_Code]], tbl_Accounts[Account_Code], tbl_Accounts[Type])</f>
        <v>Revenue</v>
      </c>
      <c r="S104" s="25" t="str">
        <f>_xlfn.XLOOKUP(tbl_Ledger[[#This Row],[Account_Code]], tbl_Accounts[Account_Code], tbl_Accounts[PL_Bucket])</f>
        <v>Revenue</v>
      </c>
      <c r="T104" s="25">
        <f t="shared" si="1"/>
        <v>46700</v>
      </c>
    </row>
    <row r="105" spans="1:20">
      <c r="A105" t="s">
        <v>391</v>
      </c>
      <c r="B105" s="7">
        <v>45845</v>
      </c>
      <c r="C105" t="s">
        <v>126</v>
      </c>
      <c r="D105" t="s">
        <v>88</v>
      </c>
      <c r="E105" t="s">
        <v>136</v>
      </c>
      <c r="F105" s="12" t="s">
        <v>29</v>
      </c>
      <c r="G105" t="s">
        <v>30</v>
      </c>
      <c r="H105" t="s">
        <v>392</v>
      </c>
      <c r="I105" t="s">
        <v>72</v>
      </c>
      <c r="J105" s="6">
        <v>26.54</v>
      </c>
      <c r="K105" t="s">
        <v>138</v>
      </c>
      <c r="L105" t="s">
        <v>388</v>
      </c>
      <c r="M105" t="s">
        <v>3</v>
      </c>
      <c r="N105" s="25" t="str">
        <f>TEXT(tbl_Ledger[[#This Row],[Date]],"yyyy-mm")</f>
        <v>2025-07</v>
      </c>
      <c r="O105" s="25" t="str">
        <f>TEXT(tbl_Ledger[[#This Row],[Date]],"yyyy-mm") &amp; TRIM(tbl_Ledger[[#This Row],[Currency]])</f>
        <v>2025-07USD</v>
      </c>
      <c r="P105" s="25">
        <f>_xlfn.XLOOKUP(tbl_Ledger[[#This Row],[Key]], tbl_FX[Key], tbl_FX[Rate_to_NGN])</f>
        <v>1530</v>
      </c>
      <c r="Q105" s="37">
        <f>IF(tbl_Ledger[[#This Row],[Account_Type]]="Expense",-ABS(tbl_Ledger[[#This Row],[Amount]]*tbl_Ledger[[#This Row],[Rate_to_NGN]]),tbl_Ledger[[#This Row],[Amount]]*tbl_Ledger[[#This Row],[Rate_to_NGN]])</f>
        <v>40606.199999999997</v>
      </c>
      <c r="R105" s="25" t="str">
        <f>_xlfn.XLOOKUP(tbl_Ledger[[#This Row],[Account_Code]], tbl_Accounts[Account_Code], tbl_Accounts[Type])</f>
        <v>Revenue</v>
      </c>
      <c r="S105" s="25" t="str">
        <f>_xlfn.XLOOKUP(tbl_Ledger[[#This Row],[Account_Code]], tbl_Accounts[Account_Code], tbl_Accounts[PL_Bucket])</f>
        <v>Revenue</v>
      </c>
      <c r="T105" s="25">
        <f t="shared" si="1"/>
        <v>40606.199999999997</v>
      </c>
    </row>
    <row r="106" spans="1:20">
      <c r="A106" t="s">
        <v>393</v>
      </c>
      <c r="B106" s="7">
        <v>45845</v>
      </c>
      <c r="C106" t="s">
        <v>126</v>
      </c>
      <c r="D106" t="s">
        <v>88</v>
      </c>
      <c r="E106" t="s">
        <v>140</v>
      </c>
      <c r="F106" s="12" t="s">
        <v>29</v>
      </c>
      <c r="G106" t="s">
        <v>30</v>
      </c>
      <c r="H106" t="s">
        <v>394</v>
      </c>
      <c r="I106" t="s">
        <v>71</v>
      </c>
      <c r="J106" s="6">
        <v>48600</v>
      </c>
      <c r="K106" t="s">
        <v>3</v>
      </c>
      <c r="L106" t="s">
        <v>395</v>
      </c>
      <c r="M106" t="s">
        <v>3</v>
      </c>
      <c r="N106" s="25" t="str">
        <f>TEXT(tbl_Ledger[[#This Row],[Date]],"yyyy-mm")</f>
        <v>2025-07</v>
      </c>
      <c r="O106" s="25" t="str">
        <f>TEXT(tbl_Ledger[[#This Row],[Date]],"yyyy-mm") &amp; TRIM(tbl_Ledger[[#This Row],[Currency]])</f>
        <v>2025-07NGN</v>
      </c>
      <c r="P106" s="25">
        <f>_xlfn.XLOOKUP(tbl_Ledger[[#This Row],[Key]], tbl_FX[Key], tbl_FX[Rate_to_NGN])</f>
        <v>1</v>
      </c>
      <c r="Q106" s="37">
        <f>IF(tbl_Ledger[[#This Row],[Account_Type]]="Expense",-ABS(tbl_Ledger[[#This Row],[Amount]]*tbl_Ledger[[#This Row],[Rate_to_NGN]]),tbl_Ledger[[#This Row],[Amount]]*tbl_Ledger[[#This Row],[Rate_to_NGN]])</f>
        <v>48600</v>
      </c>
      <c r="R106" s="25" t="str">
        <f>_xlfn.XLOOKUP(tbl_Ledger[[#This Row],[Account_Code]], tbl_Accounts[Account_Code], tbl_Accounts[Type])</f>
        <v>Revenue</v>
      </c>
      <c r="S106" s="25" t="str">
        <f>_xlfn.XLOOKUP(tbl_Ledger[[#This Row],[Account_Code]], tbl_Accounts[Account_Code], tbl_Accounts[PL_Bucket])</f>
        <v>Revenue</v>
      </c>
      <c r="T106" s="25">
        <f t="shared" si="1"/>
        <v>48600</v>
      </c>
    </row>
    <row r="107" spans="1:20">
      <c r="A107" t="s">
        <v>396</v>
      </c>
      <c r="B107" s="7">
        <v>45845</v>
      </c>
      <c r="C107" t="s">
        <v>87</v>
      </c>
      <c r="D107" t="s">
        <v>88</v>
      </c>
      <c r="E107" t="s">
        <v>3</v>
      </c>
      <c r="F107" s="12" t="s">
        <v>42</v>
      </c>
      <c r="G107" t="s">
        <v>43</v>
      </c>
      <c r="H107" t="s">
        <v>397</v>
      </c>
      <c r="I107" t="s">
        <v>71</v>
      </c>
      <c r="J107" s="6">
        <v>-630000</v>
      </c>
      <c r="K107" t="s">
        <v>398</v>
      </c>
      <c r="L107" t="s">
        <v>399</v>
      </c>
      <c r="M107" t="s">
        <v>3</v>
      </c>
      <c r="N107" s="25" t="str">
        <f>TEXT(tbl_Ledger[[#This Row],[Date]],"yyyy-mm")</f>
        <v>2025-07</v>
      </c>
      <c r="O107" s="25" t="str">
        <f>TEXT(tbl_Ledger[[#This Row],[Date]],"yyyy-mm") &amp; TRIM(tbl_Ledger[[#This Row],[Currency]])</f>
        <v>2025-07NGN</v>
      </c>
      <c r="P107" s="25">
        <f>_xlfn.XLOOKUP(tbl_Ledger[[#This Row],[Key]], tbl_FX[Key], tbl_FX[Rate_to_NGN])</f>
        <v>1</v>
      </c>
      <c r="Q107" s="37">
        <f>IF(tbl_Ledger[[#This Row],[Account_Type]]="Expense",-ABS(tbl_Ledger[[#This Row],[Amount]]*tbl_Ledger[[#This Row],[Rate_to_NGN]]),tbl_Ledger[[#This Row],[Amount]]*tbl_Ledger[[#This Row],[Rate_to_NGN]])</f>
        <v>-630000</v>
      </c>
      <c r="R107" s="25" t="str">
        <f>_xlfn.XLOOKUP(tbl_Ledger[[#This Row],[Account_Code]], tbl_Accounts[Account_Code], tbl_Accounts[Type])</f>
        <v>COGS</v>
      </c>
      <c r="S107" s="25" t="str">
        <f>_xlfn.XLOOKUP(tbl_Ledger[[#This Row],[Account_Code]], tbl_Accounts[Account_Code], tbl_Accounts[PL_Bucket])</f>
        <v>COGS</v>
      </c>
      <c r="T107" s="25">
        <f t="shared" si="1"/>
        <v>-630000</v>
      </c>
    </row>
    <row r="108" spans="1:20">
      <c r="A108" t="s">
        <v>400</v>
      </c>
      <c r="B108" s="7">
        <v>45846</v>
      </c>
      <c r="C108" t="s">
        <v>93</v>
      </c>
      <c r="D108" t="s">
        <v>94</v>
      </c>
      <c r="E108" t="s">
        <v>95</v>
      </c>
      <c r="F108" s="12" t="s">
        <v>24</v>
      </c>
      <c r="G108" t="s">
        <v>25</v>
      </c>
      <c r="H108" t="s">
        <v>401</v>
      </c>
      <c r="I108" t="s">
        <v>71</v>
      </c>
      <c r="J108" s="6">
        <v>29600</v>
      </c>
      <c r="K108" t="s">
        <v>3</v>
      </c>
      <c r="L108" t="s">
        <v>402</v>
      </c>
      <c r="M108" t="s">
        <v>3</v>
      </c>
      <c r="N108" s="25" t="str">
        <f>TEXT(tbl_Ledger[[#This Row],[Date]],"yyyy-mm")</f>
        <v>2025-07</v>
      </c>
      <c r="O108" s="25" t="str">
        <f>TEXT(tbl_Ledger[[#This Row],[Date]],"yyyy-mm") &amp; TRIM(tbl_Ledger[[#This Row],[Currency]])</f>
        <v>2025-07NGN</v>
      </c>
      <c r="P108" s="25">
        <f>_xlfn.XLOOKUP(tbl_Ledger[[#This Row],[Key]], tbl_FX[Key], tbl_FX[Rate_to_NGN])</f>
        <v>1</v>
      </c>
      <c r="Q108" s="37">
        <f>IF(tbl_Ledger[[#This Row],[Account_Type]]="Expense",-ABS(tbl_Ledger[[#This Row],[Amount]]*tbl_Ledger[[#This Row],[Rate_to_NGN]]),tbl_Ledger[[#This Row],[Amount]]*tbl_Ledger[[#This Row],[Rate_to_NGN]])</f>
        <v>29600</v>
      </c>
      <c r="R108" s="25" t="str">
        <f>_xlfn.XLOOKUP(tbl_Ledger[[#This Row],[Account_Code]], tbl_Accounts[Account_Code], tbl_Accounts[Type])</f>
        <v>Revenue</v>
      </c>
      <c r="S108" s="25" t="str">
        <f>_xlfn.XLOOKUP(tbl_Ledger[[#This Row],[Account_Code]], tbl_Accounts[Account_Code], tbl_Accounts[PL_Bucket])</f>
        <v>Revenue</v>
      </c>
      <c r="T108" s="25">
        <f t="shared" si="1"/>
        <v>29600</v>
      </c>
    </row>
    <row r="109" spans="1:20">
      <c r="A109" t="s">
        <v>403</v>
      </c>
      <c r="B109" s="7">
        <v>45846</v>
      </c>
      <c r="C109" t="s">
        <v>93</v>
      </c>
      <c r="D109" t="s">
        <v>94</v>
      </c>
      <c r="E109" t="s">
        <v>99</v>
      </c>
      <c r="F109" s="12" t="s">
        <v>24</v>
      </c>
      <c r="G109" t="s">
        <v>25</v>
      </c>
      <c r="H109" t="s">
        <v>404</v>
      </c>
      <c r="I109" t="s">
        <v>71</v>
      </c>
      <c r="J109" s="6">
        <v>26800</v>
      </c>
      <c r="K109" t="s">
        <v>3</v>
      </c>
      <c r="L109" t="s">
        <v>405</v>
      </c>
      <c r="M109" t="s">
        <v>3</v>
      </c>
      <c r="N109" s="25" t="str">
        <f>TEXT(tbl_Ledger[[#This Row],[Date]],"yyyy-mm")</f>
        <v>2025-07</v>
      </c>
      <c r="O109" s="25" t="str">
        <f>TEXT(tbl_Ledger[[#This Row],[Date]],"yyyy-mm") &amp; TRIM(tbl_Ledger[[#This Row],[Currency]])</f>
        <v>2025-07NGN</v>
      </c>
      <c r="P109" s="25">
        <f>_xlfn.XLOOKUP(tbl_Ledger[[#This Row],[Key]], tbl_FX[Key], tbl_FX[Rate_to_NGN])</f>
        <v>1</v>
      </c>
      <c r="Q109" s="37">
        <f>IF(tbl_Ledger[[#This Row],[Account_Type]]="Expense",-ABS(tbl_Ledger[[#This Row],[Amount]]*tbl_Ledger[[#This Row],[Rate_to_NGN]]),tbl_Ledger[[#This Row],[Amount]]*tbl_Ledger[[#This Row],[Rate_to_NGN]])</f>
        <v>26800</v>
      </c>
      <c r="R109" s="25" t="str">
        <f>_xlfn.XLOOKUP(tbl_Ledger[[#This Row],[Account_Code]], tbl_Accounts[Account_Code], tbl_Accounts[Type])</f>
        <v>Revenue</v>
      </c>
      <c r="S109" s="25" t="str">
        <f>_xlfn.XLOOKUP(tbl_Ledger[[#This Row],[Account_Code]], tbl_Accounts[Account_Code], tbl_Accounts[PL_Bucket])</f>
        <v>Revenue</v>
      </c>
      <c r="T109" s="25">
        <f t="shared" si="1"/>
        <v>26800</v>
      </c>
    </row>
    <row r="110" spans="1:20">
      <c r="A110" t="s">
        <v>406</v>
      </c>
      <c r="B110" s="7">
        <v>45846</v>
      </c>
      <c r="C110" t="s">
        <v>93</v>
      </c>
      <c r="D110" t="s">
        <v>94</v>
      </c>
      <c r="E110" t="s">
        <v>103</v>
      </c>
      <c r="F110" s="12" t="s">
        <v>24</v>
      </c>
      <c r="G110" t="s">
        <v>25</v>
      </c>
      <c r="H110" t="s">
        <v>407</v>
      </c>
      <c r="I110" t="s">
        <v>71</v>
      </c>
      <c r="J110" s="6">
        <v>26700</v>
      </c>
      <c r="K110" t="s">
        <v>3</v>
      </c>
      <c r="L110" t="s">
        <v>408</v>
      </c>
      <c r="M110" t="s">
        <v>3</v>
      </c>
      <c r="N110" s="25" t="str">
        <f>TEXT(tbl_Ledger[[#This Row],[Date]],"yyyy-mm")</f>
        <v>2025-07</v>
      </c>
      <c r="O110" s="25" t="str">
        <f>TEXT(tbl_Ledger[[#This Row],[Date]],"yyyy-mm") &amp; TRIM(tbl_Ledger[[#This Row],[Currency]])</f>
        <v>2025-07NGN</v>
      </c>
      <c r="P110" s="25">
        <f>_xlfn.XLOOKUP(tbl_Ledger[[#This Row],[Key]], tbl_FX[Key], tbl_FX[Rate_to_NGN])</f>
        <v>1</v>
      </c>
      <c r="Q110" s="37">
        <f>IF(tbl_Ledger[[#This Row],[Account_Type]]="Expense",-ABS(tbl_Ledger[[#This Row],[Amount]]*tbl_Ledger[[#This Row],[Rate_to_NGN]]),tbl_Ledger[[#This Row],[Amount]]*tbl_Ledger[[#This Row],[Rate_to_NGN]])</f>
        <v>26700</v>
      </c>
      <c r="R110" s="25" t="str">
        <f>_xlfn.XLOOKUP(tbl_Ledger[[#This Row],[Account_Code]], tbl_Accounts[Account_Code], tbl_Accounts[Type])</f>
        <v>Revenue</v>
      </c>
      <c r="S110" s="25" t="str">
        <f>_xlfn.XLOOKUP(tbl_Ledger[[#This Row],[Account_Code]], tbl_Accounts[Account_Code], tbl_Accounts[PL_Bucket])</f>
        <v>Revenue</v>
      </c>
      <c r="T110" s="25">
        <f t="shared" si="1"/>
        <v>26700</v>
      </c>
    </row>
    <row r="111" spans="1:20">
      <c r="A111" t="s">
        <v>409</v>
      </c>
      <c r="B111" s="7">
        <v>45846</v>
      </c>
      <c r="C111" t="s">
        <v>93</v>
      </c>
      <c r="D111" t="s">
        <v>94</v>
      </c>
      <c r="E111" t="s">
        <v>160</v>
      </c>
      <c r="F111" s="12" t="s">
        <v>24</v>
      </c>
      <c r="G111" t="s">
        <v>25</v>
      </c>
      <c r="H111" t="s">
        <v>410</v>
      </c>
      <c r="I111" t="s">
        <v>71</v>
      </c>
      <c r="J111" s="6">
        <v>26700</v>
      </c>
      <c r="K111" t="s">
        <v>3</v>
      </c>
      <c r="L111" t="s">
        <v>408</v>
      </c>
      <c r="M111" t="s">
        <v>3</v>
      </c>
      <c r="N111" s="25" t="str">
        <f>TEXT(tbl_Ledger[[#This Row],[Date]],"yyyy-mm")</f>
        <v>2025-07</v>
      </c>
      <c r="O111" s="25" t="str">
        <f>TEXT(tbl_Ledger[[#This Row],[Date]],"yyyy-mm") &amp; TRIM(tbl_Ledger[[#This Row],[Currency]])</f>
        <v>2025-07NGN</v>
      </c>
      <c r="P111" s="25">
        <f>_xlfn.XLOOKUP(tbl_Ledger[[#This Row],[Key]], tbl_FX[Key], tbl_FX[Rate_to_NGN])</f>
        <v>1</v>
      </c>
      <c r="Q111" s="37">
        <f>IF(tbl_Ledger[[#This Row],[Account_Type]]="Expense",-ABS(tbl_Ledger[[#This Row],[Amount]]*tbl_Ledger[[#This Row],[Rate_to_NGN]]),tbl_Ledger[[#This Row],[Amount]]*tbl_Ledger[[#This Row],[Rate_to_NGN]])</f>
        <v>26700</v>
      </c>
      <c r="R111" s="25" t="str">
        <f>_xlfn.XLOOKUP(tbl_Ledger[[#This Row],[Account_Code]], tbl_Accounts[Account_Code], tbl_Accounts[Type])</f>
        <v>Revenue</v>
      </c>
      <c r="S111" s="25" t="str">
        <f>_xlfn.XLOOKUP(tbl_Ledger[[#This Row],[Account_Code]], tbl_Accounts[Account_Code], tbl_Accounts[PL_Bucket])</f>
        <v>Revenue</v>
      </c>
      <c r="T111" s="25">
        <f t="shared" si="1"/>
        <v>26700</v>
      </c>
    </row>
    <row r="112" spans="1:20">
      <c r="A112" t="s">
        <v>411</v>
      </c>
      <c r="B112" s="7">
        <v>45846</v>
      </c>
      <c r="C112" t="s">
        <v>93</v>
      </c>
      <c r="D112" t="s">
        <v>94</v>
      </c>
      <c r="E112" t="s">
        <v>107</v>
      </c>
      <c r="F112" s="12" t="s">
        <v>24</v>
      </c>
      <c r="G112" t="s">
        <v>25</v>
      </c>
      <c r="H112" t="s">
        <v>412</v>
      </c>
      <c r="I112" t="s">
        <v>71</v>
      </c>
      <c r="J112" s="6">
        <v>29000</v>
      </c>
      <c r="K112" t="s">
        <v>3</v>
      </c>
      <c r="L112" t="s">
        <v>413</v>
      </c>
      <c r="M112" t="s">
        <v>3</v>
      </c>
      <c r="N112" s="25" t="str">
        <f>TEXT(tbl_Ledger[[#This Row],[Date]],"yyyy-mm")</f>
        <v>2025-07</v>
      </c>
      <c r="O112" s="25" t="str">
        <f>TEXT(tbl_Ledger[[#This Row],[Date]],"yyyy-mm") &amp; TRIM(tbl_Ledger[[#This Row],[Currency]])</f>
        <v>2025-07NGN</v>
      </c>
      <c r="P112" s="25">
        <f>_xlfn.XLOOKUP(tbl_Ledger[[#This Row],[Key]], tbl_FX[Key], tbl_FX[Rate_to_NGN])</f>
        <v>1</v>
      </c>
      <c r="Q112" s="37">
        <f>IF(tbl_Ledger[[#This Row],[Account_Type]]="Expense",-ABS(tbl_Ledger[[#This Row],[Amount]]*tbl_Ledger[[#This Row],[Rate_to_NGN]]),tbl_Ledger[[#This Row],[Amount]]*tbl_Ledger[[#This Row],[Rate_to_NGN]])</f>
        <v>29000</v>
      </c>
      <c r="R112" s="25" t="str">
        <f>_xlfn.XLOOKUP(tbl_Ledger[[#This Row],[Account_Code]], tbl_Accounts[Account_Code], tbl_Accounts[Type])</f>
        <v>Revenue</v>
      </c>
      <c r="S112" s="25" t="str">
        <f>_xlfn.XLOOKUP(tbl_Ledger[[#This Row],[Account_Code]], tbl_Accounts[Account_Code], tbl_Accounts[PL_Bucket])</f>
        <v>Revenue</v>
      </c>
      <c r="T112" s="25">
        <f t="shared" si="1"/>
        <v>29000</v>
      </c>
    </row>
    <row r="113" spans="1:20">
      <c r="A113" t="s">
        <v>414</v>
      </c>
      <c r="B113" s="7">
        <v>45846</v>
      </c>
      <c r="C113" t="s">
        <v>93</v>
      </c>
      <c r="D113" t="s">
        <v>111</v>
      </c>
      <c r="E113" t="s">
        <v>112</v>
      </c>
      <c r="F113" s="12" t="s">
        <v>24</v>
      </c>
      <c r="G113" t="s">
        <v>25</v>
      </c>
      <c r="H113" t="s">
        <v>415</v>
      </c>
      <c r="I113" t="s">
        <v>71</v>
      </c>
      <c r="J113" s="6">
        <v>50600</v>
      </c>
      <c r="K113" t="s">
        <v>3</v>
      </c>
      <c r="L113" t="s">
        <v>416</v>
      </c>
      <c r="M113" t="s">
        <v>3</v>
      </c>
      <c r="N113" s="25" t="str">
        <f>TEXT(tbl_Ledger[[#This Row],[Date]],"yyyy-mm")</f>
        <v>2025-07</v>
      </c>
      <c r="O113" s="25" t="str">
        <f>TEXT(tbl_Ledger[[#This Row],[Date]],"yyyy-mm") &amp; TRIM(tbl_Ledger[[#This Row],[Currency]])</f>
        <v>2025-07NGN</v>
      </c>
      <c r="P113" s="25">
        <f>_xlfn.XLOOKUP(tbl_Ledger[[#This Row],[Key]], tbl_FX[Key], tbl_FX[Rate_to_NGN])</f>
        <v>1</v>
      </c>
      <c r="Q113" s="37">
        <f>IF(tbl_Ledger[[#This Row],[Account_Type]]="Expense",-ABS(tbl_Ledger[[#This Row],[Amount]]*tbl_Ledger[[#This Row],[Rate_to_NGN]]),tbl_Ledger[[#This Row],[Amount]]*tbl_Ledger[[#This Row],[Rate_to_NGN]])</f>
        <v>50600</v>
      </c>
      <c r="R113" s="25" t="str">
        <f>_xlfn.XLOOKUP(tbl_Ledger[[#This Row],[Account_Code]], tbl_Accounts[Account_Code], tbl_Accounts[Type])</f>
        <v>Revenue</v>
      </c>
      <c r="S113" s="25" t="str">
        <f>_xlfn.XLOOKUP(tbl_Ledger[[#This Row],[Account_Code]], tbl_Accounts[Account_Code], tbl_Accounts[PL_Bucket])</f>
        <v>Revenue</v>
      </c>
      <c r="T113" s="25">
        <f t="shared" si="1"/>
        <v>50600</v>
      </c>
    </row>
    <row r="114" spans="1:20">
      <c r="A114" t="s">
        <v>417</v>
      </c>
      <c r="B114" s="7">
        <v>45846</v>
      </c>
      <c r="C114" t="s">
        <v>93</v>
      </c>
      <c r="D114" t="s">
        <v>111</v>
      </c>
      <c r="E114" t="s">
        <v>116</v>
      </c>
      <c r="F114" s="12" t="s">
        <v>24</v>
      </c>
      <c r="G114" t="s">
        <v>25</v>
      </c>
      <c r="H114" t="s">
        <v>418</v>
      </c>
      <c r="I114" t="s">
        <v>71</v>
      </c>
      <c r="J114" s="6">
        <v>47000</v>
      </c>
      <c r="K114" t="s">
        <v>3</v>
      </c>
      <c r="L114" t="s">
        <v>416</v>
      </c>
      <c r="M114" t="s">
        <v>3</v>
      </c>
      <c r="N114" s="25" t="str">
        <f>TEXT(tbl_Ledger[[#This Row],[Date]],"yyyy-mm")</f>
        <v>2025-07</v>
      </c>
      <c r="O114" s="25" t="str">
        <f>TEXT(tbl_Ledger[[#This Row],[Date]],"yyyy-mm") &amp; TRIM(tbl_Ledger[[#This Row],[Currency]])</f>
        <v>2025-07NGN</v>
      </c>
      <c r="P114" s="25">
        <f>_xlfn.XLOOKUP(tbl_Ledger[[#This Row],[Key]], tbl_FX[Key], tbl_FX[Rate_to_NGN])</f>
        <v>1</v>
      </c>
      <c r="Q114" s="37">
        <f>IF(tbl_Ledger[[#This Row],[Account_Type]]="Expense",-ABS(tbl_Ledger[[#This Row],[Amount]]*tbl_Ledger[[#This Row],[Rate_to_NGN]]),tbl_Ledger[[#This Row],[Amount]]*tbl_Ledger[[#This Row],[Rate_to_NGN]])</f>
        <v>47000</v>
      </c>
      <c r="R114" s="25" t="str">
        <f>_xlfn.XLOOKUP(tbl_Ledger[[#This Row],[Account_Code]], tbl_Accounts[Account_Code], tbl_Accounts[Type])</f>
        <v>Revenue</v>
      </c>
      <c r="S114" s="25" t="str">
        <f>_xlfn.XLOOKUP(tbl_Ledger[[#This Row],[Account_Code]], tbl_Accounts[Account_Code], tbl_Accounts[PL_Bucket])</f>
        <v>Revenue</v>
      </c>
      <c r="T114" s="25">
        <f t="shared" si="1"/>
        <v>47000</v>
      </c>
    </row>
    <row r="115" spans="1:20">
      <c r="A115" t="s">
        <v>419</v>
      </c>
      <c r="B115" s="7">
        <v>45846</v>
      </c>
      <c r="C115" t="s">
        <v>93</v>
      </c>
      <c r="D115" t="s">
        <v>111</v>
      </c>
      <c r="E115" t="s">
        <v>119</v>
      </c>
      <c r="F115" s="12" t="s">
        <v>24</v>
      </c>
      <c r="G115" t="s">
        <v>25</v>
      </c>
      <c r="H115" t="s">
        <v>420</v>
      </c>
      <c r="I115" t="s">
        <v>71</v>
      </c>
      <c r="J115" s="6">
        <v>45500</v>
      </c>
      <c r="K115" t="s">
        <v>3</v>
      </c>
      <c r="L115" t="s">
        <v>416</v>
      </c>
      <c r="M115" t="s">
        <v>3</v>
      </c>
      <c r="N115" s="25" t="str">
        <f>TEXT(tbl_Ledger[[#This Row],[Date]],"yyyy-mm")</f>
        <v>2025-07</v>
      </c>
      <c r="O115" s="25" t="str">
        <f>TEXT(tbl_Ledger[[#This Row],[Date]],"yyyy-mm") &amp; TRIM(tbl_Ledger[[#This Row],[Currency]])</f>
        <v>2025-07NGN</v>
      </c>
      <c r="P115" s="25">
        <f>_xlfn.XLOOKUP(tbl_Ledger[[#This Row],[Key]], tbl_FX[Key], tbl_FX[Rate_to_NGN])</f>
        <v>1</v>
      </c>
      <c r="Q115" s="37">
        <f>IF(tbl_Ledger[[#This Row],[Account_Type]]="Expense",-ABS(tbl_Ledger[[#This Row],[Amount]]*tbl_Ledger[[#This Row],[Rate_to_NGN]]),tbl_Ledger[[#This Row],[Amount]]*tbl_Ledger[[#This Row],[Rate_to_NGN]])</f>
        <v>45500</v>
      </c>
      <c r="R115" s="25" t="str">
        <f>_xlfn.XLOOKUP(tbl_Ledger[[#This Row],[Account_Code]], tbl_Accounts[Account_Code], tbl_Accounts[Type])</f>
        <v>Revenue</v>
      </c>
      <c r="S115" s="25" t="str">
        <f>_xlfn.XLOOKUP(tbl_Ledger[[#This Row],[Account_Code]], tbl_Accounts[Account_Code], tbl_Accounts[PL_Bucket])</f>
        <v>Revenue</v>
      </c>
      <c r="T115" s="25">
        <f t="shared" si="1"/>
        <v>45500</v>
      </c>
    </row>
    <row r="116" spans="1:20">
      <c r="A116" t="s">
        <v>421</v>
      </c>
      <c r="B116" s="7">
        <v>45846</v>
      </c>
      <c r="C116" t="s">
        <v>93</v>
      </c>
      <c r="D116" t="s">
        <v>111</v>
      </c>
      <c r="E116" t="s">
        <v>170</v>
      </c>
      <c r="F116" s="12" t="s">
        <v>24</v>
      </c>
      <c r="G116" t="s">
        <v>25</v>
      </c>
      <c r="H116" t="s">
        <v>422</v>
      </c>
      <c r="I116" t="s">
        <v>71</v>
      </c>
      <c r="J116" s="6">
        <v>49800</v>
      </c>
      <c r="K116" t="s">
        <v>3</v>
      </c>
      <c r="L116" t="s">
        <v>416</v>
      </c>
      <c r="M116" t="s">
        <v>3</v>
      </c>
      <c r="N116" s="25" t="str">
        <f>TEXT(tbl_Ledger[[#This Row],[Date]],"yyyy-mm")</f>
        <v>2025-07</v>
      </c>
      <c r="O116" s="25" t="str">
        <f>TEXT(tbl_Ledger[[#This Row],[Date]],"yyyy-mm") &amp; TRIM(tbl_Ledger[[#This Row],[Currency]])</f>
        <v>2025-07NGN</v>
      </c>
      <c r="P116" s="25">
        <f>_xlfn.XLOOKUP(tbl_Ledger[[#This Row],[Key]], tbl_FX[Key], tbl_FX[Rate_to_NGN])</f>
        <v>1</v>
      </c>
      <c r="Q116" s="37">
        <f>IF(tbl_Ledger[[#This Row],[Account_Type]]="Expense",-ABS(tbl_Ledger[[#This Row],[Amount]]*tbl_Ledger[[#This Row],[Rate_to_NGN]]),tbl_Ledger[[#This Row],[Amount]]*tbl_Ledger[[#This Row],[Rate_to_NGN]])</f>
        <v>49800</v>
      </c>
      <c r="R116" s="25" t="str">
        <f>_xlfn.XLOOKUP(tbl_Ledger[[#This Row],[Account_Code]], tbl_Accounts[Account_Code], tbl_Accounts[Type])</f>
        <v>Revenue</v>
      </c>
      <c r="S116" s="25" t="str">
        <f>_xlfn.XLOOKUP(tbl_Ledger[[#This Row],[Account_Code]], tbl_Accounts[Account_Code], tbl_Accounts[PL_Bucket])</f>
        <v>Revenue</v>
      </c>
      <c r="T116" s="25">
        <f t="shared" si="1"/>
        <v>49800</v>
      </c>
    </row>
    <row r="117" spans="1:20">
      <c r="A117" t="s">
        <v>423</v>
      </c>
      <c r="B117" s="7">
        <v>45846</v>
      </c>
      <c r="C117" t="s">
        <v>93</v>
      </c>
      <c r="D117" t="s">
        <v>111</v>
      </c>
      <c r="E117" t="s">
        <v>122</v>
      </c>
      <c r="F117" s="12" t="s">
        <v>24</v>
      </c>
      <c r="G117" t="s">
        <v>25</v>
      </c>
      <c r="H117" t="s">
        <v>424</v>
      </c>
      <c r="I117" t="s">
        <v>71</v>
      </c>
      <c r="J117" s="6">
        <v>48000</v>
      </c>
      <c r="K117" t="s">
        <v>3</v>
      </c>
      <c r="L117" t="s">
        <v>425</v>
      </c>
      <c r="M117" t="s">
        <v>3</v>
      </c>
      <c r="N117" s="25" t="str">
        <f>TEXT(tbl_Ledger[[#This Row],[Date]],"yyyy-mm")</f>
        <v>2025-07</v>
      </c>
      <c r="O117" s="25" t="str">
        <f>TEXT(tbl_Ledger[[#This Row],[Date]],"yyyy-mm") &amp; TRIM(tbl_Ledger[[#This Row],[Currency]])</f>
        <v>2025-07NGN</v>
      </c>
      <c r="P117" s="25">
        <f>_xlfn.XLOOKUP(tbl_Ledger[[#This Row],[Key]], tbl_FX[Key], tbl_FX[Rate_to_NGN])</f>
        <v>1</v>
      </c>
      <c r="Q117" s="37">
        <f>IF(tbl_Ledger[[#This Row],[Account_Type]]="Expense",-ABS(tbl_Ledger[[#This Row],[Amount]]*tbl_Ledger[[#This Row],[Rate_to_NGN]]),tbl_Ledger[[#This Row],[Amount]]*tbl_Ledger[[#This Row],[Rate_to_NGN]])</f>
        <v>48000</v>
      </c>
      <c r="R117" s="25" t="str">
        <f>_xlfn.XLOOKUP(tbl_Ledger[[#This Row],[Account_Code]], tbl_Accounts[Account_Code], tbl_Accounts[Type])</f>
        <v>Revenue</v>
      </c>
      <c r="S117" s="25" t="str">
        <f>_xlfn.XLOOKUP(tbl_Ledger[[#This Row],[Account_Code]], tbl_Accounts[Account_Code], tbl_Accounts[PL_Bucket])</f>
        <v>Revenue</v>
      </c>
      <c r="T117" s="25">
        <f t="shared" si="1"/>
        <v>48000</v>
      </c>
    </row>
    <row r="118" spans="1:20">
      <c r="A118" t="s">
        <v>426</v>
      </c>
      <c r="B118" s="7">
        <v>45846</v>
      </c>
      <c r="C118" t="s">
        <v>126</v>
      </c>
      <c r="D118" t="s">
        <v>88</v>
      </c>
      <c r="E118" t="s">
        <v>127</v>
      </c>
      <c r="F118" s="12" t="s">
        <v>29</v>
      </c>
      <c r="G118" t="s">
        <v>30</v>
      </c>
      <c r="H118" t="s">
        <v>427</v>
      </c>
      <c r="I118" t="s">
        <v>72</v>
      </c>
      <c r="J118" s="6">
        <v>26.34</v>
      </c>
      <c r="K118" t="s">
        <v>129</v>
      </c>
      <c r="L118" t="s">
        <v>428</v>
      </c>
      <c r="M118" t="s">
        <v>3</v>
      </c>
      <c r="N118" s="25" t="str">
        <f>TEXT(tbl_Ledger[[#This Row],[Date]],"yyyy-mm")</f>
        <v>2025-07</v>
      </c>
      <c r="O118" s="25" t="str">
        <f>TEXT(tbl_Ledger[[#This Row],[Date]],"yyyy-mm") &amp; TRIM(tbl_Ledger[[#This Row],[Currency]])</f>
        <v>2025-07USD</v>
      </c>
      <c r="P118" s="25">
        <f>_xlfn.XLOOKUP(tbl_Ledger[[#This Row],[Key]], tbl_FX[Key], tbl_FX[Rate_to_NGN])</f>
        <v>1530</v>
      </c>
      <c r="Q118" s="37">
        <f>IF(tbl_Ledger[[#This Row],[Account_Type]]="Expense",-ABS(tbl_Ledger[[#This Row],[Amount]]*tbl_Ledger[[#This Row],[Rate_to_NGN]]),tbl_Ledger[[#This Row],[Amount]]*tbl_Ledger[[#This Row],[Rate_to_NGN]])</f>
        <v>40300.199999999997</v>
      </c>
      <c r="R118" s="25" t="str">
        <f>_xlfn.XLOOKUP(tbl_Ledger[[#This Row],[Account_Code]], tbl_Accounts[Account_Code], tbl_Accounts[Type])</f>
        <v>Revenue</v>
      </c>
      <c r="S118" s="25" t="str">
        <f>_xlfn.XLOOKUP(tbl_Ledger[[#This Row],[Account_Code]], tbl_Accounts[Account_Code], tbl_Accounts[PL_Bucket])</f>
        <v>Revenue</v>
      </c>
      <c r="T118" s="25">
        <f t="shared" si="1"/>
        <v>40300.199999999997</v>
      </c>
    </row>
    <row r="119" spans="1:20">
      <c r="A119" t="s">
        <v>429</v>
      </c>
      <c r="B119" s="7">
        <v>45846</v>
      </c>
      <c r="C119" t="s">
        <v>126</v>
      </c>
      <c r="D119" t="s">
        <v>88</v>
      </c>
      <c r="E119" t="s">
        <v>132</v>
      </c>
      <c r="F119" s="12" t="s">
        <v>29</v>
      </c>
      <c r="G119" t="s">
        <v>30</v>
      </c>
      <c r="H119" t="s">
        <v>430</v>
      </c>
      <c r="I119" t="s">
        <v>71</v>
      </c>
      <c r="J119" s="6">
        <v>47000</v>
      </c>
      <c r="K119" t="s">
        <v>134</v>
      </c>
      <c r="L119" t="s">
        <v>428</v>
      </c>
      <c r="M119" t="s">
        <v>3</v>
      </c>
      <c r="N119" s="25" t="str">
        <f>TEXT(tbl_Ledger[[#This Row],[Date]],"yyyy-mm")</f>
        <v>2025-07</v>
      </c>
      <c r="O119" s="25" t="str">
        <f>TEXT(tbl_Ledger[[#This Row],[Date]],"yyyy-mm") &amp; TRIM(tbl_Ledger[[#This Row],[Currency]])</f>
        <v>2025-07NGN</v>
      </c>
      <c r="P119" s="25">
        <f>_xlfn.XLOOKUP(tbl_Ledger[[#This Row],[Key]], tbl_FX[Key], tbl_FX[Rate_to_NGN])</f>
        <v>1</v>
      </c>
      <c r="Q119" s="37">
        <f>IF(tbl_Ledger[[#This Row],[Account_Type]]="Expense",-ABS(tbl_Ledger[[#This Row],[Amount]]*tbl_Ledger[[#This Row],[Rate_to_NGN]]),tbl_Ledger[[#This Row],[Amount]]*tbl_Ledger[[#This Row],[Rate_to_NGN]])</f>
        <v>47000</v>
      </c>
      <c r="R119" s="25" t="str">
        <f>_xlfn.XLOOKUP(tbl_Ledger[[#This Row],[Account_Code]], tbl_Accounts[Account_Code], tbl_Accounts[Type])</f>
        <v>Revenue</v>
      </c>
      <c r="S119" s="25" t="str">
        <f>_xlfn.XLOOKUP(tbl_Ledger[[#This Row],[Account_Code]], tbl_Accounts[Account_Code], tbl_Accounts[PL_Bucket])</f>
        <v>Revenue</v>
      </c>
      <c r="T119" s="25">
        <f t="shared" si="1"/>
        <v>47000</v>
      </c>
    </row>
    <row r="120" spans="1:20">
      <c r="A120" t="s">
        <v>431</v>
      </c>
      <c r="B120" s="7">
        <v>45846</v>
      </c>
      <c r="C120" t="s">
        <v>126</v>
      </c>
      <c r="D120" t="s">
        <v>88</v>
      </c>
      <c r="E120" t="s">
        <v>136</v>
      </c>
      <c r="F120" s="12" t="s">
        <v>29</v>
      </c>
      <c r="G120" t="s">
        <v>30</v>
      </c>
      <c r="H120" t="s">
        <v>432</v>
      </c>
      <c r="I120" t="s">
        <v>71</v>
      </c>
      <c r="J120" s="6">
        <v>45800</v>
      </c>
      <c r="K120" t="s">
        <v>138</v>
      </c>
      <c r="L120" t="s">
        <v>428</v>
      </c>
      <c r="M120" t="s">
        <v>3</v>
      </c>
      <c r="N120" s="25" t="str">
        <f>TEXT(tbl_Ledger[[#This Row],[Date]],"yyyy-mm")</f>
        <v>2025-07</v>
      </c>
      <c r="O120" s="25" t="str">
        <f>TEXT(tbl_Ledger[[#This Row],[Date]],"yyyy-mm") &amp; TRIM(tbl_Ledger[[#This Row],[Currency]])</f>
        <v>2025-07NGN</v>
      </c>
      <c r="P120" s="25">
        <f>_xlfn.XLOOKUP(tbl_Ledger[[#This Row],[Key]], tbl_FX[Key], tbl_FX[Rate_to_NGN])</f>
        <v>1</v>
      </c>
      <c r="Q120" s="37">
        <f>IF(tbl_Ledger[[#This Row],[Account_Type]]="Expense",-ABS(tbl_Ledger[[#This Row],[Amount]]*tbl_Ledger[[#This Row],[Rate_to_NGN]]),tbl_Ledger[[#This Row],[Amount]]*tbl_Ledger[[#This Row],[Rate_to_NGN]])</f>
        <v>45800</v>
      </c>
      <c r="R120" s="25" t="str">
        <f>_xlfn.XLOOKUP(tbl_Ledger[[#This Row],[Account_Code]], tbl_Accounts[Account_Code], tbl_Accounts[Type])</f>
        <v>Revenue</v>
      </c>
      <c r="S120" s="25" t="str">
        <f>_xlfn.XLOOKUP(tbl_Ledger[[#This Row],[Account_Code]], tbl_Accounts[Account_Code], tbl_Accounts[PL_Bucket])</f>
        <v>Revenue</v>
      </c>
      <c r="T120" s="25">
        <f t="shared" si="1"/>
        <v>45800</v>
      </c>
    </row>
    <row r="121" spans="1:20">
      <c r="A121" t="s">
        <v>433</v>
      </c>
      <c r="B121" s="7">
        <v>45846</v>
      </c>
      <c r="C121" t="s">
        <v>126</v>
      </c>
      <c r="D121" t="s">
        <v>88</v>
      </c>
      <c r="E121" t="s">
        <v>140</v>
      </c>
      <c r="F121" s="12" t="s">
        <v>29</v>
      </c>
      <c r="G121" t="s">
        <v>30</v>
      </c>
      <c r="H121" t="s">
        <v>434</v>
      </c>
      <c r="I121" t="s">
        <v>71</v>
      </c>
      <c r="J121" s="6">
        <v>49700</v>
      </c>
      <c r="K121" t="s">
        <v>3</v>
      </c>
      <c r="L121" t="s">
        <v>435</v>
      </c>
      <c r="M121" t="s">
        <v>3</v>
      </c>
      <c r="N121" s="25" t="str">
        <f>TEXT(tbl_Ledger[[#This Row],[Date]],"yyyy-mm")</f>
        <v>2025-07</v>
      </c>
      <c r="O121" s="25" t="str">
        <f>TEXT(tbl_Ledger[[#This Row],[Date]],"yyyy-mm") &amp; TRIM(tbl_Ledger[[#This Row],[Currency]])</f>
        <v>2025-07NGN</v>
      </c>
      <c r="P121" s="25">
        <f>_xlfn.XLOOKUP(tbl_Ledger[[#This Row],[Key]], tbl_FX[Key], tbl_FX[Rate_to_NGN])</f>
        <v>1</v>
      </c>
      <c r="Q121" s="37">
        <f>IF(tbl_Ledger[[#This Row],[Account_Type]]="Expense",-ABS(tbl_Ledger[[#This Row],[Amount]]*tbl_Ledger[[#This Row],[Rate_to_NGN]]),tbl_Ledger[[#This Row],[Amount]]*tbl_Ledger[[#This Row],[Rate_to_NGN]])</f>
        <v>49700</v>
      </c>
      <c r="R121" s="25" t="str">
        <f>_xlfn.XLOOKUP(tbl_Ledger[[#This Row],[Account_Code]], tbl_Accounts[Account_Code], tbl_Accounts[Type])</f>
        <v>Revenue</v>
      </c>
      <c r="S121" s="25" t="str">
        <f>_xlfn.XLOOKUP(tbl_Ledger[[#This Row],[Account_Code]], tbl_Accounts[Account_Code], tbl_Accounts[PL_Bucket])</f>
        <v>Revenue</v>
      </c>
      <c r="T121" s="25">
        <f t="shared" si="1"/>
        <v>49700</v>
      </c>
    </row>
    <row r="122" spans="1:20">
      <c r="A122" t="s">
        <v>436</v>
      </c>
      <c r="B122" s="7">
        <v>45847</v>
      </c>
      <c r="C122" t="s">
        <v>93</v>
      </c>
      <c r="D122" t="s">
        <v>94</v>
      </c>
      <c r="E122" t="s">
        <v>95</v>
      </c>
      <c r="F122" s="12" t="s">
        <v>24</v>
      </c>
      <c r="G122" t="s">
        <v>25</v>
      </c>
      <c r="H122" t="s">
        <v>437</v>
      </c>
      <c r="I122" t="s">
        <v>71</v>
      </c>
      <c r="J122" s="6">
        <v>29000</v>
      </c>
      <c r="K122" t="s">
        <v>3</v>
      </c>
      <c r="L122" t="s">
        <v>438</v>
      </c>
      <c r="M122" t="s">
        <v>3</v>
      </c>
      <c r="N122" s="25" t="str">
        <f>TEXT(tbl_Ledger[[#This Row],[Date]],"yyyy-mm")</f>
        <v>2025-07</v>
      </c>
      <c r="O122" s="25" t="str">
        <f>TEXT(tbl_Ledger[[#This Row],[Date]],"yyyy-mm") &amp; TRIM(tbl_Ledger[[#This Row],[Currency]])</f>
        <v>2025-07NGN</v>
      </c>
      <c r="P122" s="25">
        <f>_xlfn.XLOOKUP(tbl_Ledger[[#This Row],[Key]], tbl_FX[Key], tbl_FX[Rate_to_NGN])</f>
        <v>1</v>
      </c>
      <c r="Q122" s="37">
        <f>IF(tbl_Ledger[[#This Row],[Account_Type]]="Expense",-ABS(tbl_Ledger[[#This Row],[Amount]]*tbl_Ledger[[#This Row],[Rate_to_NGN]]),tbl_Ledger[[#This Row],[Amount]]*tbl_Ledger[[#This Row],[Rate_to_NGN]])</f>
        <v>29000</v>
      </c>
      <c r="R122" s="25" t="str">
        <f>_xlfn.XLOOKUP(tbl_Ledger[[#This Row],[Account_Code]], tbl_Accounts[Account_Code], tbl_Accounts[Type])</f>
        <v>Revenue</v>
      </c>
      <c r="S122" s="25" t="str">
        <f>_xlfn.XLOOKUP(tbl_Ledger[[#This Row],[Account_Code]], tbl_Accounts[Account_Code], tbl_Accounts[PL_Bucket])</f>
        <v>Revenue</v>
      </c>
      <c r="T122" s="25">
        <f t="shared" si="1"/>
        <v>29000</v>
      </c>
    </row>
    <row r="123" spans="1:20">
      <c r="A123" t="s">
        <v>439</v>
      </c>
      <c r="B123" s="7">
        <v>45847</v>
      </c>
      <c r="C123" t="s">
        <v>93</v>
      </c>
      <c r="D123" t="s">
        <v>94</v>
      </c>
      <c r="E123" t="s">
        <v>99</v>
      </c>
      <c r="F123" s="12" t="s">
        <v>24</v>
      </c>
      <c r="G123" t="s">
        <v>25</v>
      </c>
      <c r="H123" t="s">
        <v>440</v>
      </c>
      <c r="I123" t="s">
        <v>71</v>
      </c>
      <c r="J123" s="6">
        <v>28500</v>
      </c>
      <c r="K123" t="s">
        <v>3</v>
      </c>
      <c r="L123" t="s">
        <v>441</v>
      </c>
      <c r="M123" t="s">
        <v>3</v>
      </c>
      <c r="N123" s="25" t="str">
        <f>TEXT(tbl_Ledger[[#This Row],[Date]],"yyyy-mm")</f>
        <v>2025-07</v>
      </c>
      <c r="O123" s="25" t="str">
        <f>TEXT(tbl_Ledger[[#This Row],[Date]],"yyyy-mm") &amp; TRIM(tbl_Ledger[[#This Row],[Currency]])</f>
        <v>2025-07NGN</v>
      </c>
      <c r="P123" s="25">
        <f>_xlfn.XLOOKUP(tbl_Ledger[[#This Row],[Key]], tbl_FX[Key], tbl_FX[Rate_to_NGN])</f>
        <v>1</v>
      </c>
      <c r="Q123" s="37">
        <f>IF(tbl_Ledger[[#This Row],[Account_Type]]="Expense",-ABS(tbl_Ledger[[#This Row],[Amount]]*tbl_Ledger[[#This Row],[Rate_to_NGN]]),tbl_Ledger[[#This Row],[Amount]]*tbl_Ledger[[#This Row],[Rate_to_NGN]])</f>
        <v>28500</v>
      </c>
      <c r="R123" s="25" t="str">
        <f>_xlfn.XLOOKUP(tbl_Ledger[[#This Row],[Account_Code]], tbl_Accounts[Account_Code], tbl_Accounts[Type])</f>
        <v>Revenue</v>
      </c>
      <c r="S123" s="25" t="str">
        <f>_xlfn.XLOOKUP(tbl_Ledger[[#This Row],[Account_Code]], tbl_Accounts[Account_Code], tbl_Accounts[PL_Bucket])</f>
        <v>Revenue</v>
      </c>
      <c r="T123" s="25">
        <f t="shared" si="1"/>
        <v>28500</v>
      </c>
    </row>
    <row r="124" spans="1:20">
      <c r="A124" t="s">
        <v>442</v>
      </c>
      <c r="B124" s="7">
        <v>45847</v>
      </c>
      <c r="C124" t="s">
        <v>93</v>
      </c>
      <c r="D124" t="s">
        <v>94</v>
      </c>
      <c r="E124" t="s">
        <v>103</v>
      </c>
      <c r="F124" s="12" t="s">
        <v>24</v>
      </c>
      <c r="G124" t="s">
        <v>25</v>
      </c>
      <c r="H124" t="s">
        <v>443</v>
      </c>
      <c r="I124" t="s">
        <v>71</v>
      </c>
      <c r="J124" s="6">
        <v>28100</v>
      </c>
      <c r="K124" t="s">
        <v>3</v>
      </c>
      <c r="L124" t="s">
        <v>444</v>
      </c>
      <c r="M124" t="s">
        <v>3</v>
      </c>
      <c r="N124" s="25" t="str">
        <f>TEXT(tbl_Ledger[[#This Row],[Date]],"yyyy-mm")</f>
        <v>2025-07</v>
      </c>
      <c r="O124" s="25" t="str">
        <f>TEXT(tbl_Ledger[[#This Row],[Date]],"yyyy-mm") &amp; TRIM(tbl_Ledger[[#This Row],[Currency]])</f>
        <v>2025-07NGN</v>
      </c>
      <c r="P124" s="25">
        <f>_xlfn.XLOOKUP(tbl_Ledger[[#This Row],[Key]], tbl_FX[Key], tbl_FX[Rate_to_NGN])</f>
        <v>1</v>
      </c>
      <c r="Q124" s="37">
        <f>IF(tbl_Ledger[[#This Row],[Account_Type]]="Expense",-ABS(tbl_Ledger[[#This Row],[Amount]]*tbl_Ledger[[#This Row],[Rate_to_NGN]]),tbl_Ledger[[#This Row],[Amount]]*tbl_Ledger[[#This Row],[Rate_to_NGN]])</f>
        <v>28100</v>
      </c>
      <c r="R124" s="25" t="str">
        <f>_xlfn.XLOOKUP(tbl_Ledger[[#This Row],[Account_Code]], tbl_Accounts[Account_Code], tbl_Accounts[Type])</f>
        <v>Revenue</v>
      </c>
      <c r="S124" s="25" t="str">
        <f>_xlfn.XLOOKUP(tbl_Ledger[[#This Row],[Account_Code]], tbl_Accounts[Account_Code], tbl_Accounts[PL_Bucket])</f>
        <v>Revenue</v>
      </c>
      <c r="T124" s="25">
        <f t="shared" si="1"/>
        <v>28100</v>
      </c>
    </row>
    <row r="125" spans="1:20">
      <c r="A125" t="s">
        <v>445</v>
      </c>
      <c r="B125" s="7">
        <v>45847</v>
      </c>
      <c r="C125" t="s">
        <v>93</v>
      </c>
      <c r="D125" t="s">
        <v>94</v>
      </c>
      <c r="E125" t="s">
        <v>160</v>
      </c>
      <c r="F125" s="12" t="s">
        <v>24</v>
      </c>
      <c r="G125" t="s">
        <v>25</v>
      </c>
      <c r="H125" t="s">
        <v>446</v>
      </c>
      <c r="I125" t="s">
        <v>71</v>
      </c>
      <c r="J125" s="6">
        <v>29900</v>
      </c>
      <c r="K125" t="s">
        <v>3</v>
      </c>
      <c r="L125" t="s">
        <v>444</v>
      </c>
      <c r="M125" t="s">
        <v>3</v>
      </c>
      <c r="N125" s="25" t="str">
        <f>TEXT(tbl_Ledger[[#This Row],[Date]],"yyyy-mm")</f>
        <v>2025-07</v>
      </c>
      <c r="O125" s="25" t="str">
        <f>TEXT(tbl_Ledger[[#This Row],[Date]],"yyyy-mm") &amp; TRIM(tbl_Ledger[[#This Row],[Currency]])</f>
        <v>2025-07NGN</v>
      </c>
      <c r="P125" s="25">
        <f>_xlfn.XLOOKUP(tbl_Ledger[[#This Row],[Key]], tbl_FX[Key], tbl_FX[Rate_to_NGN])</f>
        <v>1</v>
      </c>
      <c r="Q125" s="37">
        <f>IF(tbl_Ledger[[#This Row],[Account_Type]]="Expense",-ABS(tbl_Ledger[[#This Row],[Amount]]*tbl_Ledger[[#This Row],[Rate_to_NGN]]),tbl_Ledger[[#This Row],[Amount]]*tbl_Ledger[[#This Row],[Rate_to_NGN]])</f>
        <v>29900</v>
      </c>
      <c r="R125" s="25" t="str">
        <f>_xlfn.XLOOKUP(tbl_Ledger[[#This Row],[Account_Code]], tbl_Accounts[Account_Code], tbl_Accounts[Type])</f>
        <v>Revenue</v>
      </c>
      <c r="S125" s="25" t="str">
        <f>_xlfn.XLOOKUP(tbl_Ledger[[#This Row],[Account_Code]], tbl_Accounts[Account_Code], tbl_Accounts[PL_Bucket])</f>
        <v>Revenue</v>
      </c>
      <c r="T125" s="25">
        <f t="shared" si="1"/>
        <v>29900</v>
      </c>
    </row>
    <row r="126" spans="1:20">
      <c r="A126" t="s">
        <v>447</v>
      </c>
      <c r="B126" s="7">
        <v>45847</v>
      </c>
      <c r="C126" t="s">
        <v>93</v>
      </c>
      <c r="D126" t="s">
        <v>94</v>
      </c>
      <c r="E126" t="s">
        <v>107</v>
      </c>
      <c r="F126" s="12" t="s">
        <v>24</v>
      </c>
      <c r="G126" t="s">
        <v>25</v>
      </c>
      <c r="H126" t="s">
        <v>448</v>
      </c>
      <c r="I126" t="s">
        <v>71</v>
      </c>
      <c r="J126" s="6">
        <v>28800</v>
      </c>
      <c r="K126" t="s">
        <v>3</v>
      </c>
      <c r="L126" t="s">
        <v>449</v>
      </c>
      <c r="M126" t="s">
        <v>3</v>
      </c>
      <c r="N126" s="25" t="str">
        <f>TEXT(tbl_Ledger[[#This Row],[Date]],"yyyy-mm")</f>
        <v>2025-07</v>
      </c>
      <c r="O126" s="25" t="str">
        <f>TEXT(tbl_Ledger[[#This Row],[Date]],"yyyy-mm") &amp; TRIM(tbl_Ledger[[#This Row],[Currency]])</f>
        <v>2025-07NGN</v>
      </c>
      <c r="P126" s="25">
        <f>_xlfn.XLOOKUP(tbl_Ledger[[#This Row],[Key]], tbl_FX[Key], tbl_FX[Rate_to_NGN])</f>
        <v>1</v>
      </c>
      <c r="Q126" s="37">
        <f>IF(tbl_Ledger[[#This Row],[Account_Type]]="Expense",-ABS(tbl_Ledger[[#This Row],[Amount]]*tbl_Ledger[[#This Row],[Rate_to_NGN]]),tbl_Ledger[[#This Row],[Amount]]*tbl_Ledger[[#This Row],[Rate_to_NGN]])</f>
        <v>28800</v>
      </c>
      <c r="R126" s="25" t="str">
        <f>_xlfn.XLOOKUP(tbl_Ledger[[#This Row],[Account_Code]], tbl_Accounts[Account_Code], tbl_Accounts[Type])</f>
        <v>Revenue</v>
      </c>
      <c r="S126" s="25" t="str">
        <f>_xlfn.XLOOKUP(tbl_Ledger[[#This Row],[Account_Code]], tbl_Accounts[Account_Code], tbl_Accounts[PL_Bucket])</f>
        <v>Revenue</v>
      </c>
      <c r="T126" s="25">
        <f t="shared" si="1"/>
        <v>28800</v>
      </c>
    </row>
    <row r="127" spans="1:20">
      <c r="A127" t="s">
        <v>450</v>
      </c>
      <c r="B127" s="7">
        <v>45847</v>
      </c>
      <c r="C127" t="s">
        <v>93</v>
      </c>
      <c r="D127" t="s">
        <v>111</v>
      </c>
      <c r="E127" t="s">
        <v>112</v>
      </c>
      <c r="F127" s="12" t="s">
        <v>24</v>
      </c>
      <c r="G127" t="s">
        <v>25</v>
      </c>
      <c r="H127" t="s">
        <v>451</v>
      </c>
      <c r="I127" t="s">
        <v>71</v>
      </c>
      <c r="J127" s="6">
        <v>50700</v>
      </c>
      <c r="K127" t="s">
        <v>3</v>
      </c>
      <c r="L127" t="s">
        <v>452</v>
      </c>
      <c r="M127" t="s">
        <v>3</v>
      </c>
      <c r="N127" s="25" t="str">
        <f>TEXT(tbl_Ledger[[#This Row],[Date]],"yyyy-mm")</f>
        <v>2025-07</v>
      </c>
      <c r="O127" s="25" t="str">
        <f>TEXT(tbl_Ledger[[#This Row],[Date]],"yyyy-mm") &amp; TRIM(tbl_Ledger[[#This Row],[Currency]])</f>
        <v>2025-07NGN</v>
      </c>
      <c r="P127" s="25">
        <f>_xlfn.XLOOKUP(tbl_Ledger[[#This Row],[Key]], tbl_FX[Key], tbl_FX[Rate_to_NGN])</f>
        <v>1</v>
      </c>
      <c r="Q127" s="37">
        <f>IF(tbl_Ledger[[#This Row],[Account_Type]]="Expense",-ABS(tbl_Ledger[[#This Row],[Amount]]*tbl_Ledger[[#This Row],[Rate_to_NGN]]),tbl_Ledger[[#This Row],[Amount]]*tbl_Ledger[[#This Row],[Rate_to_NGN]])</f>
        <v>50700</v>
      </c>
      <c r="R127" s="25" t="str">
        <f>_xlfn.XLOOKUP(tbl_Ledger[[#This Row],[Account_Code]], tbl_Accounts[Account_Code], tbl_Accounts[Type])</f>
        <v>Revenue</v>
      </c>
      <c r="S127" s="25" t="str">
        <f>_xlfn.XLOOKUP(tbl_Ledger[[#This Row],[Account_Code]], tbl_Accounts[Account_Code], tbl_Accounts[PL_Bucket])</f>
        <v>Revenue</v>
      </c>
      <c r="T127" s="25">
        <f t="shared" si="1"/>
        <v>50700</v>
      </c>
    </row>
    <row r="128" spans="1:20">
      <c r="A128" t="s">
        <v>453</v>
      </c>
      <c r="B128" s="7">
        <v>45847</v>
      </c>
      <c r="C128" t="s">
        <v>93</v>
      </c>
      <c r="D128" t="s">
        <v>111</v>
      </c>
      <c r="E128" t="s">
        <v>116</v>
      </c>
      <c r="F128" s="12" t="s">
        <v>24</v>
      </c>
      <c r="G128" t="s">
        <v>25</v>
      </c>
      <c r="H128" t="s">
        <v>454</v>
      </c>
      <c r="I128" t="s">
        <v>71</v>
      </c>
      <c r="J128" s="6">
        <v>45800</v>
      </c>
      <c r="K128" t="s">
        <v>3</v>
      </c>
      <c r="L128" t="s">
        <v>452</v>
      </c>
      <c r="M128" t="s">
        <v>3</v>
      </c>
      <c r="N128" s="25" t="str">
        <f>TEXT(tbl_Ledger[[#This Row],[Date]],"yyyy-mm")</f>
        <v>2025-07</v>
      </c>
      <c r="O128" s="25" t="str">
        <f>TEXT(tbl_Ledger[[#This Row],[Date]],"yyyy-mm") &amp; TRIM(tbl_Ledger[[#This Row],[Currency]])</f>
        <v>2025-07NGN</v>
      </c>
      <c r="P128" s="25">
        <f>_xlfn.XLOOKUP(tbl_Ledger[[#This Row],[Key]], tbl_FX[Key], tbl_FX[Rate_to_NGN])</f>
        <v>1</v>
      </c>
      <c r="Q128" s="37">
        <f>IF(tbl_Ledger[[#This Row],[Account_Type]]="Expense",-ABS(tbl_Ledger[[#This Row],[Amount]]*tbl_Ledger[[#This Row],[Rate_to_NGN]]),tbl_Ledger[[#This Row],[Amount]]*tbl_Ledger[[#This Row],[Rate_to_NGN]])</f>
        <v>45800</v>
      </c>
      <c r="R128" s="25" t="str">
        <f>_xlfn.XLOOKUP(tbl_Ledger[[#This Row],[Account_Code]], tbl_Accounts[Account_Code], tbl_Accounts[Type])</f>
        <v>Revenue</v>
      </c>
      <c r="S128" s="25" t="str">
        <f>_xlfn.XLOOKUP(tbl_Ledger[[#This Row],[Account_Code]], tbl_Accounts[Account_Code], tbl_Accounts[PL_Bucket])</f>
        <v>Revenue</v>
      </c>
      <c r="T128" s="25">
        <f t="shared" si="1"/>
        <v>45800</v>
      </c>
    </row>
    <row r="129" spans="1:20">
      <c r="A129" t="s">
        <v>455</v>
      </c>
      <c r="B129" s="7">
        <v>45847</v>
      </c>
      <c r="C129" t="s">
        <v>93</v>
      </c>
      <c r="D129" t="s">
        <v>111</v>
      </c>
      <c r="E129" t="s">
        <v>119</v>
      </c>
      <c r="F129" s="12" t="s">
        <v>24</v>
      </c>
      <c r="G129" t="s">
        <v>25</v>
      </c>
      <c r="H129" t="s">
        <v>456</v>
      </c>
      <c r="I129" t="s">
        <v>71</v>
      </c>
      <c r="J129" s="6">
        <v>46000</v>
      </c>
      <c r="K129" t="s">
        <v>3</v>
      </c>
      <c r="L129" t="s">
        <v>452</v>
      </c>
      <c r="M129" t="s">
        <v>3</v>
      </c>
      <c r="N129" s="25" t="str">
        <f>TEXT(tbl_Ledger[[#This Row],[Date]],"yyyy-mm")</f>
        <v>2025-07</v>
      </c>
      <c r="O129" s="25" t="str">
        <f>TEXT(tbl_Ledger[[#This Row],[Date]],"yyyy-mm") &amp; TRIM(tbl_Ledger[[#This Row],[Currency]])</f>
        <v>2025-07NGN</v>
      </c>
      <c r="P129" s="25">
        <f>_xlfn.XLOOKUP(tbl_Ledger[[#This Row],[Key]], tbl_FX[Key], tbl_FX[Rate_to_NGN])</f>
        <v>1</v>
      </c>
      <c r="Q129" s="37">
        <f>IF(tbl_Ledger[[#This Row],[Account_Type]]="Expense",-ABS(tbl_Ledger[[#This Row],[Amount]]*tbl_Ledger[[#This Row],[Rate_to_NGN]]),tbl_Ledger[[#This Row],[Amount]]*tbl_Ledger[[#This Row],[Rate_to_NGN]])</f>
        <v>46000</v>
      </c>
      <c r="R129" s="25" t="str">
        <f>_xlfn.XLOOKUP(tbl_Ledger[[#This Row],[Account_Code]], tbl_Accounts[Account_Code], tbl_Accounts[Type])</f>
        <v>Revenue</v>
      </c>
      <c r="S129" s="25" t="str">
        <f>_xlfn.XLOOKUP(tbl_Ledger[[#This Row],[Account_Code]], tbl_Accounts[Account_Code], tbl_Accounts[PL_Bucket])</f>
        <v>Revenue</v>
      </c>
      <c r="T129" s="25">
        <f t="shared" si="1"/>
        <v>46000</v>
      </c>
    </row>
    <row r="130" spans="1:20">
      <c r="A130" t="s">
        <v>457</v>
      </c>
      <c r="B130" s="7">
        <v>45847</v>
      </c>
      <c r="C130" t="s">
        <v>93</v>
      </c>
      <c r="D130" t="s">
        <v>111</v>
      </c>
      <c r="E130" t="s">
        <v>170</v>
      </c>
      <c r="F130" s="12" t="s">
        <v>24</v>
      </c>
      <c r="G130" t="s">
        <v>25</v>
      </c>
      <c r="H130" t="s">
        <v>458</v>
      </c>
      <c r="I130" t="s">
        <v>71</v>
      </c>
      <c r="J130" s="6">
        <v>45900</v>
      </c>
      <c r="K130" t="s">
        <v>3</v>
      </c>
      <c r="L130" t="s">
        <v>452</v>
      </c>
      <c r="M130" t="s">
        <v>3</v>
      </c>
      <c r="N130" s="25" t="str">
        <f>TEXT(tbl_Ledger[[#This Row],[Date]],"yyyy-mm")</f>
        <v>2025-07</v>
      </c>
      <c r="O130" s="25" t="str">
        <f>TEXT(tbl_Ledger[[#This Row],[Date]],"yyyy-mm") &amp; TRIM(tbl_Ledger[[#This Row],[Currency]])</f>
        <v>2025-07NGN</v>
      </c>
      <c r="P130" s="25">
        <f>_xlfn.XLOOKUP(tbl_Ledger[[#This Row],[Key]], tbl_FX[Key], tbl_FX[Rate_to_NGN])</f>
        <v>1</v>
      </c>
      <c r="Q130" s="37">
        <f>IF(tbl_Ledger[[#This Row],[Account_Type]]="Expense",-ABS(tbl_Ledger[[#This Row],[Amount]]*tbl_Ledger[[#This Row],[Rate_to_NGN]]),tbl_Ledger[[#This Row],[Amount]]*tbl_Ledger[[#This Row],[Rate_to_NGN]])</f>
        <v>45900</v>
      </c>
      <c r="R130" s="25" t="str">
        <f>_xlfn.XLOOKUP(tbl_Ledger[[#This Row],[Account_Code]], tbl_Accounts[Account_Code], tbl_Accounts[Type])</f>
        <v>Revenue</v>
      </c>
      <c r="S130" s="25" t="str">
        <f>_xlfn.XLOOKUP(tbl_Ledger[[#This Row],[Account_Code]], tbl_Accounts[Account_Code], tbl_Accounts[PL_Bucket])</f>
        <v>Revenue</v>
      </c>
      <c r="T130" s="25">
        <f t="shared" ref="T130:T193" si="2">IF(AND(S130="Revenue",F130&lt;&gt;4900),ABS(Q130),-ABS(Q130))</f>
        <v>45900</v>
      </c>
    </row>
    <row r="131" spans="1:20">
      <c r="A131" t="s">
        <v>459</v>
      </c>
      <c r="B131" s="7">
        <v>45847</v>
      </c>
      <c r="C131" t="s">
        <v>93</v>
      </c>
      <c r="D131" t="s">
        <v>111</v>
      </c>
      <c r="E131" t="s">
        <v>122</v>
      </c>
      <c r="F131" s="12" t="s">
        <v>24</v>
      </c>
      <c r="G131" t="s">
        <v>25</v>
      </c>
      <c r="H131" t="s">
        <v>460</v>
      </c>
      <c r="I131" t="s">
        <v>71</v>
      </c>
      <c r="J131" s="6">
        <v>47400</v>
      </c>
      <c r="K131" t="s">
        <v>3</v>
      </c>
      <c r="L131" t="s">
        <v>461</v>
      </c>
      <c r="M131" t="s">
        <v>3</v>
      </c>
      <c r="N131" s="25" t="str">
        <f>TEXT(tbl_Ledger[[#This Row],[Date]],"yyyy-mm")</f>
        <v>2025-07</v>
      </c>
      <c r="O131" s="25" t="str">
        <f>TEXT(tbl_Ledger[[#This Row],[Date]],"yyyy-mm") &amp; TRIM(tbl_Ledger[[#This Row],[Currency]])</f>
        <v>2025-07NGN</v>
      </c>
      <c r="P131" s="25">
        <f>_xlfn.XLOOKUP(tbl_Ledger[[#This Row],[Key]], tbl_FX[Key], tbl_FX[Rate_to_NGN])</f>
        <v>1</v>
      </c>
      <c r="Q131" s="37">
        <f>IF(tbl_Ledger[[#This Row],[Account_Type]]="Expense",-ABS(tbl_Ledger[[#This Row],[Amount]]*tbl_Ledger[[#This Row],[Rate_to_NGN]]),tbl_Ledger[[#This Row],[Amount]]*tbl_Ledger[[#This Row],[Rate_to_NGN]])</f>
        <v>47400</v>
      </c>
      <c r="R131" s="25" t="str">
        <f>_xlfn.XLOOKUP(tbl_Ledger[[#This Row],[Account_Code]], tbl_Accounts[Account_Code], tbl_Accounts[Type])</f>
        <v>Revenue</v>
      </c>
      <c r="S131" s="25" t="str">
        <f>_xlfn.XLOOKUP(tbl_Ledger[[#This Row],[Account_Code]], tbl_Accounts[Account_Code], tbl_Accounts[PL_Bucket])</f>
        <v>Revenue</v>
      </c>
      <c r="T131" s="25">
        <f t="shared" si="2"/>
        <v>47400</v>
      </c>
    </row>
    <row r="132" spans="1:20">
      <c r="A132" t="s">
        <v>462</v>
      </c>
      <c r="B132" s="7">
        <v>45847</v>
      </c>
      <c r="C132" t="s">
        <v>126</v>
      </c>
      <c r="D132" t="s">
        <v>88</v>
      </c>
      <c r="E132" t="s">
        <v>127</v>
      </c>
      <c r="F132" s="12" t="s">
        <v>29</v>
      </c>
      <c r="G132" t="s">
        <v>30</v>
      </c>
      <c r="H132" t="s">
        <v>463</v>
      </c>
      <c r="I132" t="s">
        <v>71</v>
      </c>
      <c r="J132" s="6">
        <v>42900</v>
      </c>
      <c r="K132" t="s">
        <v>129</v>
      </c>
      <c r="L132" t="s">
        <v>464</v>
      </c>
      <c r="M132" t="s">
        <v>3</v>
      </c>
      <c r="N132" s="25" t="str">
        <f>TEXT(tbl_Ledger[[#This Row],[Date]],"yyyy-mm")</f>
        <v>2025-07</v>
      </c>
      <c r="O132" s="25" t="str">
        <f>TEXT(tbl_Ledger[[#This Row],[Date]],"yyyy-mm") &amp; TRIM(tbl_Ledger[[#This Row],[Currency]])</f>
        <v>2025-07NGN</v>
      </c>
      <c r="P132" s="25">
        <f>_xlfn.XLOOKUP(tbl_Ledger[[#This Row],[Key]], tbl_FX[Key], tbl_FX[Rate_to_NGN])</f>
        <v>1</v>
      </c>
      <c r="Q132" s="37">
        <f>IF(tbl_Ledger[[#This Row],[Account_Type]]="Expense",-ABS(tbl_Ledger[[#This Row],[Amount]]*tbl_Ledger[[#This Row],[Rate_to_NGN]]),tbl_Ledger[[#This Row],[Amount]]*tbl_Ledger[[#This Row],[Rate_to_NGN]])</f>
        <v>42900</v>
      </c>
      <c r="R132" s="25" t="str">
        <f>_xlfn.XLOOKUP(tbl_Ledger[[#This Row],[Account_Code]], tbl_Accounts[Account_Code], tbl_Accounts[Type])</f>
        <v>Revenue</v>
      </c>
      <c r="S132" s="25" t="str">
        <f>_xlfn.XLOOKUP(tbl_Ledger[[#This Row],[Account_Code]], tbl_Accounts[Account_Code], tbl_Accounts[PL_Bucket])</f>
        <v>Revenue</v>
      </c>
      <c r="T132" s="25">
        <f t="shared" si="2"/>
        <v>42900</v>
      </c>
    </row>
    <row r="133" spans="1:20">
      <c r="A133" t="s">
        <v>465</v>
      </c>
      <c r="B133" s="7">
        <v>45847</v>
      </c>
      <c r="C133" t="s">
        <v>126</v>
      </c>
      <c r="D133" t="s">
        <v>88</v>
      </c>
      <c r="E133" t="s">
        <v>132</v>
      </c>
      <c r="F133" s="12" t="s">
        <v>29</v>
      </c>
      <c r="G133" t="s">
        <v>30</v>
      </c>
      <c r="H133" t="s">
        <v>466</v>
      </c>
      <c r="I133" t="s">
        <v>71</v>
      </c>
      <c r="J133" s="6">
        <v>42900</v>
      </c>
      <c r="K133" t="s">
        <v>134</v>
      </c>
      <c r="L133" t="s">
        <v>464</v>
      </c>
      <c r="M133" t="s">
        <v>3</v>
      </c>
      <c r="N133" s="25" t="str">
        <f>TEXT(tbl_Ledger[[#This Row],[Date]],"yyyy-mm")</f>
        <v>2025-07</v>
      </c>
      <c r="O133" s="25" t="str">
        <f>TEXT(tbl_Ledger[[#This Row],[Date]],"yyyy-mm") &amp; TRIM(tbl_Ledger[[#This Row],[Currency]])</f>
        <v>2025-07NGN</v>
      </c>
      <c r="P133" s="25">
        <f>_xlfn.XLOOKUP(tbl_Ledger[[#This Row],[Key]], tbl_FX[Key], tbl_FX[Rate_to_NGN])</f>
        <v>1</v>
      </c>
      <c r="Q133" s="37">
        <f>IF(tbl_Ledger[[#This Row],[Account_Type]]="Expense",-ABS(tbl_Ledger[[#This Row],[Amount]]*tbl_Ledger[[#This Row],[Rate_to_NGN]]),tbl_Ledger[[#This Row],[Amount]]*tbl_Ledger[[#This Row],[Rate_to_NGN]])</f>
        <v>42900</v>
      </c>
      <c r="R133" s="25" t="str">
        <f>_xlfn.XLOOKUP(tbl_Ledger[[#This Row],[Account_Code]], tbl_Accounts[Account_Code], tbl_Accounts[Type])</f>
        <v>Revenue</v>
      </c>
      <c r="S133" s="25" t="str">
        <f>_xlfn.XLOOKUP(tbl_Ledger[[#This Row],[Account_Code]], tbl_Accounts[Account_Code], tbl_Accounts[PL_Bucket])</f>
        <v>Revenue</v>
      </c>
      <c r="T133" s="25">
        <f t="shared" si="2"/>
        <v>42900</v>
      </c>
    </row>
    <row r="134" spans="1:20">
      <c r="A134" t="s">
        <v>467</v>
      </c>
      <c r="B134" s="7">
        <v>45847</v>
      </c>
      <c r="C134" t="s">
        <v>126</v>
      </c>
      <c r="D134" t="s">
        <v>88</v>
      </c>
      <c r="E134" t="s">
        <v>136</v>
      </c>
      <c r="F134" s="12" t="s">
        <v>29</v>
      </c>
      <c r="G134" t="s">
        <v>30</v>
      </c>
      <c r="H134" t="s">
        <v>468</v>
      </c>
      <c r="I134" t="s">
        <v>71</v>
      </c>
      <c r="J134" s="6">
        <v>45200</v>
      </c>
      <c r="K134" t="s">
        <v>138</v>
      </c>
      <c r="L134" t="s">
        <v>464</v>
      </c>
      <c r="M134" t="s">
        <v>3</v>
      </c>
      <c r="N134" s="25" t="str">
        <f>TEXT(tbl_Ledger[[#This Row],[Date]],"yyyy-mm")</f>
        <v>2025-07</v>
      </c>
      <c r="O134" s="25" t="str">
        <f>TEXT(tbl_Ledger[[#This Row],[Date]],"yyyy-mm") &amp; TRIM(tbl_Ledger[[#This Row],[Currency]])</f>
        <v>2025-07NGN</v>
      </c>
      <c r="P134" s="25">
        <f>_xlfn.XLOOKUP(tbl_Ledger[[#This Row],[Key]], tbl_FX[Key], tbl_FX[Rate_to_NGN])</f>
        <v>1</v>
      </c>
      <c r="Q134" s="37">
        <f>IF(tbl_Ledger[[#This Row],[Account_Type]]="Expense",-ABS(tbl_Ledger[[#This Row],[Amount]]*tbl_Ledger[[#This Row],[Rate_to_NGN]]),tbl_Ledger[[#This Row],[Amount]]*tbl_Ledger[[#This Row],[Rate_to_NGN]])</f>
        <v>45200</v>
      </c>
      <c r="R134" s="25" t="str">
        <f>_xlfn.XLOOKUP(tbl_Ledger[[#This Row],[Account_Code]], tbl_Accounts[Account_Code], tbl_Accounts[Type])</f>
        <v>Revenue</v>
      </c>
      <c r="S134" s="25" t="str">
        <f>_xlfn.XLOOKUP(tbl_Ledger[[#This Row],[Account_Code]], tbl_Accounts[Account_Code], tbl_Accounts[PL_Bucket])</f>
        <v>Revenue</v>
      </c>
      <c r="T134" s="25">
        <f t="shared" si="2"/>
        <v>45200</v>
      </c>
    </row>
    <row r="135" spans="1:20">
      <c r="A135" t="s">
        <v>469</v>
      </c>
      <c r="B135" s="7">
        <v>45847</v>
      </c>
      <c r="C135" t="s">
        <v>126</v>
      </c>
      <c r="D135" t="s">
        <v>88</v>
      </c>
      <c r="E135" t="s">
        <v>140</v>
      </c>
      <c r="F135" s="12" t="s">
        <v>29</v>
      </c>
      <c r="G135" t="s">
        <v>30</v>
      </c>
      <c r="H135" t="s">
        <v>470</v>
      </c>
      <c r="I135" t="s">
        <v>71</v>
      </c>
      <c r="J135" s="6">
        <v>39900</v>
      </c>
      <c r="K135" t="s">
        <v>3</v>
      </c>
      <c r="L135" t="s">
        <v>471</v>
      </c>
      <c r="M135" t="s">
        <v>3</v>
      </c>
      <c r="N135" s="25" t="str">
        <f>TEXT(tbl_Ledger[[#This Row],[Date]],"yyyy-mm")</f>
        <v>2025-07</v>
      </c>
      <c r="O135" s="25" t="str">
        <f>TEXT(tbl_Ledger[[#This Row],[Date]],"yyyy-mm") &amp; TRIM(tbl_Ledger[[#This Row],[Currency]])</f>
        <v>2025-07NGN</v>
      </c>
      <c r="P135" s="25">
        <f>_xlfn.XLOOKUP(tbl_Ledger[[#This Row],[Key]], tbl_FX[Key], tbl_FX[Rate_to_NGN])</f>
        <v>1</v>
      </c>
      <c r="Q135" s="37">
        <f>IF(tbl_Ledger[[#This Row],[Account_Type]]="Expense",-ABS(tbl_Ledger[[#This Row],[Amount]]*tbl_Ledger[[#This Row],[Rate_to_NGN]]),tbl_Ledger[[#This Row],[Amount]]*tbl_Ledger[[#This Row],[Rate_to_NGN]])</f>
        <v>39900</v>
      </c>
      <c r="R135" s="25" t="str">
        <f>_xlfn.XLOOKUP(tbl_Ledger[[#This Row],[Account_Code]], tbl_Accounts[Account_Code], tbl_Accounts[Type])</f>
        <v>Revenue</v>
      </c>
      <c r="S135" s="25" t="str">
        <f>_xlfn.XLOOKUP(tbl_Ledger[[#This Row],[Account_Code]], tbl_Accounts[Account_Code], tbl_Accounts[PL_Bucket])</f>
        <v>Revenue</v>
      </c>
      <c r="T135" s="25">
        <f t="shared" si="2"/>
        <v>39900</v>
      </c>
    </row>
    <row r="136" spans="1:20">
      <c r="A136" t="s">
        <v>472</v>
      </c>
      <c r="B136" s="7">
        <v>45847</v>
      </c>
      <c r="C136" t="s">
        <v>87</v>
      </c>
      <c r="D136" t="s">
        <v>94</v>
      </c>
      <c r="E136" t="s">
        <v>3</v>
      </c>
      <c r="F136" s="12" t="s">
        <v>33</v>
      </c>
      <c r="G136" t="s">
        <v>34</v>
      </c>
      <c r="H136" t="s">
        <v>315</v>
      </c>
      <c r="I136" t="s">
        <v>71</v>
      </c>
      <c r="J136" s="6">
        <v>-420000</v>
      </c>
      <c r="K136" t="s">
        <v>316</v>
      </c>
      <c r="L136" t="s">
        <v>473</v>
      </c>
      <c r="M136" t="s">
        <v>3</v>
      </c>
      <c r="N136" s="25" t="str">
        <f>TEXT(tbl_Ledger[[#This Row],[Date]],"yyyy-mm")</f>
        <v>2025-07</v>
      </c>
      <c r="O136" s="25" t="str">
        <f>TEXT(tbl_Ledger[[#This Row],[Date]],"yyyy-mm") &amp; TRIM(tbl_Ledger[[#This Row],[Currency]])</f>
        <v>2025-07NGN</v>
      </c>
      <c r="P136" s="25">
        <f>_xlfn.XLOOKUP(tbl_Ledger[[#This Row],[Key]], tbl_FX[Key], tbl_FX[Rate_to_NGN])</f>
        <v>1</v>
      </c>
      <c r="Q136" s="37">
        <f>IF(tbl_Ledger[[#This Row],[Account_Type]]="Expense",-ABS(tbl_Ledger[[#This Row],[Amount]]*tbl_Ledger[[#This Row],[Rate_to_NGN]]),tbl_Ledger[[#This Row],[Amount]]*tbl_Ledger[[#This Row],[Rate_to_NGN]])</f>
        <v>-420000</v>
      </c>
      <c r="R136" s="25" t="str">
        <f>_xlfn.XLOOKUP(tbl_Ledger[[#This Row],[Account_Code]], tbl_Accounts[Account_Code], tbl_Accounts[Type])</f>
        <v>COGS</v>
      </c>
      <c r="S136" s="25" t="str">
        <f>_xlfn.XLOOKUP(tbl_Ledger[[#This Row],[Account_Code]], tbl_Accounts[Account_Code], tbl_Accounts[PL_Bucket])</f>
        <v>COGS</v>
      </c>
      <c r="T136" s="25">
        <f t="shared" si="2"/>
        <v>-420000</v>
      </c>
    </row>
    <row r="137" spans="1:20">
      <c r="A137" t="s">
        <v>474</v>
      </c>
      <c r="B137" s="7">
        <v>45848</v>
      </c>
      <c r="C137" t="s">
        <v>93</v>
      </c>
      <c r="D137" t="s">
        <v>94</v>
      </c>
      <c r="E137" t="s">
        <v>95</v>
      </c>
      <c r="F137" s="12" t="s">
        <v>24</v>
      </c>
      <c r="G137" t="s">
        <v>25</v>
      </c>
      <c r="H137" t="s">
        <v>475</v>
      </c>
      <c r="I137" t="s">
        <v>71</v>
      </c>
      <c r="J137" s="6">
        <v>31600</v>
      </c>
      <c r="K137" t="s">
        <v>3</v>
      </c>
      <c r="L137" t="s">
        <v>476</v>
      </c>
      <c r="M137" t="s">
        <v>3</v>
      </c>
      <c r="N137" s="25" t="str">
        <f>TEXT(tbl_Ledger[[#This Row],[Date]],"yyyy-mm")</f>
        <v>2025-07</v>
      </c>
      <c r="O137" s="25" t="str">
        <f>TEXT(tbl_Ledger[[#This Row],[Date]],"yyyy-mm") &amp; TRIM(tbl_Ledger[[#This Row],[Currency]])</f>
        <v>2025-07NGN</v>
      </c>
      <c r="P137" s="25">
        <f>_xlfn.XLOOKUP(tbl_Ledger[[#This Row],[Key]], tbl_FX[Key], tbl_FX[Rate_to_NGN])</f>
        <v>1</v>
      </c>
      <c r="Q137" s="37">
        <f>IF(tbl_Ledger[[#This Row],[Account_Type]]="Expense",-ABS(tbl_Ledger[[#This Row],[Amount]]*tbl_Ledger[[#This Row],[Rate_to_NGN]]),tbl_Ledger[[#This Row],[Amount]]*tbl_Ledger[[#This Row],[Rate_to_NGN]])</f>
        <v>31600</v>
      </c>
      <c r="R137" s="25" t="str">
        <f>_xlfn.XLOOKUP(tbl_Ledger[[#This Row],[Account_Code]], tbl_Accounts[Account_Code], tbl_Accounts[Type])</f>
        <v>Revenue</v>
      </c>
      <c r="S137" s="25" t="str">
        <f>_xlfn.XLOOKUP(tbl_Ledger[[#This Row],[Account_Code]], tbl_Accounts[Account_Code], tbl_Accounts[PL_Bucket])</f>
        <v>Revenue</v>
      </c>
      <c r="T137" s="25">
        <f t="shared" si="2"/>
        <v>31600</v>
      </c>
    </row>
    <row r="138" spans="1:20">
      <c r="A138" t="s">
        <v>477</v>
      </c>
      <c r="B138" s="7">
        <v>45848</v>
      </c>
      <c r="C138" t="s">
        <v>93</v>
      </c>
      <c r="D138" t="s">
        <v>94</v>
      </c>
      <c r="E138" t="s">
        <v>99</v>
      </c>
      <c r="F138" s="12" t="s">
        <v>24</v>
      </c>
      <c r="G138" t="s">
        <v>25</v>
      </c>
      <c r="H138" t="s">
        <v>478</v>
      </c>
      <c r="I138" t="s">
        <v>71</v>
      </c>
      <c r="J138" s="6">
        <v>30400</v>
      </c>
      <c r="K138" t="s">
        <v>3</v>
      </c>
      <c r="L138" t="s">
        <v>479</v>
      </c>
      <c r="M138" t="s">
        <v>3</v>
      </c>
      <c r="N138" s="25" t="str">
        <f>TEXT(tbl_Ledger[[#This Row],[Date]],"yyyy-mm")</f>
        <v>2025-07</v>
      </c>
      <c r="O138" s="25" t="str">
        <f>TEXT(tbl_Ledger[[#This Row],[Date]],"yyyy-mm") &amp; TRIM(tbl_Ledger[[#This Row],[Currency]])</f>
        <v>2025-07NGN</v>
      </c>
      <c r="P138" s="25">
        <f>_xlfn.XLOOKUP(tbl_Ledger[[#This Row],[Key]], tbl_FX[Key], tbl_FX[Rate_to_NGN])</f>
        <v>1</v>
      </c>
      <c r="Q138" s="37">
        <f>IF(tbl_Ledger[[#This Row],[Account_Type]]="Expense",-ABS(tbl_Ledger[[#This Row],[Amount]]*tbl_Ledger[[#This Row],[Rate_to_NGN]]),tbl_Ledger[[#This Row],[Amount]]*tbl_Ledger[[#This Row],[Rate_to_NGN]])</f>
        <v>30400</v>
      </c>
      <c r="R138" s="25" t="str">
        <f>_xlfn.XLOOKUP(tbl_Ledger[[#This Row],[Account_Code]], tbl_Accounts[Account_Code], tbl_Accounts[Type])</f>
        <v>Revenue</v>
      </c>
      <c r="S138" s="25" t="str">
        <f>_xlfn.XLOOKUP(tbl_Ledger[[#This Row],[Account_Code]], tbl_Accounts[Account_Code], tbl_Accounts[PL_Bucket])</f>
        <v>Revenue</v>
      </c>
      <c r="T138" s="25">
        <f t="shared" si="2"/>
        <v>30400</v>
      </c>
    </row>
    <row r="139" spans="1:20">
      <c r="A139" t="s">
        <v>480</v>
      </c>
      <c r="B139" s="7">
        <v>45848</v>
      </c>
      <c r="C139" t="s">
        <v>93</v>
      </c>
      <c r="D139" t="s">
        <v>94</v>
      </c>
      <c r="E139" t="s">
        <v>103</v>
      </c>
      <c r="F139" s="12" t="s">
        <v>24</v>
      </c>
      <c r="G139" t="s">
        <v>25</v>
      </c>
      <c r="H139" t="s">
        <v>481</v>
      </c>
      <c r="I139" t="s">
        <v>71</v>
      </c>
      <c r="J139" s="6">
        <v>28200</v>
      </c>
      <c r="K139" t="s">
        <v>3</v>
      </c>
      <c r="L139" t="s">
        <v>482</v>
      </c>
      <c r="M139" t="s">
        <v>3</v>
      </c>
      <c r="N139" s="25" t="str">
        <f>TEXT(tbl_Ledger[[#This Row],[Date]],"yyyy-mm")</f>
        <v>2025-07</v>
      </c>
      <c r="O139" s="25" t="str">
        <f>TEXT(tbl_Ledger[[#This Row],[Date]],"yyyy-mm") &amp; TRIM(tbl_Ledger[[#This Row],[Currency]])</f>
        <v>2025-07NGN</v>
      </c>
      <c r="P139" s="25">
        <f>_xlfn.XLOOKUP(tbl_Ledger[[#This Row],[Key]], tbl_FX[Key], tbl_FX[Rate_to_NGN])</f>
        <v>1</v>
      </c>
      <c r="Q139" s="37">
        <f>IF(tbl_Ledger[[#This Row],[Account_Type]]="Expense",-ABS(tbl_Ledger[[#This Row],[Amount]]*tbl_Ledger[[#This Row],[Rate_to_NGN]]),tbl_Ledger[[#This Row],[Amount]]*tbl_Ledger[[#This Row],[Rate_to_NGN]])</f>
        <v>28200</v>
      </c>
      <c r="R139" s="25" t="str">
        <f>_xlfn.XLOOKUP(tbl_Ledger[[#This Row],[Account_Code]], tbl_Accounts[Account_Code], tbl_Accounts[Type])</f>
        <v>Revenue</v>
      </c>
      <c r="S139" s="25" t="str">
        <f>_xlfn.XLOOKUP(tbl_Ledger[[#This Row],[Account_Code]], tbl_Accounts[Account_Code], tbl_Accounts[PL_Bucket])</f>
        <v>Revenue</v>
      </c>
      <c r="T139" s="25">
        <f t="shared" si="2"/>
        <v>28200</v>
      </c>
    </row>
    <row r="140" spans="1:20">
      <c r="A140" t="s">
        <v>483</v>
      </c>
      <c r="B140" s="7">
        <v>45848</v>
      </c>
      <c r="C140" t="s">
        <v>93</v>
      </c>
      <c r="D140" t="s">
        <v>94</v>
      </c>
      <c r="E140" t="s">
        <v>160</v>
      </c>
      <c r="F140" s="12" t="s">
        <v>24</v>
      </c>
      <c r="G140" t="s">
        <v>25</v>
      </c>
      <c r="H140" t="s">
        <v>484</v>
      </c>
      <c r="I140" t="s">
        <v>71</v>
      </c>
      <c r="J140" s="6">
        <v>29600</v>
      </c>
      <c r="K140" t="s">
        <v>3</v>
      </c>
      <c r="L140" t="s">
        <v>482</v>
      </c>
      <c r="M140" t="s">
        <v>3</v>
      </c>
      <c r="N140" s="25" t="str">
        <f>TEXT(tbl_Ledger[[#This Row],[Date]],"yyyy-mm")</f>
        <v>2025-07</v>
      </c>
      <c r="O140" s="25" t="str">
        <f>TEXT(tbl_Ledger[[#This Row],[Date]],"yyyy-mm") &amp; TRIM(tbl_Ledger[[#This Row],[Currency]])</f>
        <v>2025-07NGN</v>
      </c>
      <c r="P140" s="25">
        <f>_xlfn.XLOOKUP(tbl_Ledger[[#This Row],[Key]], tbl_FX[Key], tbl_FX[Rate_to_NGN])</f>
        <v>1</v>
      </c>
      <c r="Q140" s="37">
        <f>IF(tbl_Ledger[[#This Row],[Account_Type]]="Expense",-ABS(tbl_Ledger[[#This Row],[Amount]]*tbl_Ledger[[#This Row],[Rate_to_NGN]]),tbl_Ledger[[#This Row],[Amount]]*tbl_Ledger[[#This Row],[Rate_to_NGN]])</f>
        <v>29600</v>
      </c>
      <c r="R140" s="25" t="str">
        <f>_xlfn.XLOOKUP(tbl_Ledger[[#This Row],[Account_Code]], tbl_Accounts[Account_Code], tbl_Accounts[Type])</f>
        <v>Revenue</v>
      </c>
      <c r="S140" s="25" t="str">
        <f>_xlfn.XLOOKUP(tbl_Ledger[[#This Row],[Account_Code]], tbl_Accounts[Account_Code], tbl_Accounts[PL_Bucket])</f>
        <v>Revenue</v>
      </c>
      <c r="T140" s="25">
        <f t="shared" si="2"/>
        <v>29600</v>
      </c>
    </row>
    <row r="141" spans="1:20">
      <c r="A141" t="s">
        <v>485</v>
      </c>
      <c r="B141" s="7">
        <v>45848</v>
      </c>
      <c r="C141" t="s">
        <v>93</v>
      </c>
      <c r="D141" t="s">
        <v>94</v>
      </c>
      <c r="E141" t="s">
        <v>107</v>
      </c>
      <c r="F141" s="12" t="s">
        <v>24</v>
      </c>
      <c r="G141" t="s">
        <v>25</v>
      </c>
      <c r="H141" t="s">
        <v>486</v>
      </c>
      <c r="I141" t="s">
        <v>71</v>
      </c>
      <c r="J141" s="6">
        <v>29700</v>
      </c>
      <c r="K141" t="s">
        <v>3</v>
      </c>
      <c r="L141" t="s">
        <v>487</v>
      </c>
      <c r="M141" t="s">
        <v>3</v>
      </c>
      <c r="N141" s="25" t="str">
        <f>TEXT(tbl_Ledger[[#This Row],[Date]],"yyyy-mm")</f>
        <v>2025-07</v>
      </c>
      <c r="O141" s="25" t="str">
        <f>TEXT(tbl_Ledger[[#This Row],[Date]],"yyyy-mm") &amp; TRIM(tbl_Ledger[[#This Row],[Currency]])</f>
        <v>2025-07NGN</v>
      </c>
      <c r="P141" s="25">
        <f>_xlfn.XLOOKUP(tbl_Ledger[[#This Row],[Key]], tbl_FX[Key], tbl_FX[Rate_to_NGN])</f>
        <v>1</v>
      </c>
      <c r="Q141" s="37">
        <f>IF(tbl_Ledger[[#This Row],[Account_Type]]="Expense",-ABS(tbl_Ledger[[#This Row],[Amount]]*tbl_Ledger[[#This Row],[Rate_to_NGN]]),tbl_Ledger[[#This Row],[Amount]]*tbl_Ledger[[#This Row],[Rate_to_NGN]])</f>
        <v>29700</v>
      </c>
      <c r="R141" s="25" t="str">
        <f>_xlfn.XLOOKUP(tbl_Ledger[[#This Row],[Account_Code]], tbl_Accounts[Account_Code], tbl_Accounts[Type])</f>
        <v>Revenue</v>
      </c>
      <c r="S141" s="25" t="str">
        <f>_xlfn.XLOOKUP(tbl_Ledger[[#This Row],[Account_Code]], tbl_Accounts[Account_Code], tbl_Accounts[PL_Bucket])</f>
        <v>Revenue</v>
      </c>
      <c r="T141" s="25">
        <f t="shared" si="2"/>
        <v>29700</v>
      </c>
    </row>
    <row r="142" spans="1:20">
      <c r="A142" t="s">
        <v>488</v>
      </c>
      <c r="B142" s="7">
        <v>45848</v>
      </c>
      <c r="C142" t="s">
        <v>93</v>
      </c>
      <c r="D142" t="s">
        <v>111</v>
      </c>
      <c r="E142" t="s">
        <v>112</v>
      </c>
      <c r="F142" s="12" t="s">
        <v>24</v>
      </c>
      <c r="G142" t="s">
        <v>25</v>
      </c>
      <c r="H142" t="s">
        <v>489</v>
      </c>
      <c r="I142" t="s">
        <v>71</v>
      </c>
      <c r="J142" s="6">
        <v>47400</v>
      </c>
      <c r="K142" t="s">
        <v>3</v>
      </c>
      <c r="L142" t="s">
        <v>490</v>
      </c>
      <c r="M142" t="s">
        <v>3</v>
      </c>
      <c r="N142" s="25" t="str">
        <f>TEXT(tbl_Ledger[[#This Row],[Date]],"yyyy-mm")</f>
        <v>2025-07</v>
      </c>
      <c r="O142" s="25" t="str">
        <f>TEXT(tbl_Ledger[[#This Row],[Date]],"yyyy-mm") &amp; TRIM(tbl_Ledger[[#This Row],[Currency]])</f>
        <v>2025-07NGN</v>
      </c>
      <c r="P142" s="25">
        <f>_xlfn.XLOOKUP(tbl_Ledger[[#This Row],[Key]], tbl_FX[Key], tbl_FX[Rate_to_NGN])</f>
        <v>1</v>
      </c>
      <c r="Q142" s="37">
        <f>IF(tbl_Ledger[[#This Row],[Account_Type]]="Expense",-ABS(tbl_Ledger[[#This Row],[Amount]]*tbl_Ledger[[#This Row],[Rate_to_NGN]]),tbl_Ledger[[#This Row],[Amount]]*tbl_Ledger[[#This Row],[Rate_to_NGN]])</f>
        <v>47400</v>
      </c>
      <c r="R142" s="25" t="str">
        <f>_xlfn.XLOOKUP(tbl_Ledger[[#This Row],[Account_Code]], tbl_Accounts[Account_Code], tbl_Accounts[Type])</f>
        <v>Revenue</v>
      </c>
      <c r="S142" s="25" t="str">
        <f>_xlfn.XLOOKUP(tbl_Ledger[[#This Row],[Account_Code]], tbl_Accounts[Account_Code], tbl_Accounts[PL_Bucket])</f>
        <v>Revenue</v>
      </c>
      <c r="T142" s="25">
        <f t="shared" si="2"/>
        <v>47400</v>
      </c>
    </row>
    <row r="143" spans="1:20">
      <c r="A143" t="s">
        <v>491</v>
      </c>
      <c r="B143" s="7">
        <v>45848</v>
      </c>
      <c r="C143" t="s">
        <v>93</v>
      </c>
      <c r="D143" t="s">
        <v>111</v>
      </c>
      <c r="E143" t="s">
        <v>116</v>
      </c>
      <c r="F143" s="12" t="s">
        <v>24</v>
      </c>
      <c r="G143" t="s">
        <v>25</v>
      </c>
      <c r="H143" t="s">
        <v>492</v>
      </c>
      <c r="I143" t="s">
        <v>71</v>
      </c>
      <c r="J143" s="6">
        <v>47100</v>
      </c>
      <c r="K143" t="s">
        <v>3</v>
      </c>
      <c r="L143" t="s">
        <v>490</v>
      </c>
      <c r="M143" t="s">
        <v>3</v>
      </c>
      <c r="N143" s="25" t="str">
        <f>TEXT(tbl_Ledger[[#This Row],[Date]],"yyyy-mm")</f>
        <v>2025-07</v>
      </c>
      <c r="O143" s="25" t="str">
        <f>TEXT(tbl_Ledger[[#This Row],[Date]],"yyyy-mm") &amp; TRIM(tbl_Ledger[[#This Row],[Currency]])</f>
        <v>2025-07NGN</v>
      </c>
      <c r="P143" s="25">
        <f>_xlfn.XLOOKUP(tbl_Ledger[[#This Row],[Key]], tbl_FX[Key], tbl_FX[Rate_to_NGN])</f>
        <v>1</v>
      </c>
      <c r="Q143" s="37">
        <f>IF(tbl_Ledger[[#This Row],[Account_Type]]="Expense",-ABS(tbl_Ledger[[#This Row],[Amount]]*tbl_Ledger[[#This Row],[Rate_to_NGN]]),tbl_Ledger[[#This Row],[Amount]]*tbl_Ledger[[#This Row],[Rate_to_NGN]])</f>
        <v>47100</v>
      </c>
      <c r="R143" s="25" t="str">
        <f>_xlfn.XLOOKUP(tbl_Ledger[[#This Row],[Account_Code]], tbl_Accounts[Account_Code], tbl_Accounts[Type])</f>
        <v>Revenue</v>
      </c>
      <c r="S143" s="25" t="str">
        <f>_xlfn.XLOOKUP(tbl_Ledger[[#This Row],[Account_Code]], tbl_Accounts[Account_Code], tbl_Accounts[PL_Bucket])</f>
        <v>Revenue</v>
      </c>
      <c r="T143" s="25">
        <f t="shared" si="2"/>
        <v>47100</v>
      </c>
    </row>
    <row r="144" spans="1:20">
      <c r="A144" t="s">
        <v>493</v>
      </c>
      <c r="B144" s="7">
        <v>45848</v>
      </c>
      <c r="C144" t="s">
        <v>93</v>
      </c>
      <c r="D144" t="s">
        <v>111</v>
      </c>
      <c r="E144" t="s">
        <v>119</v>
      </c>
      <c r="F144" s="12" t="s">
        <v>24</v>
      </c>
      <c r="G144" t="s">
        <v>25</v>
      </c>
      <c r="H144" t="s">
        <v>494</v>
      </c>
      <c r="I144" t="s">
        <v>71</v>
      </c>
      <c r="J144" s="6">
        <v>49900</v>
      </c>
      <c r="K144" t="s">
        <v>3</v>
      </c>
      <c r="L144" t="s">
        <v>490</v>
      </c>
      <c r="M144" t="s">
        <v>3</v>
      </c>
      <c r="N144" s="25" t="str">
        <f>TEXT(tbl_Ledger[[#This Row],[Date]],"yyyy-mm")</f>
        <v>2025-07</v>
      </c>
      <c r="O144" s="25" t="str">
        <f>TEXT(tbl_Ledger[[#This Row],[Date]],"yyyy-mm") &amp; TRIM(tbl_Ledger[[#This Row],[Currency]])</f>
        <v>2025-07NGN</v>
      </c>
      <c r="P144" s="25">
        <f>_xlfn.XLOOKUP(tbl_Ledger[[#This Row],[Key]], tbl_FX[Key], tbl_FX[Rate_to_NGN])</f>
        <v>1</v>
      </c>
      <c r="Q144" s="37">
        <f>IF(tbl_Ledger[[#This Row],[Account_Type]]="Expense",-ABS(tbl_Ledger[[#This Row],[Amount]]*tbl_Ledger[[#This Row],[Rate_to_NGN]]),tbl_Ledger[[#This Row],[Amount]]*tbl_Ledger[[#This Row],[Rate_to_NGN]])</f>
        <v>49900</v>
      </c>
      <c r="R144" s="25" t="str">
        <f>_xlfn.XLOOKUP(tbl_Ledger[[#This Row],[Account_Code]], tbl_Accounts[Account_Code], tbl_Accounts[Type])</f>
        <v>Revenue</v>
      </c>
      <c r="S144" s="25" t="str">
        <f>_xlfn.XLOOKUP(tbl_Ledger[[#This Row],[Account_Code]], tbl_Accounts[Account_Code], tbl_Accounts[PL_Bucket])</f>
        <v>Revenue</v>
      </c>
      <c r="T144" s="25">
        <f t="shared" si="2"/>
        <v>49900</v>
      </c>
    </row>
    <row r="145" spans="1:20">
      <c r="A145" t="s">
        <v>495</v>
      </c>
      <c r="B145" s="7">
        <v>45848</v>
      </c>
      <c r="C145" t="s">
        <v>93</v>
      </c>
      <c r="D145" t="s">
        <v>111</v>
      </c>
      <c r="E145" t="s">
        <v>170</v>
      </c>
      <c r="F145" s="12" t="s">
        <v>24</v>
      </c>
      <c r="G145" t="s">
        <v>25</v>
      </c>
      <c r="H145" t="s">
        <v>496</v>
      </c>
      <c r="I145" t="s">
        <v>71</v>
      </c>
      <c r="J145" s="6">
        <v>45600</v>
      </c>
      <c r="K145" t="s">
        <v>3</v>
      </c>
      <c r="L145" t="s">
        <v>490</v>
      </c>
      <c r="M145" t="s">
        <v>3</v>
      </c>
      <c r="N145" s="25" t="str">
        <f>TEXT(tbl_Ledger[[#This Row],[Date]],"yyyy-mm")</f>
        <v>2025-07</v>
      </c>
      <c r="O145" s="25" t="str">
        <f>TEXT(tbl_Ledger[[#This Row],[Date]],"yyyy-mm") &amp; TRIM(tbl_Ledger[[#This Row],[Currency]])</f>
        <v>2025-07NGN</v>
      </c>
      <c r="P145" s="25">
        <f>_xlfn.XLOOKUP(tbl_Ledger[[#This Row],[Key]], tbl_FX[Key], tbl_FX[Rate_to_NGN])</f>
        <v>1</v>
      </c>
      <c r="Q145" s="37">
        <f>IF(tbl_Ledger[[#This Row],[Account_Type]]="Expense",-ABS(tbl_Ledger[[#This Row],[Amount]]*tbl_Ledger[[#This Row],[Rate_to_NGN]]),tbl_Ledger[[#This Row],[Amount]]*tbl_Ledger[[#This Row],[Rate_to_NGN]])</f>
        <v>45600</v>
      </c>
      <c r="R145" s="25" t="str">
        <f>_xlfn.XLOOKUP(tbl_Ledger[[#This Row],[Account_Code]], tbl_Accounts[Account_Code], tbl_Accounts[Type])</f>
        <v>Revenue</v>
      </c>
      <c r="S145" s="25" t="str">
        <f>_xlfn.XLOOKUP(tbl_Ledger[[#This Row],[Account_Code]], tbl_Accounts[Account_Code], tbl_Accounts[PL_Bucket])</f>
        <v>Revenue</v>
      </c>
      <c r="T145" s="25">
        <f t="shared" si="2"/>
        <v>45600</v>
      </c>
    </row>
    <row r="146" spans="1:20">
      <c r="A146" t="s">
        <v>497</v>
      </c>
      <c r="B146" s="7">
        <v>45848</v>
      </c>
      <c r="C146" t="s">
        <v>93</v>
      </c>
      <c r="D146" t="s">
        <v>111</v>
      </c>
      <c r="E146" t="s">
        <v>122</v>
      </c>
      <c r="F146" s="12" t="s">
        <v>24</v>
      </c>
      <c r="G146" t="s">
        <v>25</v>
      </c>
      <c r="H146" t="s">
        <v>498</v>
      </c>
      <c r="I146" t="s">
        <v>71</v>
      </c>
      <c r="J146" s="6">
        <v>46100</v>
      </c>
      <c r="K146" t="s">
        <v>3</v>
      </c>
      <c r="L146" t="s">
        <v>499</v>
      </c>
      <c r="M146" t="s">
        <v>3</v>
      </c>
      <c r="N146" s="25" t="str">
        <f>TEXT(tbl_Ledger[[#This Row],[Date]],"yyyy-mm")</f>
        <v>2025-07</v>
      </c>
      <c r="O146" s="25" t="str">
        <f>TEXT(tbl_Ledger[[#This Row],[Date]],"yyyy-mm") &amp; TRIM(tbl_Ledger[[#This Row],[Currency]])</f>
        <v>2025-07NGN</v>
      </c>
      <c r="P146" s="25">
        <f>_xlfn.XLOOKUP(tbl_Ledger[[#This Row],[Key]], tbl_FX[Key], tbl_FX[Rate_to_NGN])</f>
        <v>1</v>
      </c>
      <c r="Q146" s="37">
        <f>IF(tbl_Ledger[[#This Row],[Account_Type]]="Expense",-ABS(tbl_Ledger[[#This Row],[Amount]]*tbl_Ledger[[#This Row],[Rate_to_NGN]]),tbl_Ledger[[#This Row],[Amount]]*tbl_Ledger[[#This Row],[Rate_to_NGN]])</f>
        <v>46100</v>
      </c>
      <c r="R146" s="25" t="str">
        <f>_xlfn.XLOOKUP(tbl_Ledger[[#This Row],[Account_Code]], tbl_Accounts[Account_Code], tbl_Accounts[Type])</f>
        <v>Revenue</v>
      </c>
      <c r="S146" s="25" t="str">
        <f>_xlfn.XLOOKUP(tbl_Ledger[[#This Row],[Account_Code]], tbl_Accounts[Account_Code], tbl_Accounts[PL_Bucket])</f>
        <v>Revenue</v>
      </c>
      <c r="T146" s="25">
        <f t="shared" si="2"/>
        <v>46100</v>
      </c>
    </row>
    <row r="147" spans="1:20">
      <c r="A147" t="s">
        <v>500</v>
      </c>
      <c r="B147" s="7">
        <v>45848</v>
      </c>
      <c r="C147" t="s">
        <v>126</v>
      </c>
      <c r="D147" t="s">
        <v>88</v>
      </c>
      <c r="E147" t="s">
        <v>127</v>
      </c>
      <c r="F147" s="12" t="s">
        <v>29</v>
      </c>
      <c r="G147" t="s">
        <v>30</v>
      </c>
      <c r="H147" t="s">
        <v>501</v>
      </c>
      <c r="I147" t="s">
        <v>71</v>
      </c>
      <c r="J147" s="6">
        <v>47800</v>
      </c>
      <c r="K147" t="s">
        <v>129</v>
      </c>
      <c r="L147" t="s">
        <v>502</v>
      </c>
      <c r="M147" t="s">
        <v>3</v>
      </c>
      <c r="N147" s="25" t="str">
        <f>TEXT(tbl_Ledger[[#This Row],[Date]],"yyyy-mm")</f>
        <v>2025-07</v>
      </c>
      <c r="O147" s="25" t="str">
        <f>TEXT(tbl_Ledger[[#This Row],[Date]],"yyyy-mm") &amp; TRIM(tbl_Ledger[[#This Row],[Currency]])</f>
        <v>2025-07NGN</v>
      </c>
      <c r="P147" s="25">
        <f>_xlfn.XLOOKUP(tbl_Ledger[[#This Row],[Key]], tbl_FX[Key], tbl_FX[Rate_to_NGN])</f>
        <v>1</v>
      </c>
      <c r="Q147" s="37">
        <f>IF(tbl_Ledger[[#This Row],[Account_Type]]="Expense",-ABS(tbl_Ledger[[#This Row],[Amount]]*tbl_Ledger[[#This Row],[Rate_to_NGN]]),tbl_Ledger[[#This Row],[Amount]]*tbl_Ledger[[#This Row],[Rate_to_NGN]])</f>
        <v>47800</v>
      </c>
      <c r="R147" s="25" t="str">
        <f>_xlfn.XLOOKUP(tbl_Ledger[[#This Row],[Account_Code]], tbl_Accounts[Account_Code], tbl_Accounts[Type])</f>
        <v>Revenue</v>
      </c>
      <c r="S147" s="25" t="str">
        <f>_xlfn.XLOOKUP(tbl_Ledger[[#This Row],[Account_Code]], tbl_Accounts[Account_Code], tbl_Accounts[PL_Bucket])</f>
        <v>Revenue</v>
      </c>
      <c r="T147" s="25">
        <f t="shared" si="2"/>
        <v>47800</v>
      </c>
    </row>
    <row r="148" spans="1:20">
      <c r="A148" t="s">
        <v>503</v>
      </c>
      <c r="B148" s="7">
        <v>45848</v>
      </c>
      <c r="C148" t="s">
        <v>126</v>
      </c>
      <c r="D148" t="s">
        <v>88</v>
      </c>
      <c r="E148" t="s">
        <v>132</v>
      </c>
      <c r="F148" s="12" t="s">
        <v>29</v>
      </c>
      <c r="G148" t="s">
        <v>30</v>
      </c>
      <c r="H148" t="s">
        <v>504</v>
      </c>
      <c r="I148" t="s">
        <v>72</v>
      </c>
      <c r="J148" s="6">
        <v>30.52</v>
      </c>
      <c r="K148" t="s">
        <v>134</v>
      </c>
      <c r="L148" t="s">
        <v>502</v>
      </c>
      <c r="M148" t="s">
        <v>3</v>
      </c>
      <c r="N148" s="25" t="str">
        <f>TEXT(tbl_Ledger[[#This Row],[Date]],"yyyy-mm")</f>
        <v>2025-07</v>
      </c>
      <c r="O148" s="25" t="str">
        <f>TEXT(tbl_Ledger[[#This Row],[Date]],"yyyy-mm") &amp; TRIM(tbl_Ledger[[#This Row],[Currency]])</f>
        <v>2025-07USD</v>
      </c>
      <c r="P148" s="25">
        <f>_xlfn.XLOOKUP(tbl_Ledger[[#This Row],[Key]], tbl_FX[Key], tbl_FX[Rate_to_NGN])</f>
        <v>1530</v>
      </c>
      <c r="Q148" s="37">
        <f>IF(tbl_Ledger[[#This Row],[Account_Type]]="Expense",-ABS(tbl_Ledger[[#This Row],[Amount]]*tbl_Ledger[[#This Row],[Rate_to_NGN]]),tbl_Ledger[[#This Row],[Amount]]*tbl_Ledger[[#This Row],[Rate_to_NGN]])</f>
        <v>46695.6</v>
      </c>
      <c r="R148" s="25" t="str">
        <f>_xlfn.XLOOKUP(tbl_Ledger[[#This Row],[Account_Code]], tbl_Accounts[Account_Code], tbl_Accounts[Type])</f>
        <v>Revenue</v>
      </c>
      <c r="S148" s="25" t="str">
        <f>_xlfn.XLOOKUP(tbl_Ledger[[#This Row],[Account_Code]], tbl_Accounts[Account_Code], tbl_Accounts[PL_Bucket])</f>
        <v>Revenue</v>
      </c>
      <c r="T148" s="25">
        <f t="shared" si="2"/>
        <v>46695.6</v>
      </c>
    </row>
    <row r="149" spans="1:20">
      <c r="A149" t="s">
        <v>505</v>
      </c>
      <c r="B149" s="7">
        <v>45848</v>
      </c>
      <c r="C149" t="s">
        <v>126</v>
      </c>
      <c r="D149" t="s">
        <v>88</v>
      </c>
      <c r="E149" t="s">
        <v>136</v>
      </c>
      <c r="F149" s="12" t="s">
        <v>29</v>
      </c>
      <c r="G149" t="s">
        <v>30</v>
      </c>
      <c r="H149" t="s">
        <v>506</v>
      </c>
      <c r="I149" t="s">
        <v>72</v>
      </c>
      <c r="J149" s="6">
        <v>30.59</v>
      </c>
      <c r="K149" t="s">
        <v>138</v>
      </c>
      <c r="L149" t="s">
        <v>502</v>
      </c>
      <c r="M149" t="s">
        <v>3</v>
      </c>
      <c r="N149" s="25" t="str">
        <f>TEXT(tbl_Ledger[[#This Row],[Date]],"yyyy-mm")</f>
        <v>2025-07</v>
      </c>
      <c r="O149" s="25" t="str">
        <f>TEXT(tbl_Ledger[[#This Row],[Date]],"yyyy-mm") &amp; TRIM(tbl_Ledger[[#This Row],[Currency]])</f>
        <v>2025-07USD</v>
      </c>
      <c r="P149" s="25">
        <f>_xlfn.XLOOKUP(tbl_Ledger[[#This Row],[Key]], tbl_FX[Key], tbl_FX[Rate_to_NGN])</f>
        <v>1530</v>
      </c>
      <c r="Q149" s="37">
        <f>IF(tbl_Ledger[[#This Row],[Account_Type]]="Expense",-ABS(tbl_Ledger[[#This Row],[Amount]]*tbl_Ledger[[#This Row],[Rate_to_NGN]]),tbl_Ledger[[#This Row],[Amount]]*tbl_Ledger[[#This Row],[Rate_to_NGN]])</f>
        <v>46802.7</v>
      </c>
      <c r="R149" s="25" t="str">
        <f>_xlfn.XLOOKUP(tbl_Ledger[[#This Row],[Account_Code]], tbl_Accounts[Account_Code], tbl_Accounts[Type])</f>
        <v>Revenue</v>
      </c>
      <c r="S149" s="25" t="str">
        <f>_xlfn.XLOOKUP(tbl_Ledger[[#This Row],[Account_Code]], tbl_Accounts[Account_Code], tbl_Accounts[PL_Bucket])</f>
        <v>Revenue</v>
      </c>
      <c r="T149" s="25">
        <f t="shared" si="2"/>
        <v>46802.7</v>
      </c>
    </row>
    <row r="150" spans="1:20">
      <c r="A150" t="s">
        <v>507</v>
      </c>
      <c r="B150" s="7">
        <v>45848</v>
      </c>
      <c r="C150" t="s">
        <v>126</v>
      </c>
      <c r="D150" t="s">
        <v>88</v>
      </c>
      <c r="E150" t="s">
        <v>140</v>
      </c>
      <c r="F150" s="12" t="s">
        <v>29</v>
      </c>
      <c r="G150" t="s">
        <v>30</v>
      </c>
      <c r="H150" t="s">
        <v>508</v>
      </c>
      <c r="I150" t="s">
        <v>71</v>
      </c>
      <c r="J150" s="6">
        <v>48400</v>
      </c>
      <c r="K150" t="s">
        <v>3</v>
      </c>
      <c r="L150" t="s">
        <v>509</v>
      </c>
      <c r="M150" t="s">
        <v>3</v>
      </c>
      <c r="N150" s="25" t="str">
        <f>TEXT(tbl_Ledger[[#This Row],[Date]],"yyyy-mm")</f>
        <v>2025-07</v>
      </c>
      <c r="O150" s="25" t="str">
        <f>TEXT(tbl_Ledger[[#This Row],[Date]],"yyyy-mm") &amp; TRIM(tbl_Ledger[[#This Row],[Currency]])</f>
        <v>2025-07NGN</v>
      </c>
      <c r="P150" s="25">
        <f>_xlfn.XLOOKUP(tbl_Ledger[[#This Row],[Key]], tbl_FX[Key], tbl_FX[Rate_to_NGN])</f>
        <v>1</v>
      </c>
      <c r="Q150" s="37">
        <f>IF(tbl_Ledger[[#This Row],[Account_Type]]="Expense",-ABS(tbl_Ledger[[#This Row],[Amount]]*tbl_Ledger[[#This Row],[Rate_to_NGN]]),tbl_Ledger[[#This Row],[Amount]]*tbl_Ledger[[#This Row],[Rate_to_NGN]])</f>
        <v>48400</v>
      </c>
      <c r="R150" s="25" t="str">
        <f>_xlfn.XLOOKUP(tbl_Ledger[[#This Row],[Account_Code]], tbl_Accounts[Account_Code], tbl_Accounts[Type])</f>
        <v>Revenue</v>
      </c>
      <c r="S150" s="25" t="str">
        <f>_xlfn.XLOOKUP(tbl_Ledger[[#This Row],[Account_Code]], tbl_Accounts[Account_Code], tbl_Accounts[PL_Bucket])</f>
        <v>Revenue</v>
      </c>
      <c r="T150" s="25">
        <f t="shared" si="2"/>
        <v>48400</v>
      </c>
    </row>
    <row r="151" spans="1:20">
      <c r="A151" t="s">
        <v>510</v>
      </c>
      <c r="B151" s="7">
        <v>45848</v>
      </c>
      <c r="C151" t="s">
        <v>87</v>
      </c>
      <c r="D151" t="s">
        <v>94</v>
      </c>
      <c r="E151" t="s">
        <v>3</v>
      </c>
      <c r="F151" s="12" t="s">
        <v>42</v>
      </c>
      <c r="G151" t="s">
        <v>43</v>
      </c>
      <c r="H151" t="s">
        <v>186</v>
      </c>
      <c r="I151" t="s">
        <v>71</v>
      </c>
      <c r="J151" s="6">
        <v>-480000</v>
      </c>
      <c r="K151" t="s">
        <v>187</v>
      </c>
      <c r="L151" t="s">
        <v>511</v>
      </c>
      <c r="M151" t="s">
        <v>3</v>
      </c>
      <c r="N151" s="25" t="str">
        <f>TEXT(tbl_Ledger[[#This Row],[Date]],"yyyy-mm")</f>
        <v>2025-07</v>
      </c>
      <c r="O151" s="25" t="str">
        <f>TEXT(tbl_Ledger[[#This Row],[Date]],"yyyy-mm") &amp; TRIM(tbl_Ledger[[#This Row],[Currency]])</f>
        <v>2025-07NGN</v>
      </c>
      <c r="P151" s="25">
        <f>_xlfn.XLOOKUP(tbl_Ledger[[#This Row],[Key]], tbl_FX[Key], tbl_FX[Rate_to_NGN])</f>
        <v>1</v>
      </c>
      <c r="Q151" s="37">
        <f>IF(tbl_Ledger[[#This Row],[Account_Type]]="Expense",-ABS(tbl_Ledger[[#This Row],[Amount]]*tbl_Ledger[[#This Row],[Rate_to_NGN]]),tbl_Ledger[[#This Row],[Amount]]*tbl_Ledger[[#This Row],[Rate_to_NGN]])</f>
        <v>-480000</v>
      </c>
      <c r="R151" s="25" t="str">
        <f>_xlfn.XLOOKUP(tbl_Ledger[[#This Row],[Account_Code]], tbl_Accounts[Account_Code], tbl_Accounts[Type])</f>
        <v>COGS</v>
      </c>
      <c r="S151" s="25" t="str">
        <f>_xlfn.XLOOKUP(tbl_Ledger[[#This Row],[Account_Code]], tbl_Accounts[Account_Code], tbl_Accounts[PL_Bucket])</f>
        <v>COGS</v>
      </c>
      <c r="T151" s="25">
        <f t="shared" si="2"/>
        <v>-480000</v>
      </c>
    </row>
    <row r="152" spans="1:20">
      <c r="A152" t="s">
        <v>512</v>
      </c>
      <c r="B152" s="7">
        <v>45848</v>
      </c>
      <c r="C152" t="s">
        <v>87</v>
      </c>
      <c r="D152" t="s">
        <v>94</v>
      </c>
      <c r="E152" t="s">
        <v>3</v>
      </c>
      <c r="F152" s="12" t="s">
        <v>51</v>
      </c>
      <c r="G152" t="s">
        <v>52</v>
      </c>
      <c r="H152" t="s">
        <v>513</v>
      </c>
      <c r="I152" t="s">
        <v>71</v>
      </c>
      <c r="J152" s="6">
        <v>-170853</v>
      </c>
      <c r="K152" t="s">
        <v>514</v>
      </c>
      <c r="L152" t="s">
        <v>515</v>
      </c>
      <c r="M152" t="s">
        <v>3</v>
      </c>
      <c r="N152" s="25" t="str">
        <f>TEXT(tbl_Ledger[[#This Row],[Date]],"yyyy-mm")</f>
        <v>2025-07</v>
      </c>
      <c r="O152" s="25" t="str">
        <f>TEXT(tbl_Ledger[[#This Row],[Date]],"yyyy-mm") &amp; TRIM(tbl_Ledger[[#This Row],[Currency]])</f>
        <v>2025-07NGN</v>
      </c>
      <c r="P152" s="25">
        <f>_xlfn.XLOOKUP(tbl_Ledger[[#This Row],[Key]], tbl_FX[Key], tbl_FX[Rate_to_NGN])</f>
        <v>1</v>
      </c>
      <c r="Q152" s="37">
        <f>IF(tbl_Ledger[[#This Row],[Account_Type]]="Expense",-ABS(tbl_Ledger[[#This Row],[Amount]]*tbl_Ledger[[#This Row],[Rate_to_NGN]]),tbl_Ledger[[#This Row],[Amount]]*tbl_Ledger[[#This Row],[Rate_to_NGN]])</f>
        <v>-170853</v>
      </c>
      <c r="R152" s="25" t="str">
        <f>_xlfn.XLOOKUP(tbl_Ledger[[#This Row],[Account_Code]], tbl_Accounts[Account_Code], tbl_Accounts[Type])</f>
        <v>Opex</v>
      </c>
      <c r="S152" s="25" t="str">
        <f>_xlfn.XLOOKUP(tbl_Ledger[[#This Row],[Account_Code]], tbl_Accounts[Account_Code], tbl_Accounts[PL_Bucket])</f>
        <v>Opex</v>
      </c>
      <c r="T152" s="25">
        <f t="shared" si="2"/>
        <v>-170853</v>
      </c>
    </row>
    <row r="153" spans="1:20">
      <c r="A153" t="s">
        <v>516</v>
      </c>
      <c r="B153" s="7">
        <v>45848</v>
      </c>
      <c r="C153" t="s">
        <v>87</v>
      </c>
      <c r="D153" t="s">
        <v>111</v>
      </c>
      <c r="E153" t="s">
        <v>3</v>
      </c>
      <c r="F153" s="12" t="s">
        <v>51</v>
      </c>
      <c r="G153" t="s">
        <v>52</v>
      </c>
      <c r="H153" t="s">
        <v>513</v>
      </c>
      <c r="I153" t="s">
        <v>71</v>
      </c>
      <c r="J153" s="6">
        <v>-363381</v>
      </c>
      <c r="K153" t="s">
        <v>514</v>
      </c>
      <c r="L153" t="s">
        <v>517</v>
      </c>
      <c r="M153" t="s">
        <v>3</v>
      </c>
      <c r="N153" s="25" t="str">
        <f>TEXT(tbl_Ledger[[#This Row],[Date]],"yyyy-mm")</f>
        <v>2025-07</v>
      </c>
      <c r="O153" s="25" t="str">
        <f>TEXT(tbl_Ledger[[#This Row],[Date]],"yyyy-mm") &amp; TRIM(tbl_Ledger[[#This Row],[Currency]])</f>
        <v>2025-07NGN</v>
      </c>
      <c r="P153" s="25">
        <f>_xlfn.XLOOKUP(tbl_Ledger[[#This Row],[Key]], tbl_FX[Key], tbl_FX[Rate_to_NGN])</f>
        <v>1</v>
      </c>
      <c r="Q153" s="37">
        <f>IF(tbl_Ledger[[#This Row],[Account_Type]]="Expense",-ABS(tbl_Ledger[[#This Row],[Amount]]*tbl_Ledger[[#This Row],[Rate_to_NGN]]),tbl_Ledger[[#This Row],[Amount]]*tbl_Ledger[[#This Row],[Rate_to_NGN]])</f>
        <v>-363381</v>
      </c>
      <c r="R153" s="25" t="str">
        <f>_xlfn.XLOOKUP(tbl_Ledger[[#This Row],[Account_Code]], tbl_Accounts[Account_Code], tbl_Accounts[Type])</f>
        <v>Opex</v>
      </c>
      <c r="S153" s="25" t="str">
        <f>_xlfn.XLOOKUP(tbl_Ledger[[#This Row],[Account_Code]], tbl_Accounts[Account_Code], tbl_Accounts[PL_Bucket])</f>
        <v>Opex</v>
      </c>
      <c r="T153" s="25">
        <f t="shared" si="2"/>
        <v>-363381</v>
      </c>
    </row>
    <row r="154" spans="1:20">
      <c r="A154" t="s">
        <v>518</v>
      </c>
      <c r="B154" s="7">
        <v>45848</v>
      </c>
      <c r="C154" t="s">
        <v>87</v>
      </c>
      <c r="D154" t="s">
        <v>88</v>
      </c>
      <c r="E154" t="s">
        <v>3</v>
      </c>
      <c r="F154" s="12" t="s">
        <v>51</v>
      </c>
      <c r="G154" t="s">
        <v>52</v>
      </c>
      <c r="H154" t="s">
        <v>513</v>
      </c>
      <c r="I154" t="s">
        <v>71</v>
      </c>
      <c r="J154" s="6">
        <v>-164489</v>
      </c>
      <c r="K154" t="s">
        <v>514</v>
      </c>
      <c r="L154" t="s">
        <v>519</v>
      </c>
      <c r="M154" t="s">
        <v>3</v>
      </c>
      <c r="N154" s="25" t="str">
        <f>TEXT(tbl_Ledger[[#This Row],[Date]],"yyyy-mm")</f>
        <v>2025-07</v>
      </c>
      <c r="O154" s="25" t="str">
        <f>TEXT(tbl_Ledger[[#This Row],[Date]],"yyyy-mm") &amp; TRIM(tbl_Ledger[[#This Row],[Currency]])</f>
        <v>2025-07NGN</v>
      </c>
      <c r="P154" s="25">
        <f>_xlfn.XLOOKUP(tbl_Ledger[[#This Row],[Key]], tbl_FX[Key], tbl_FX[Rate_to_NGN])</f>
        <v>1</v>
      </c>
      <c r="Q154" s="37">
        <f>IF(tbl_Ledger[[#This Row],[Account_Type]]="Expense",-ABS(tbl_Ledger[[#This Row],[Amount]]*tbl_Ledger[[#This Row],[Rate_to_NGN]]),tbl_Ledger[[#This Row],[Amount]]*tbl_Ledger[[#This Row],[Rate_to_NGN]])</f>
        <v>-164489</v>
      </c>
      <c r="R154" s="25" t="str">
        <f>_xlfn.XLOOKUP(tbl_Ledger[[#This Row],[Account_Code]], tbl_Accounts[Account_Code], tbl_Accounts[Type])</f>
        <v>Opex</v>
      </c>
      <c r="S154" s="25" t="str">
        <f>_xlfn.XLOOKUP(tbl_Ledger[[#This Row],[Account_Code]], tbl_Accounts[Account_Code], tbl_Accounts[PL_Bucket])</f>
        <v>Opex</v>
      </c>
      <c r="T154" s="25">
        <f t="shared" si="2"/>
        <v>-164489</v>
      </c>
    </row>
    <row r="155" spans="1:20">
      <c r="A155" t="s">
        <v>520</v>
      </c>
      <c r="B155" s="7">
        <v>45849</v>
      </c>
      <c r="C155" t="s">
        <v>93</v>
      </c>
      <c r="D155" t="s">
        <v>94</v>
      </c>
      <c r="E155" t="s">
        <v>95</v>
      </c>
      <c r="F155" s="12" t="s">
        <v>24</v>
      </c>
      <c r="G155" t="s">
        <v>25</v>
      </c>
      <c r="H155" t="s">
        <v>521</v>
      </c>
      <c r="I155" t="s">
        <v>71</v>
      </c>
      <c r="J155" s="6">
        <v>28500</v>
      </c>
      <c r="K155" t="s">
        <v>3</v>
      </c>
      <c r="L155" t="s">
        <v>522</v>
      </c>
      <c r="M155" t="s">
        <v>3</v>
      </c>
      <c r="N155" s="25" t="str">
        <f>TEXT(tbl_Ledger[[#This Row],[Date]],"yyyy-mm")</f>
        <v>2025-07</v>
      </c>
      <c r="O155" s="25" t="str">
        <f>TEXT(tbl_Ledger[[#This Row],[Date]],"yyyy-mm") &amp; TRIM(tbl_Ledger[[#This Row],[Currency]])</f>
        <v>2025-07NGN</v>
      </c>
      <c r="P155" s="25">
        <f>_xlfn.XLOOKUP(tbl_Ledger[[#This Row],[Key]], tbl_FX[Key], tbl_FX[Rate_to_NGN])</f>
        <v>1</v>
      </c>
      <c r="Q155" s="37">
        <f>IF(tbl_Ledger[[#This Row],[Account_Type]]="Expense",-ABS(tbl_Ledger[[#This Row],[Amount]]*tbl_Ledger[[#This Row],[Rate_to_NGN]]),tbl_Ledger[[#This Row],[Amount]]*tbl_Ledger[[#This Row],[Rate_to_NGN]])</f>
        <v>28500</v>
      </c>
      <c r="R155" s="25" t="str">
        <f>_xlfn.XLOOKUP(tbl_Ledger[[#This Row],[Account_Code]], tbl_Accounts[Account_Code], tbl_Accounts[Type])</f>
        <v>Revenue</v>
      </c>
      <c r="S155" s="25" t="str">
        <f>_xlfn.XLOOKUP(tbl_Ledger[[#This Row],[Account_Code]], tbl_Accounts[Account_Code], tbl_Accounts[PL_Bucket])</f>
        <v>Revenue</v>
      </c>
      <c r="T155" s="25">
        <f t="shared" si="2"/>
        <v>28500</v>
      </c>
    </row>
    <row r="156" spans="1:20">
      <c r="A156" t="s">
        <v>523</v>
      </c>
      <c r="B156" s="7">
        <v>45849</v>
      </c>
      <c r="C156" t="s">
        <v>93</v>
      </c>
      <c r="D156" t="s">
        <v>94</v>
      </c>
      <c r="E156" t="s">
        <v>99</v>
      </c>
      <c r="F156" s="12" t="s">
        <v>24</v>
      </c>
      <c r="G156" t="s">
        <v>25</v>
      </c>
      <c r="H156" t="s">
        <v>524</v>
      </c>
      <c r="I156" t="s">
        <v>71</v>
      </c>
      <c r="J156" s="6">
        <v>27800</v>
      </c>
      <c r="K156" t="s">
        <v>3</v>
      </c>
      <c r="L156" t="s">
        <v>525</v>
      </c>
      <c r="M156" t="s">
        <v>3</v>
      </c>
      <c r="N156" s="25" t="str">
        <f>TEXT(tbl_Ledger[[#This Row],[Date]],"yyyy-mm")</f>
        <v>2025-07</v>
      </c>
      <c r="O156" s="25" t="str">
        <f>TEXT(tbl_Ledger[[#This Row],[Date]],"yyyy-mm") &amp; TRIM(tbl_Ledger[[#This Row],[Currency]])</f>
        <v>2025-07NGN</v>
      </c>
      <c r="P156" s="25">
        <f>_xlfn.XLOOKUP(tbl_Ledger[[#This Row],[Key]], tbl_FX[Key], tbl_FX[Rate_to_NGN])</f>
        <v>1</v>
      </c>
      <c r="Q156" s="37">
        <f>IF(tbl_Ledger[[#This Row],[Account_Type]]="Expense",-ABS(tbl_Ledger[[#This Row],[Amount]]*tbl_Ledger[[#This Row],[Rate_to_NGN]]),tbl_Ledger[[#This Row],[Amount]]*tbl_Ledger[[#This Row],[Rate_to_NGN]])</f>
        <v>27800</v>
      </c>
      <c r="R156" s="25" t="str">
        <f>_xlfn.XLOOKUP(tbl_Ledger[[#This Row],[Account_Code]], tbl_Accounts[Account_Code], tbl_Accounts[Type])</f>
        <v>Revenue</v>
      </c>
      <c r="S156" s="25" t="str">
        <f>_xlfn.XLOOKUP(tbl_Ledger[[#This Row],[Account_Code]], tbl_Accounts[Account_Code], tbl_Accounts[PL_Bucket])</f>
        <v>Revenue</v>
      </c>
      <c r="T156" s="25">
        <f t="shared" si="2"/>
        <v>27800</v>
      </c>
    </row>
    <row r="157" spans="1:20">
      <c r="A157" t="s">
        <v>526</v>
      </c>
      <c r="B157" s="7">
        <v>45849</v>
      </c>
      <c r="C157" t="s">
        <v>93</v>
      </c>
      <c r="D157" t="s">
        <v>94</v>
      </c>
      <c r="E157" t="s">
        <v>103</v>
      </c>
      <c r="F157" s="12" t="s">
        <v>24</v>
      </c>
      <c r="G157" t="s">
        <v>25</v>
      </c>
      <c r="H157" t="s">
        <v>527</v>
      </c>
      <c r="I157" t="s">
        <v>71</v>
      </c>
      <c r="J157" s="6">
        <v>30700</v>
      </c>
      <c r="K157" t="s">
        <v>3</v>
      </c>
      <c r="L157" t="s">
        <v>528</v>
      </c>
      <c r="M157" t="s">
        <v>3</v>
      </c>
      <c r="N157" s="25" t="str">
        <f>TEXT(tbl_Ledger[[#This Row],[Date]],"yyyy-mm")</f>
        <v>2025-07</v>
      </c>
      <c r="O157" s="25" t="str">
        <f>TEXT(tbl_Ledger[[#This Row],[Date]],"yyyy-mm") &amp; TRIM(tbl_Ledger[[#This Row],[Currency]])</f>
        <v>2025-07NGN</v>
      </c>
      <c r="P157" s="25">
        <f>_xlfn.XLOOKUP(tbl_Ledger[[#This Row],[Key]], tbl_FX[Key], tbl_FX[Rate_to_NGN])</f>
        <v>1</v>
      </c>
      <c r="Q157" s="37">
        <f>IF(tbl_Ledger[[#This Row],[Account_Type]]="Expense",-ABS(tbl_Ledger[[#This Row],[Amount]]*tbl_Ledger[[#This Row],[Rate_to_NGN]]),tbl_Ledger[[#This Row],[Amount]]*tbl_Ledger[[#This Row],[Rate_to_NGN]])</f>
        <v>30700</v>
      </c>
      <c r="R157" s="25" t="str">
        <f>_xlfn.XLOOKUP(tbl_Ledger[[#This Row],[Account_Code]], tbl_Accounts[Account_Code], tbl_Accounts[Type])</f>
        <v>Revenue</v>
      </c>
      <c r="S157" s="25" t="str">
        <f>_xlfn.XLOOKUP(tbl_Ledger[[#This Row],[Account_Code]], tbl_Accounts[Account_Code], tbl_Accounts[PL_Bucket])</f>
        <v>Revenue</v>
      </c>
      <c r="T157" s="25">
        <f t="shared" si="2"/>
        <v>30700</v>
      </c>
    </row>
    <row r="158" spans="1:20">
      <c r="A158" t="s">
        <v>529</v>
      </c>
      <c r="B158" s="7">
        <v>45849</v>
      </c>
      <c r="C158" t="s">
        <v>93</v>
      </c>
      <c r="D158" t="s">
        <v>94</v>
      </c>
      <c r="E158" t="s">
        <v>160</v>
      </c>
      <c r="F158" s="12" t="s">
        <v>24</v>
      </c>
      <c r="G158" t="s">
        <v>25</v>
      </c>
      <c r="H158" t="s">
        <v>530</v>
      </c>
      <c r="I158" t="s">
        <v>71</v>
      </c>
      <c r="J158" s="6">
        <v>27400</v>
      </c>
      <c r="K158" t="s">
        <v>3</v>
      </c>
      <c r="L158" t="s">
        <v>528</v>
      </c>
      <c r="M158" t="s">
        <v>3</v>
      </c>
      <c r="N158" s="25" t="str">
        <f>TEXT(tbl_Ledger[[#This Row],[Date]],"yyyy-mm")</f>
        <v>2025-07</v>
      </c>
      <c r="O158" s="25" t="str">
        <f>TEXT(tbl_Ledger[[#This Row],[Date]],"yyyy-mm") &amp; TRIM(tbl_Ledger[[#This Row],[Currency]])</f>
        <v>2025-07NGN</v>
      </c>
      <c r="P158" s="25">
        <f>_xlfn.XLOOKUP(tbl_Ledger[[#This Row],[Key]], tbl_FX[Key], tbl_FX[Rate_to_NGN])</f>
        <v>1</v>
      </c>
      <c r="Q158" s="37">
        <f>IF(tbl_Ledger[[#This Row],[Account_Type]]="Expense",-ABS(tbl_Ledger[[#This Row],[Amount]]*tbl_Ledger[[#This Row],[Rate_to_NGN]]),tbl_Ledger[[#This Row],[Amount]]*tbl_Ledger[[#This Row],[Rate_to_NGN]])</f>
        <v>27400</v>
      </c>
      <c r="R158" s="25" t="str">
        <f>_xlfn.XLOOKUP(tbl_Ledger[[#This Row],[Account_Code]], tbl_Accounts[Account_Code], tbl_Accounts[Type])</f>
        <v>Revenue</v>
      </c>
      <c r="S158" s="25" t="str">
        <f>_xlfn.XLOOKUP(tbl_Ledger[[#This Row],[Account_Code]], tbl_Accounts[Account_Code], tbl_Accounts[PL_Bucket])</f>
        <v>Revenue</v>
      </c>
      <c r="T158" s="25">
        <f t="shared" si="2"/>
        <v>27400</v>
      </c>
    </row>
    <row r="159" spans="1:20">
      <c r="A159" t="s">
        <v>531</v>
      </c>
      <c r="B159" s="7">
        <v>45849</v>
      </c>
      <c r="C159" t="s">
        <v>93</v>
      </c>
      <c r="D159" t="s">
        <v>94</v>
      </c>
      <c r="E159" t="s">
        <v>107</v>
      </c>
      <c r="F159" s="12" t="s">
        <v>24</v>
      </c>
      <c r="G159" t="s">
        <v>25</v>
      </c>
      <c r="H159" t="s">
        <v>532</v>
      </c>
      <c r="I159" t="s">
        <v>71</v>
      </c>
      <c r="J159" s="6">
        <v>31300</v>
      </c>
      <c r="K159" t="s">
        <v>3</v>
      </c>
      <c r="L159" t="s">
        <v>533</v>
      </c>
      <c r="M159" t="s">
        <v>3</v>
      </c>
      <c r="N159" s="25" t="str">
        <f>TEXT(tbl_Ledger[[#This Row],[Date]],"yyyy-mm")</f>
        <v>2025-07</v>
      </c>
      <c r="O159" s="25" t="str">
        <f>TEXT(tbl_Ledger[[#This Row],[Date]],"yyyy-mm") &amp; TRIM(tbl_Ledger[[#This Row],[Currency]])</f>
        <v>2025-07NGN</v>
      </c>
      <c r="P159" s="25">
        <f>_xlfn.XLOOKUP(tbl_Ledger[[#This Row],[Key]], tbl_FX[Key], tbl_FX[Rate_to_NGN])</f>
        <v>1</v>
      </c>
      <c r="Q159" s="37">
        <f>IF(tbl_Ledger[[#This Row],[Account_Type]]="Expense",-ABS(tbl_Ledger[[#This Row],[Amount]]*tbl_Ledger[[#This Row],[Rate_to_NGN]]),tbl_Ledger[[#This Row],[Amount]]*tbl_Ledger[[#This Row],[Rate_to_NGN]])</f>
        <v>31300</v>
      </c>
      <c r="R159" s="25" t="str">
        <f>_xlfn.XLOOKUP(tbl_Ledger[[#This Row],[Account_Code]], tbl_Accounts[Account_Code], tbl_Accounts[Type])</f>
        <v>Revenue</v>
      </c>
      <c r="S159" s="25" t="str">
        <f>_xlfn.XLOOKUP(tbl_Ledger[[#This Row],[Account_Code]], tbl_Accounts[Account_Code], tbl_Accounts[PL_Bucket])</f>
        <v>Revenue</v>
      </c>
      <c r="T159" s="25">
        <f t="shared" si="2"/>
        <v>31300</v>
      </c>
    </row>
    <row r="160" spans="1:20">
      <c r="A160" t="s">
        <v>534</v>
      </c>
      <c r="B160" s="7">
        <v>45849</v>
      </c>
      <c r="C160" t="s">
        <v>93</v>
      </c>
      <c r="D160" t="s">
        <v>111</v>
      </c>
      <c r="E160" t="s">
        <v>112</v>
      </c>
      <c r="F160" s="12" t="s">
        <v>24</v>
      </c>
      <c r="G160" t="s">
        <v>25</v>
      </c>
      <c r="H160" t="s">
        <v>535</v>
      </c>
      <c r="I160" t="s">
        <v>71</v>
      </c>
      <c r="J160" s="6">
        <v>50400</v>
      </c>
      <c r="K160" t="s">
        <v>3</v>
      </c>
      <c r="L160" t="s">
        <v>536</v>
      </c>
      <c r="M160" t="s">
        <v>3</v>
      </c>
      <c r="N160" s="25" t="str">
        <f>TEXT(tbl_Ledger[[#This Row],[Date]],"yyyy-mm")</f>
        <v>2025-07</v>
      </c>
      <c r="O160" s="25" t="str">
        <f>TEXT(tbl_Ledger[[#This Row],[Date]],"yyyy-mm") &amp; TRIM(tbl_Ledger[[#This Row],[Currency]])</f>
        <v>2025-07NGN</v>
      </c>
      <c r="P160" s="25">
        <f>_xlfn.XLOOKUP(tbl_Ledger[[#This Row],[Key]], tbl_FX[Key], tbl_FX[Rate_to_NGN])</f>
        <v>1</v>
      </c>
      <c r="Q160" s="37">
        <f>IF(tbl_Ledger[[#This Row],[Account_Type]]="Expense",-ABS(tbl_Ledger[[#This Row],[Amount]]*tbl_Ledger[[#This Row],[Rate_to_NGN]]),tbl_Ledger[[#This Row],[Amount]]*tbl_Ledger[[#This Row],[Rate_to_NGN]])</f>
        <v>50400</v>
      </c>
      <c r="R160" s="25" t="str">
        <f>_xlfn.XLOOKUP(tbl_Ledger[[#This Row],[Account_Code]], tbl_Accounts[Account_Code], tbl_Accounts[Type])</f>
        <v>Revenue</v>
      </c>
      <c r="S160" s="25" t="str">
        <f>_xlfn.XLOOKUP(tbl_Ledger[[#This Row],[Account_Code]], tbl_Accounts[Account_Code], tbl_Accounts[PL_Bucket])</f>
        <v>Revenue</v>
      </c>
      <c r="T160" s="25">
        <f t="shared" si="2"/>
        <v>50400</v>
      </c>
    </row>
    <row r="161" spans="1:20">
      <c r="A161" t="s">
        <v>537</v>
      </c>
      <c r="B161" s="7">
        <v>45849</v>
      </c>
      <c r="C161" t="s">
        <v>93</v>
      </c>
      <c r="D161" t="s">
        <v>111</v>
      </c>
      <c r="E161" t="s">
        <v>116</v>
      </c>
      <c r="F161" s="12" t="s">
        <v>24</v>
      </c>
      <c r="G161" t="s">
        <v>25</v>
      </c>
      <c r="H161" t="s">
        <v>538</v>
      </c>
      <c r="I161" t="s">
        <v>71</v>
      </c>
      <c r="J161" s="6">
        <v>50700</v>
      </c>
      <c r="K161" t="s">
        <v>3</v>
      </c>
      <c r="L161" t="s">
        <v>536</v>
      </c>
      <c r="M161" t="s">
        <v>3</v>
      </c>
      <c r="N161" s="25" t="str">
        <f>TEXT(tbl_Ledger[[#This Row],[Date]],"yyyy-mm")</f>
        <v>2025-07</v>
      </c>
      <c r="O161" s="25" t="str">
        <f>TEXT(tbl_Ledger[[#This Row],[Date]],"yyyy-mm") &amp; TRIM(tbl_Ledger[[#This Row],[Currency]])</f>
        <v>2025-07NGN</v>
      </c>
      <c r="P161" s="25">
        <f>_xlfn.XLOOKUP(tbl_Ledger[[#This Row],[Key]], tbl_FX[Key], tbl_FX[Rate_to_NGN])</f>
        <v>1</v>
      </c>
      <c r="Q161" s="37">
        <f>IF(tbl_Ledger[[#This Row],[Account_Type]]="Expense",-ABS(tbl_Ledger[[#This Row],[Amount]]*tbl_Ledger[[#This Row],[Rate_to_NGN]]),tbl_Ledger[[#This Row],[Amount]]*tbl_Ledger[[#This Row],[Rate_to_NGN]])</f>
        <v>50700</v>
      </c>
      <c r="R161" s="25" t="str">
        <f>_xlfn.XLOOKUP(tbl_Ledger[[#This Row],[Account_Code]], tbl_Accounts[Account_Code], tbl_Accounts[Type])</f>
        <v>Revenue</v>
      </c>
      <c r="S161" s="25" t="str">
        <f>_xlfn.XLOOKUP(tbl_Ledger[[#This Row],[Account_Code]], tbl_Accounts[Account_Code], tbl_Accounts[PL_Bucket])</f>
        <v>Revenue</v>
      </c>
      <c r="T161" s="25">
        <f t="shared" si="2"/>
        <v>50700</v>
      </c>
    </row>
    <row r="162" spans="1:20">
      <c r="A162" t="s">
        <v>539</v>
      </c>
      <c r="B162" s="7">
        <v>45849</v>
      </c>
      <c r="C162" t="s">
        <v>93</v>
      </c>
      <c r="D162" t="s">
        <v>111</v>
      </c>
      <c r="E162" t="s">
        <v>170</v>
      </c>
      <c r="F162" s="12" t="s">
        <v>24</v>
      </c>
      <c r="G162" t="s">
        <v>25</v>
      </c>
      <c r="H162" t="s">
        <v>540</v>
      </c>
      <c r="I162" t="s">
        <v>71</v>
      </c>
      <c r="J162" s="6">
        <v>46200</v>
      </c>
      <c r="K162" t="s">
        <v>3</v>
      </c>
      <c r="L162" t="s">
        <v>536</v>
      </c>
      <c r="M162" t="s">
        <v>3</v>
      </c>
      <c r="N162" s="25" t="str">
        <f>TEXT(tbl_Ledger[[#This Row],[Date]],"yyyy-mm")</f>
        <v>2025-07</v>
      </c>
      <c r="O162" s="25" t="str">
        <f>TEXT(tbl_Ledger[[#This Row],[Date]],"yyyy-mm") &amp; TRIM(tbl_Ledger[[#This Row],[Currency]])</f>
        <v>2025-07NGN</v>
      </c>
      <c r="P162" s="25">
        <f>_xlfn.XLOOKUP(tbl_Ledger[[#This Row],[Key]], tbl_FX[Key], tbl_FX[Rate_to_NGN])</f>
        <v>1</v>
      </c>
      <c r="Q162" s="37">
        <f>IF(tbl_Ledger[[#This Row],[Account_Type]]="Expense",-ABS(tbl_Ledger[[#This Row],[Amount]]*tbl_Ledger[[#This Row],[Rate_to_NGN]]),tbl_Ledger[[#This Row],[Amount]]*tbl_Ledger[[#This Row],[Rate_to_NGN]])</f>
        <v>46200</v>
      </c>
      <c r="R162" s="25" t="str">
        <f>_xlfn.XLOOKUP(tbl_Ledger[[#This Row],[Account_Code]], tbl_Accounts[Account_Code], tbl_Accounts[Type])</f>
        <v>Revenue</v>
      </c>
      <c r="S162" s="25" t="str">
        <f>_xlfn.XLOOKUP(tbl_Ledger[[#This Row],[Account_Code]], tbl_Accounts[Account_Code], tbl_Accounts[PL_Bucket])</f>
        <v>Revenue</v>
      </c>
      <c r="T162" s="25">
        <f t="shared" si="2"/>
        <v>46200</v>
      </c>
    </row>
    <row r="163" spans="1:20">
      <c r="A163" t="s">
        <v>541</v>
      </c>
      <c r="B163" s="7">
        <v>45849</v>
      </c>
      <c r="C163" t="s">
        <v>93</v>
      </c>
      <c r="D163" t="s">
        <v>111</v>
      </c>
      <c r="E163" t="s">
        <v>122</v>
      </c>
      <c r="F163" s="12" t="s">
        <v>24</v>
      </c>
      <c r="G163" t="s">
        <v>25</v>
      </c>
      <c r="H163" t="s">
        <v>542</v>
      </c>
      <c r="I163" t="s">
        <v>71</v>
      </c>
      <c r="J163" s="6">
        <v>50800</v>
      </c>
      <c r="K163" t="s">
        <v>3</v>
      </c>
      <c r="L163" t="s">
        <v>543</v>
      </c>
      <c r="M163" t="s">
        <v>3</v>
      </c>
      <c r="N163" s="25" t="str">
        <f>TEXT(tbl_Ledger[[#This Row],[Date]],"yyyy-mm")</f>
        <v>2025-07</v>
      </c>
      <c r="O163" s="25" t="str">
        <f>TEXT(tbl_Ledger[[#This Row],[Date]],"yyyy-mm") &amp; TRIM(tbl_Ledger[[#This Row],[Currency]])</f>
        <v>2025-07NGN</v>
      </c>
      <c r="P163" s="25">
        <f>_xlfn.XLOOKUP(tbl_Ledger[[#This Row],[Key]], tbl_FX[Key], tbl_FX[Rate_to_NGN])</f>
        <v>1</v>
      </c>
      <c r="Q163" s="37">
        <f>IF(tbl_Ledger[[#This Row],[Account_Type]]="Expense",-ABS(tbl_Ledger[[#This Row],[Amount]]*tbl_Ledger[[#This Row],[Rate_to_NGN]]),tbl_Ledger[[#This Row],[Amount]]*tbl_Ledger[[#This Row],[Rate_to_NGN]])</f>
        <v>50800</v>
      </c>
      <c r="R163" s="25" t="str">
        <f>_xlfn.XLOOKUP(tbl_Ledger[[#This Row],[Account_Code]], tbl_Accounts[Account_Code], tbl_Accounts[Type])</f>
        <v>Revenue</v>
      </c>
      <c r="S163" s="25" t="str">
        <f>_xlfn.XLOOKUP(tbl_Ledger[[#This Row],[Account_Code]], tbl_Accounts[Account_Code], tbl_Accounts[PL_Bucket])</f>
        <v>Revenue</v>
      </c>
      <c r="T163" s="25">
        <f t="shared" si="2"/>
        <v>50800</v>
      </c>
    </row>
    <row r="164" spans="1:20">
      <c r="A164" t="s">
        <v>544</v>
      </c>
      <c r="B164" s="7">
        <v>45849</v>
      </c>
      <c r="C164" t="s">
        <v>126</v>
      </c>
      <c r="D164" t="s">
        <v>88</v>
      </c>
      <c r="E164" t="s">
        <v>127</v>
      </c>
      <c r="F164" s="12" t="s">
        <v>29</v>
      </c>
      <c r="G164" t="s">
        <v>30</v>
      </c>
      <c r="H164" t="s">
        <v>545</v>
      </c>
      <c r="I164" t="s">
        <v>71</v>
      </c>
      <c r="J164" s="6">
        <v>48700</v>
      </c>
      <c r="K164" t="s">
        <v>129</v>
      </c>
      <c r="L164" t="s">
        <v>546</v>
      </c>
      <c r="M164" t="s">
        <v>3</v>
      </c>
      <c r="N164" s="25" t="str">
        <f>TEXT(tbl_Ledger[[#This Row],[Date]],"yyyy-mm")</f>
        <v>2025-07</v>
      </c>
      <c r="O164" s="25" t="str">
        <f>TEXT(tbl_Ledger[[#This Row],[Date]],"yyyy-mm") &amp; TRIM(tbl_Ledger[[#This Row],[Currency]])</f>
        <v>2025-07NGN</v>
      </c>
      <c r="P164" s="25">
        <f>_xlfn.XLOOKUP(tbl_Ledger[[#This Row],[Key]], tbl_FX[Key], tbl_FX[Rate_to_NGN])</f>
        <v>1</v>
      </c>
      <c r="Q164" s="37">
        <f>IF(tbl_Ledger[[#This Row],[Account_Type]]="Expense",-ABS(tbl_Ledger[[#This Row],[Amount]]*tbl_Ledger[[#This Row],[Rate_to_NGN]]),tbl_Ledger[[#This Row],[Amount]]*tbl_Ledger[[#This Row],[Rate_to_NGN]])</f>
        <v>48700</v>
      </c>
      <c r="R164" s="25" t="str">
        <f>_xlfn.XLOOKUP(tbl_Ledger[[#This Row],[Account_Code]], tbl_Accounts[Account_Code], tbl_Accounts[Type])</f>
        <v>Revenue</v>
      </c>
      <c r="S164" s="25" t="str">
        <f>_xlfn.XLOOKUP(tbl_Ledger[[#This Row],[Account_Code]], tbl_Accounts[Account_Code], tbl_Accounts[PL_Bucket])</f>
        <v>Revenue</v>
      </c>
      <c r="T164" s="25">
        <f t="shared" si="2"/>
        <v>48700</v>
      </c>
    </row>
    <row r="165" spans="1:20">
      <c r="A165" t="s">
        <v>547</v>
      </c>
      <c r="B165" s="7">
        <v>45849</v>
      </c>
      <c r="C165" t="s">
        <v>126</v>
      </c>
      <c r="D165" t="s">
        <v>88</v>
      </c>
      <c r="E165" t="s">
        <v>132</v>
      </c>
      <c r="F165" s="12" t="s">
        <v>29</v>
      </c>
      <c r="G165" t="s">
        <v>30</v>
      </c>
      <c r="H165" t="s">
        <v>548</v>
      </c>
      <c r="I165" t="s">
        <v>72</v>
      </c>
      <c r="J165" s="6">
        <v>28.43</v>
      </c>
      <c r="K165" t="s">
        <v>134</v>
      </c>
      <c r="L165" t="s">
        <v>546</v>
      </c>
      <c r="M165" t="s">
        <v>3</v>
      </c>
      <c r="N165" s="25" t="str">
        <f>TEXT(tbl_Ledger[[#This Row],[Date]],"yyyy-mm")</f>
        <v>2025-07</v>
      </c>
      <c r="O165" s="25" t="str">
        <f>TEXT(tbl_Ledger[[#This Row],[Date]],"yyyy-mm") &amp; TRIM(tbl_Ledger[[#This Row],[Currency]])</f>
        <v>2025-07USD</v>
      </c>
      <c r="P165" s="25">
        <f>_xlfn.XLOOKUP(tbl_Ledger[[#This Row],[Key]], tbl_FX[Key], tbl_FX[Rate_to_NGN])</f>
        <v>1530</v>
      </c>
      <c r="Q165" s="37">
        <f>IF(tbl_Ledger[[#This Row],[Account_Type]]="Expense",-ABS(tbl_Ledger[[#This Row],[Amount]]*tbl_Ledger[[#This Row],[Rate_to_NGN]]),tbl_Ledger[[#This Row],[Amount]]*tbl_Ledger[[#This Row],[Rate_to_NGN]])</f>
        <v>43497.9</v>
      </c>
      <c r="R165" s="25" t="str">
        <f>_xlfn.XLOOKUP(tbl_Ledger[[#This Row],[Account_Code]], tbl_Accounts[Account_Code], tbl_Accounts[Type])</f>
        <v>Revenue</v>
      </c>
      <c r="S165" s="25" t="str">
        <f>_xlfn.XLOOKUP(tbl_Ledger[[#This Row],[Account_Code]], tbl_Accounts[Account_Code], tbl_Accounts[PL_Bucket])</f>
        <v>Revenue</v>
      </c>
      <c r="T165" s="25">
        <f t="shared" si="2"/>
        <v>43497.9</v>
      </c>
    </row>
    <row r="166" spans="1:20">
      <c r="A166" t="s">
        <v>549</v>
      </c>
      <c r="B166" s="7">
        <v>45849</v>
      </c>
      <c r="C166" t="s">
        <v>126</v>
      </c>
      <c r="D166" t="s">
        <v>88</v>
      </c>
      <c r="E166" t="s">
        <v>136</v>
      </c>
      <c r="F166" s="12" t="s">
        <v>29</v>
      </c>
      <c r="G166" t="s">
        <v>30</v>
      </c>
      <c r="H166" t="s">
        <v>550</v>
      </c>
      <c r="I166" t="s">
        <v>71</v>
      </c>
      <c r="J166" s="6">
        <v>49500</v>
      </c>
      <c r="K166" t="s">
        <v>138</v>
      </c>
      <c r="L166" t="s">
        <v>546</v>
      </c>
      <c r="M166" t="s">
        <v>3</v>
      </c>
      <c r="N166" s="25" t="str">
        <f>TEXT(tbl_Ledger[[#This Row],[Date]],"yyyy-mm")</f>
        <v>2025-07</v>
      </c>
      <c r="O166" s="25" t="str">
        <f>TEXT(tbl_Ledger[[#This Row],[Date]],"yyyy-mm") &amp; TRIM(tbl_Ledger[[#This Row],[Currency]])</f>
        <v>2025-07NGN</v>
      </c>
      <c r="P166" s="25">
        <f>_xlfn.XLOOKUP(tbl_Ledger[[#This Row],[Key]], tbl_FX[Key], tbl_FX[Rate_to_NGN])</f>
        <v>1</v>
      </c>
      <c r="Q166" s="37">
        <f>IF(tbl_Ledger[[#This Row],[Account_Type]]="Expense",-ABS(tbl_Ledger[[#This Row],[Amount]]*tbl_Ledger[[#This Row],[Rate_to_NGN]]),tbl_Ledger[[#This Row],[Amount]]*tbl_Ledger[[#This Row],[Rate_to_NGN]])</f>
        <v>49500</v>
      </c>
      <c r="R166" s="25" t="str">
        <f>_xlfn.XLOOKUP(tbl_Ledger[[#This Row],[Account_Code]], tbl_Accounts[Account_Code], tbl_Accounts[Type])</f>
        <v>Revenue</v>
      </c>
      <c r="S166" s="25" t="str">
        <f>_xlfn.XLOOKUP(tbl_Ledger[[#This Row],[Account_Code]], tbl_Accounts[Account_Code], tbl_Accounts[PL_Bucket])</f>
        <v>Revenue</v>
      </c>
      <c r="T166" s="25">
        <f t="shared" si="2"/>
        <v>49500</v>
      </c>
    </row>
    <row r="167" spans="1:20">
      <c r="A167" t="s">
        <v>551</v>
      </c>
      <c r="B167" s="7">
        <v>45849</v>
      </c>
      <c r="C167" t="s">
        <v>126</v>
      </c>
      <c r="D167" t="s">
        <v>88</v>
      </c>
      <c r="E167" t="s">
        <v>140</v>
      </c>
      <c r="F167" s="12" t="s">
        <v>29</v>
      </c>
      <c r="G167" t="s">
        <v>30</v>
      </c>
      <c r="H167" t="s">
        <v>552</v>
      </c>
      <c r="I167" t="s">
        <v>71</v>
      </c>
      <c r="J167" s="6">
        <v>43900</v>
      </c>
      <c r="K167" t="s">
        <v>3</v>
      </c>
      <c r="L167" t="s">
        <v>553</v>
      </c>
      <c r="M167" t="s">
        <v>3</v>
      </c>
      <c r="N167" s="25" t="str">
        <f>TEXT(tbl_Ledger[[#This Row],[Date]],"yyyy-mm")</f>
        <v>2025-07</v>
      </c>
      <c r="O167" s="25" t="str">
        <f>TEXT(tbl_Ledger[[#This Row],[Date]],"yyyy-mm") &amp; TRIM(tbl_Ledger[[#This Row],[Currency]])</f>
        <v>2025-07NGN</v>
      </c>
      <c r="P167" s="25">
        <f>_xlfn.XLOOKUP(tbl_Ledger[[#This Row],[Key]], tbl_FX[Key], tbl_FX[Rate_to_NGN])</f>
        <v>1</v>
      </c>
      <c r="Q167" s="37">
        <f>IF(tbl_Ledger[[#This Row],[Account_Type]]="Expense",-ABS(tbl_Ledger[[#This Row],[Amount]]*tbl_Ledger[[#This Row],[Rate_to_NGN]]),tbl_Ledger[[#This Row],[Amount]]*tbl_Ledger[[#This Row],[Rate_to_NGN]])</f>
        <v>43900</v>
      </c>
      <c r="R167" s="25" t="str">
        <f>_xlfn.XLOOKUP(tbl_Ledger[[#This Row],[Account_Code]], tbl_Accounts[Account_Code], tbl_Accounts[Type])</f>
        <v>Revenue</v>
      </c>
      <c r="S167" s="25" t="str">
        <f>_xlfn.XLOOKUP(tbl_Ledger[[#This Row],[Account_Code]], tbl_Accounts[Account_Code], tbl_Accounts[PL_Bucket])</f>
        <v>Revenue</v>
      </c>
      <c r="T167" s="25">
        <f t="shared" si="2"/>
        <v>43900</v>
      </c>
    </row>
    <row r="168" spans="1:20">
      <c r="A168" t="s">
        <v>554</v>
      </c>
      <c r="B168" s="7">
        <v>45849</v>
      </c>
      <c r="C168" t="s">
        <v>87</v>
      </c>
      <c r="D168" t="s">
        <v>94</v>
      </c>
      <c r="E168" t="s">
        <v>3</v>
      </c>
      <c r="F168" s="12" t="s">
        <v>42</v>
      </c>
      <c r="G168" t="s">
        <v>43</v>
      </c>
      <c r="H168" t="s">
        <v>186</v>
      </c>
      <c r="I168" t="s">
        <v>71</v>
      </c>
      <c r="J168" s="6">
        <v>-488000</v>
      </c>
      <c r="K168" t="s">
        <v>187</v>
      </c>
      <c r="L168" t="s">
        <v>555</v>
      </c>
      <c r="M168" t="s">
        <v>3</v>
      </c>
      <c r="N168" s="25" t="str">
        <f>TEXT(tbl_Ledger[[#This Row],[Date]],"yyyy-mm")</f>
        <v>2025-07</v>
      </c>
      <c r="O168" s="25" t="str">
        <f>TEXT(tbl_Ledger[[#This Row],[Date]],"yyyy-mm") &amp; TRIM(tbl_Ledger[[#This Row],[Currency]])</f>
        <v>2025-07NGN</v>
      </c>
      <c r="P168" s="25">
        <f>_xlfn.XLOOKUP(tbl_Ledger[[#This Row],[Key]], tbl_FX[Key], tbl_FX[Rate_to_NGN])</f>
        <v>1</v>
      </c>
      <c r="Q168" s="37">
        <f>IF(tbl_Ledger[[#This Row],[Account_Type]]="Expense",-ABS(tbl_Ledger[[#This Row],[Amount]]*tbl_Ledger[[#This Row],[Rate_to_NGN]]),tbl_Ledger[[#This Row],[Amount]]*tbl_Ledger[[#This Row],[Rate_to_NGN]])</f>
        <v>-488000</v>
      </c>
      <c r="R168" s="25" t="str">
        <f>_xlfn.XLOOKUP(tbl_Ledger[[#This Row],[Account_Code]], tbl_Accounts[Account_Code], tbl_Accounts[Type])</f>
        <v>COGS</v>
      </c>
      <c r="S168" s="25" t="str">
        <f>_xlfn.XLOOKUP(tbl_Ledger[[#This Row],[Account_Code]], tbl_Accounts[Account_Code], tbl_Accounts[PL_Bucket])</f>
        <v>COGS</v>
      </c>
      <c r="T168" s="25">
        <f t="shared" si="2"/>
        <v>-488000</v>
      </c>
    </row>
    <row r="169" spans="1:20">
      <c r="A169" t="s">
        <v>556</v>
      </c>
      <c r="B169" s="7">
        <v>45849</v>
      </c>
      <c r="C169" t="s">
        <v>87</v>
      </c>
      <c r="D169" t="s">
        <v>111</v>
      </c>
      <c r="E169" t="s">
        <v>3</v>
      </c>
      <c r="F169" s="12" t="s">
        <v>38</v>
      </c>
      <c r="G169" t="s">
        <v>39</v>
      </c>
      <c r="H169" t="s">
        <v>275</v>
      </c>
      <c r="I169" t="s">
        <v>71</v>
      </c>
      <c r="J169" s="6">
        <v>-101000</v>
      </c>
      <c r="K169" t="s">
        <v>276</v>
      </c>
      <c r="L169" t="s">
        <v>557</v>
      </c>
      <c r="M169" t="s">
        <v>3</v>
      </c>
      <c r="N169" s="25" t="str">
        <f>TEXT(tbl_Ledger[[#This Row],[Date]],"yyyy-mm")</f>
        <v>2025-07</v>
      </c>
      <c r="O169" s="25" t="str">
        <f>TEXT(tbl_Ledger[[#This Row],[Date]],"yyyy-mm") &amp; TRIM(tbl_Ledger[[#This Row],[Currency]])</f>
        <v>2025-07NGN</v>
      </c>
      <c r="P169" s="25">
        <f>_xlfn.XLOOKUP(tbl_Ledger[[#This Row],[Key]], tbl_FX[Key], tbl_FX[Rate_to_NGN])</f>
        <v>1</v>
      </c>
      <c r="Q169" s="37">
        <f>IF(tbl_Ledger[[#This Row],[Account_Type]]="Expense",-ABS(tbl_Ledger[[#This Row],[Amount]]*tbl_Ledger[[#This Row],[Rate_to_NGN]]),tbl_Ledger[[#This Row],[Amount]]*tbl_Ledger[[#This Row],[Rate_to_NGN]])</f>
        <v>-101000</v>
      </c>
      <c r="R169" s="25" t="str">
        <f>_xlfn.XLOOKUP(tbl_Ledger[[#This Row],[Account_Code]], tbl_Accounts[Account_Code], tbl_Accounts[Type])</f>
        <v>COGS</v>
      </c>
      <c r="S169" s="25" t="str">
        <f>_xlfn.XLOOKUP(tbl_Ledger[[#This Row],[Account_Code]], tbl_Accounts[Account_Code], tbl_Accounts[PL_Bucket])</f>
        <v>COGS</v>
      </c>
      <c r="T169" s="25">
        <f t="shared" si="2"/>
        <v>-101000</v>
      </c>
    </row>
    <row r="170" spans="1:20">
      <c r="A170" t="s">
        <v>558</v>
      </c>
      <c r="B170" s="7">
        <v>45850</v>
      </c>
      <c r="C170" t="s">
        <v>93</v>
      </c>
      <c r="D170" t="s">
        <v>94</v>
      </c>
      <c r="E170" t="s">
        <v>95</v>
      </c>
      <c r="F170" s="12" t="s">
        <v>24</v>
      </c>
      <c r="G170" t="s">
        <v>25</v>
      </c>
      <c r="H170" t="s">
        <v>559</v>
      </c>
      <c r="I170" t="s">
        <v>71</v>
      </c>
      <c r="J170" s="6">
        <v>35300</v>
      </c>
      <c r="K170" t="s">
        <v>3</v>
      </c>
      <c r="L170" t="s">
        <v>560</v>
      </c>
      <c r="M170" t="s">
        <v>3</v>
      </c>
      <c r="N170" s="25" t="str">
        <f>TEXT(tbl_Ledger[[#This Row],[Date]],"yyyy-mm")</f>
        <v>2025-07</v>
      </c>
      <c r="O170" s="25" t="str">
        <f>TEXT(tbl_Ledger[[#This Row],[Date]],"yyyy-mm") &amp; TRIM(tbl_Ledger[[#This Row],[Currency]])</f>
        <v>2025-07NGN</v>
      </c>
      <c r="P170" s="25">
        <f>_xlfn.XLOOKUP(tbl_Ledger[[#This Row],[Key]], tbl_FX[Key], tbl_FX[Rate_to_NGN])</f>
        <v>1</v>
      </c>
      <c r="Q170" s="37">
        <f>IF(tbl_Ledger[[#This Row],[Account_Type]]="Expense",-ABS(tbl_Ledger[[#This Row],[Amount]]*tbl_Ledger[[#This Row],[Rate_to_NGN]]),tbl_Ledger[[#This Row],[Amount]]*tbl_Ledger[[#This Row],[Rate_to_NGN]])</f>
        <v>35300</v>
      </c>
      <c r="R170" s="25" t="str">
        <f>_xlfn.XLOOKUP(tbl_Ledger[[#This Row],[Account_Code]], tbl_Accounts[Account_Code], tbl_Accounts[Type])</f>
        <v>Revenue</v>
      </c>
      <c r="S170" s="25" t="str">
        <f>_xlfn.XLOOKUP(tbl_Ledger[[#This Row],[Account_Code]], tbl_Accounts[Account_Code], tbl_Accounts[PL_Bucket])</f>
        <v>Revenue</v>
      </c>
      <c r="T170" s="25">
        <f t="shared" si="2"/>
        <v>35300</v>
      </c>
    </row>
    <row r="171" spans="1:20">
      <c r="A171" t="s">
        <v>561</v>
      </c>
      <c r="B171" s="7">
        <v>45850</v>
      </c>
      <c r="C171" t="s">
        <v>93</v>
      </c>
      <c r="D171" t="s">
        <v>94</v>
      </c>
      <c r="E171" t="s">
        <v>99</v>
      </c>
      <c r="F171" s="12" t="s">
        <v>24</v>
      </c>
      <c r="G171" t="s">
        <v>25</v>
      </c>
      <c r="H171" t="s">
        <v>562</v>
      </c>
      <c r="I171" t="s">
        <v>71</v>
      </c>
      <c r="J171" s="6">
        <v>37200</v>
      </c>
      <c r="K171" t="s">
        <v>3</v>
      </c>
      <c r="L171" t="s">
        <v>563</v>
      </c>
      <c r="M171" t="s">
        <v>3</v>
      </c>
      <c r="N171" s="25" t="str">
        <f>TEXT(tbl_Ledger[[#This Row],[Date]],"yyyy-mm")</f>
        <v>2025-07</v>
      </c>
      <c r="O171" s="25" t="str">
        <f>TEXT(tbl_Ledger[[#This Row],[Date]],"yyyy-mm") &amp; TRIM(tbl_Ledger[[#This Row],[Currency]])</f>
        <v>2025-07NGN</v>
      </c>
      <c r="P171" s="25">
        <f>_xlfn.XLOOKUP(tbl_Ledger[[#This Row],[Key]], tbl_FX[Key], tbl_FX[Rate_to_NGN])</f>
        <v>1</v>
      </c>
      <c r="Q171" s="37">
        <f>IF(tbl_Ledger[[#This Row],[Account_Type]]="Expense",-ABS(tbl_Ledger[[#This Row],[Amount]]*tbl_Ledger[[#This Row],[Rate_to_NGN]]),tbl_Ledger[[#This Row],[Amount]]*tbl_Ledger[[#This Row],[Rate_to_NGN]])</f>
        <v>37200</v>
      </c>
      <c r="R171" s="25" t="str">
        <f>_xlfn.XLOOKUP(tbl_Ledger[[#This Row],[Account_Code]], tbl_Accounts[Account_Code], tbl_Accounts[Type])</f>
        <v>Revenue</v>
      </c>
      <c r="S171" s="25" t="str">
        <f>_xlfn.XLOOKUP(tbl_Ledger[[#This Row],[Account_Code]], tbl_Accounts[Account_Code], tbl_Accounts[PL_Bucket])</f>
        <v>Revenue</v>
      </c>
      <c r="T171" s="25">
        <f t="shared" si="2"/>
        <v>37200</v>
      </c>
    </row>
    <row r="172" spans="1:20">
      <c r="A172" t="s">
        <v>564</v>
      </c>
      <c r="B172" s="7">
        <v>45850</v>
      </c>
      <c r="C172" t="s">
        <v>93</v>
      </c>
      <c r="D172" t="s">
        <v>94</v>
      </c>
      <c r="E172" t="s">
        <v>103</v>
      </c>
      <c r="F172" s="12" t="s">
        <v>24</v>
      </c>
      <c r="G172" t="s">
        <v>25</v>
      </c>
      <c r="H172" t="s">
        <v>565</v>
      </c>
      <c r="I172" t="s">
        <v>71</v>
      </c>
      <c r="J172" s="6">
        <v>37500</v>
      </c>
      <c r="K172" t="s">
        <v>3</v>
      </c>
      <c r="L172" t="s">
        <v>566</v>
      </c>
      <c r="M172" t="s">
        <v>3</v>
      </c>
      <c r="N172" s="25" t="str">
        <f>TEXT(tbl_Ledger[[#This Row],[Date]],"yyyy-mm")</f>
        <v>2025-07</v>
      </c>
      <c r="O172" s="25" t="str">
        <f>TEXT(tbl_Ledger[[#This Row],[Date]],"yyyy-mm") &amp; TRIM(tbl_Ledger[[#This Row],[Currency]])</f>
        <v>2025-07NGN</v>
      </c>
      <c r="P172" s="25">
        <f>_xlfn.XLOOKUP(tbl_Ledger[[#This Row],[Key]], tbl_FX[Key], tbl_FX[Rate_to_NGN])</f>
        <v>1</v>
      </c>
      <c r="Q172" s="37">
        <f>IF(tbl_Ledger[[#This Row],[Account_Type]]="Expense",-ABS(tbl_Ledger[[#This Row],[Amount]]*tbl_Ledger[[#This Row],[Rate_to_NGN]]),tbl_Ledger[[#This Row],[Amount]]*tbl_Ledger[[#This Row],[Rate_to_NGN]])</f>
        <v>37500</v>
      </c>
      <c r="R172" s="25" t="str">
        <f>_xlfn.XLOOKUP(tbl_Ledger[[#This Row],[Account_Code]], tbl_Accounts[Account_Code], tbl_Accounts[Type])</f>
        <v>Revenue</v>
      </c>
      <c r="S172" s="25" t="str">
        <f>_xlfn.XLOOKUP(tbl_Ledger[[#This Row],[Account_Code]], tbl_Accounts[Account_Code], tbl_Accounts[PL_Bucket])</f>
        <v>Revenue</v>
      </c>
      <c r="T172" s="25">
        <f t="shared" si="2"/>
        <v>37500</v>
      </c>
    </row>
    <row r="173" spans="1:20">
      <c r="A173" t="s">
        <v>567</v>
      </c>
      <c r="B173" s="7">
        <v>45850</v>
      </c>
      <c r="C173" t="s">
        <v>93</v>
      </c>
      <c r="D173" t="s">
        <v>94</v>
      </c>
      <c r="E173" t="s">
        <v>160</v>
      </c>
      <c r="F173" s="12" t="s">
        <v>24</v>
      </c>
      <c r="G173" t="s">
        <v>25</v>
      </c>
      <c r="H173" t="s">
        <v>568</v>
      </c>
      <c r="I173" t="s">
        <v>71</v>
      </c>
      <c r="J173" s="6">
        <v>35900</v>
      </c>
      <c r="K173" t="s">
        <v>3</v>
      </c>
      <c r="L173" t="s">
        <v>566</v>
      </c>
      <c r="M173" t="s">
        <v>3</v>
      </c>
      <c r="N173" s="25" t="str">
        <f>TEXT(tbl_Ledger[[#This Row],[Date]],"yyyy-mm")</f>
        <v>2025-07</v>
      </c>
      <c r="O173" s="25" t="str">
        <f>TEXT(tbl_Ledger[[#This Row],[Date]],"yyyy-mm") &amp; TRIM(tbl_Ledger[[#This Row],[Currency]])</f>
        <v>2025-07NGN</v>
      </c>
      <c r="P173" s="25">
        <f>_xlfn.XLOOKUP(tbl_Ledger[[#This Row],[Key]], tbl_FX[Key], tbl_FX[Rate_to_NGN])</f>
        <v>1</v>
      </c>
      <c r="Q173" s="37">
        <f>IF(tbl_Ledger[[#This Row],[Account_Type]]="Expense",-ABS(tbl_Ledger[[#This Row],[Amount]]*tbl_Ledger[[#This Row],[Rate_to_NGN]]),tbl_Ledger[[#This Row],[Amount]]*tbl_Ledger[[#This Row],[Rate_to_NGN]])</f>
        <v>35900</v>
      </c>
      <c r="R173" s="25" t="str">
        <f>_xlfn.XLOOKUP(tbl_Ledger[[#This Row],[Account_Code]], tbl_Accounts[Account_Code], tbl_Accounts[Type])</f>
        <v>Revenue</v>
      </c>
      <c r="S173" s="25" t="str">
        <f>_xlfn.XLOOKUP(tbl_Ledger[[#This Row],[Account_Code]], tbl_Accounts[Account_Code], tbl_Accounts[PL_Bucket])</f>
        <v>Revenue</v>
      </c>
      <c r="T173" s="25">
        <f t="shared" si="2"/>
        <v>35900</v>
      </c>
    </row>
    <row r="174" spans="1:20">
      <c r="A174" t="s">
        <v>569</v>
      </c>
      <c r="B174" s="7">
        <v>45850</v>
      </c>
      <c r="C174" t="s">
        <v>93</v>
      </c>
      <c r="D174" t="s">
        <v>94</v>
      </c>
      <c r="E174" t="s">
        <v>107</v>
      </c>
      <c r="F174" s="12" t="s">
        <v>24</v>
      </c>
      <c r="G174" t="s">
        <v>25</v>
      </c>
      <c r="H174" t="s">
        <v>570</v>
      </c>
      <c r="I174" t="s">
        <v>71</v>
      </c>
      <c r="J174" s="6">
        <v>35700</v>
      </c>
      <c r="K174" t="s">
        <v>3</v>
      </c>
      <c r="L174" t="s">
        <v>571</v>
      </c>
      <c r="M174" t="s">
        <v>3</v>
      </c>
      <c r="N174" s="25" t="str">
        <f>TEXT(tbl_Ledger[[#This Row],[Date]],"yyyy-mm")</f>
        <v>2025-07</v>
      </c>
      <c r="O174" s="25" t="str">
        <f>TEXT(tbl_Ledger[[#This Row],[Date]],"yyyy-mm") &amp; TRIM(tbl_Ledger[[#This Row],[Currency]])</f>
        <v>2025-07NGN</v>
      </c>
      <c r="P174" s="25">
        <f>_xlfn.XLOOKUP(tbl_Ledger[[#This Row],[Key]], tbl_FX[Key], tbl_FX[Rate_to_NGN])</f>
        <v>1</v>
      </c>
      <c r="Q174" s="37">
        <f>IF(tbl_Ledger[[#This Row],[Account_Type]]="Expense",-ABS(tbl_Ledger[[#This Row],[Amount]]*tbl_Ledger[[#This Row],[Rate_to_NGN]]),tbl_Ledger[[#This Row],[Amount]]*tbl_Ledger[[#This Row],[Rate_to_NGN]])</f>
        <v>35700</v>
      </c>
      <c r="R174" s="25" t="str">
        <f>_xlfn.XLOOKUP(tbl_Ledger[[#This Row],[Account_Code]], tbl_Accounts[Account_Code], tbl_Accounts[Type])</f>
        <v>Revenue</v>
      </c>
      <c r="S174" s="25" t="str">
        <f>_xlfn.XLOOKUP(tbl_Ledger[[#This Row],[Account_Code]], tbl_Accounts[Account_Code], tbl_Accounts[PL_Bucket])</f>
        <v>Revenue</v>
      </c>
      <c r="T174" s="25">
        <f t="shared" si="2"/>
        <v>35700</v>
      </c>
    </row>
    <row r="175" spans="1:20">
      <c r="A175" t="s">
        <v>572</v>
      </c>
      <c r="B175" s="7">
        <v>45850</v>
      </c>
      <c r="C175" t="s">
        <v>93</v>
      </c>
      <c r="D175" t="s">
        <v>111</v>
      </c>
      <c r="E175" t="s">
        <v>112</v>
      </c>
      <c r="F175" s="12" t="s">
        <v>24</v>
      </c>
      <c r="G175" t="s">
        <v>25</v>
      </c>
      <c r="H175" t="s">
        <v>573</v>
      </c>
      <c r="I175" t="s">
        <v>71</v>
      </c>
      <c r="J175" s="6">
        <v>58100</v>
      </c>
      <c r="K175" t="s">
        <v>3</v>
      </c>
      <c r="L175" t="s">
        <v>574</v>
      </c>
      <c r="M175" t="s">
        <v>3</v>
      </c>
      <c r="N175" s="25" t="str">
        <f>TEXT(tbl_Ledger[[#This Row],[Date]],"yyyy-mm")</f>
        <v>2025-07</v>
      </c>
      <c r="O175" s="25" t="str">
        <f>TEXT(tbl_Ledger[[#This Row],[Date]],"yyyy-mm") &amp; TRIM(tbl_Ledger[[#This Row],[Currency]])</f>
        <v>2025-07NGN</v>
      </c>
      <c r="P175" s="25">
        <f>_xlfn.XLOOKUP(tbl_Ledger[[#This Row],[Key]], tbl_FX[Key], tbl_FX[Rate_to_NGN])</f>
        <v>1</v>
      </c>
      <c r="Q175" s="37">
        <f>IF(tbl_Ledger[[#This Row],[Account_Type]]="Expense",-ABS(tbl_Ledger[[#This Row],[Amount]]*tbl_Ledger[[#This Row],[Rate_to_NGN]]),tbl_Ledger[[#This Row],[Amount]]*tbl_Ledger[[#This Row],[Rate_to_NGN]])</f>
        <v>58100</v>
      </c>
      <c r="R175" s="25" t="str">
        <f>_xlfn.XLOOKUP(tbl_Ledger[[#This Row],[Account_Code]], tbl_Accounts[Account_Code], tbl_Accounts[Type])</f>
        <v>Revenue</v>
      </c>
      <c r="S175" s="25" t="str">
        <f>_xlfn.XLOOKUP(tbl_Ledger[[#This Row],[Account_Code]], tbl_Accounts[Account_Code], tbl_Accounts[PL_Bucket])</f>
        <v>Revenue</v>
      </c>
      <c r="T175" s="25">
        <f t="shared" si="2"/>
        <v>58100</v>
      </c>
    </row>
    <row r="176" spans="1:20">
      <c r="A176" t="s">
        <v>575</v>
      </c>
      <c r="B176" s="7">
        <v>45850</v>
      </c>
      <c r="C176" t="s">
        <v>93</v>
      </c>
      <c r="D176" t="s">
        <v>111</v>
      </c>
      <c r="E176" t="s">
        <v>116</v>
      </c>
      <c r="F176" s="12" t="s">
        <v>24</v>
      </c>
      <c r="G176" t="s">
        <v>25</v>
      </c>
      <c r="H176" t="s">
        <v>576</v>
      </c>
      <c r="I176" t="s">
        <v>71</v>
      </c>
      <c r="J176" s="6">
        <v>60300</v>
      </c>
      <c r="K176" t="s">
        <v>3</v>
      </c>
      <c r="L176" t="s">
        <v>574</v>
      </c>
      <c r="M176" t="s">
        <v>3</v>
      </c>
      <c r="N176" s="25" t="str">
        <f>TEXT(tbl_Ledger[[#This Row],[Date]],"yyyy-mm")</f>
        <v>2025-07</v>
      </c>
      <c r="O176" s="25" t="str">
        <f>TEXT(tbl_Ledger[[#This Row],[Date]],"yyyy-mm") &amp; TRIM(tbl_Ledger[[#This Row],[Currency]])</f>
        <v>2025-07NGN</v>
      </c>
      <c r="P176" s="25">
        <f>_xlfn.XLOOKUP(tbl_Ledger[[#This Row],[Key]], tbl_FX[Key], tbl_FX[Rate_to_NGN])</f>
        <v>1</v>
      </c>
      <c r="Q176" s="37">
        <f>IF(tbl_Ledger[[#This Row],[Account_Type]]="Expense",-ABS(tbl_Ledger[[#This Row],[Amount]]*tbl_Ledger[[#This Row],[Rate_to_NGN]]),tbl_Ledger[[#This Row],[Amount]]*tbl_Ledger[[#This Row],[Rate_to_NGN]])</f>
        <v>60300</v>
      </c>
      <c r="R176" s="25" t="str">
        <f>_xlfn.XLOOKUP(tbl_Ledger[[#This Row],[Account_Code]], tbl_Accounts[Account_Code], tbl_Accounts[Type])</f>
        <v>Revenue</v>
      </c>
      <c r="S176" s="25" t="str">
        <f>_xlfn.XLOOKUP(tbl_Ledger[[#This Row],[Account_Code]], tbl_Accounts[Account_Code], tbl_Accounts[PL_Bucket])</f>
        <v>Revenue</v>
      </c>
      <c r="T176" s="25">
        <f t="shared" si="2"/>
        <v>60300</v>
      </c>
    </row>
    <row r="177" spans="1:20">
      <c r="A177" t="s">
        <v>577</v>
      </c>
      <c r="B177" s="7">
        <v>45850</v>
      </c>
      <c r="C177" t="s">
        <v>93</v>
      </c>
      <c r="D177" t="s">
        <v>111</v>
      </c>
      <c r="E177" t="s">
        <v>119</v>
      </c>
      <c r="F177" s="12" t="s">
        <v>24</v>
      </c>
      <c r="G177" t="s">
        <v>25</v>
      </c>
      <c r="H177" t="s">
        <v>578</v>
      </c>
      <c r="I177" t="s">
        <v>71</v>
      </c>
      <c r="J177" s="6">
        <v>62100</v>
      </c>
      <c r="K177" t="s">
        <v>3</v>
      </c>
      <c r="L177" t="s">
        <v>574</v>
      </c>
      <c r="M177" t="s">
        <v>3</v>
      </c>
      <c r="N177" s="25" t="str">
        <f>TEXT(tbl_Ledger[[#This Row],[Date]],"yyyy-mm")</f>
        <v>2025-07</v>
      </c>
      <c r="O177" s="25" t="str">
        <f>TEXT(tbl_Ledger[[#This Row],[Date]],"yyyy-mm") &amp; TRIM(tbl_Ledger[[#This Row],[Currency]])</f>
        <v>2025-07NGN</v>
      </c>
      <c r="P177" s="25">
        <f>_xlfn.XLOOKUP(tbl_Ledger[[#This Row],[Key]], tbl_FX[Key], tbl_FX[Rate_to_NGN])</f>
        <v>1</v>
      </c>
      <c r="Q177" s="37">
        <f>IF(tbl_Ledger[[#This Row],[Account_Type]]="Expense",-ABS(tbl_Ledger[[#This Row],[Amount]]*tbl_Ledger[[#This Row],[Rate_to_NGN]]),tbl_Ledger[[#This Row],[Amount]]*tbl_Ledger[[#This Row],[Rate_to_NGN]])</f>
        <v>62100</v>
      </c>
      <c r="R177" s="25" t="str">
        <f>_xlfn.XLOOKUP(tbl_Ledger[[#This Row],[Account_Code]], tbl_Accounts[Account_Code], tbl_Accounts[Type])</f>
        <v>Revenue</v>
      </c>
      <c r="S177" s="25" t="str">
        <f>_xlfn.XLOOKUP(tbl_Ledger[[#This Row],[Account_Code]], tbl_Accounts[Account_Code], tbl_Accounts[PL_Bucket])</f>
        <v>Revenue</v>
      </c>
      <c r="T177" s="25">
        <f t="shared" si="2"/>
        <v>62100</v>
      </c>
    </row>
    <row r="178" spans="1:20">
      <c r="A178" t="s">
        <v>579</v>
      </c>
      <c r="B178" s="7">
        <v>45850</v>
      </c>
      <c r="C178" t="s">
        <v>93</v>
      </c>
      <c r="D178" t="s">
        <v>111</v>
      </c>
      <c r="E178" t="s">
        <v>170</v>
      </c>
      <c r="F178" s="12" t="s">
        <v>24</v>
      </c>
      <c r="G178" t="s">
        <v>25</v>
      </c>
      <c r="H178" t="s">
        <v>580</v>
      </c>
      <c r="I178" t="s">
        <v>71</v>
      </c>
      <c r="J178" s="6">
        <v>57300</v>
      </c>
      <c r="K178" t="s">
        <v>3</v>
      </c>
      <c r="L178" t="s">
        <v>574</v>
      </c>
      <c r="M178" t="s">
        <v>3</v>
      </c>
      <c r="N178" s="25" t="str">
        <f>TEXT(tbl_Ledger[[#This Row],[Date]],"yyyy-mm")</f>
        <v>2025-07</v>
      </c>
      <c r="O178" s="25" t="str">
        <f>TEXT(tbl_Ledger[[#This Row],[Date]],"yyyy-mm") &amp; TRIM(tbl_Ledger[[#This Row],[Currency]])</f>
        <v>2025-07NGN</v>
      </c>
      <c r="P178" s="25">
        <f>_xlfn.XLOOKUP(tbl_Ledger[[#This Row],[Key]], tbl_FX[Key], tbl_FX[Rate_to_NGN])</f>
        <v>1</v>
      </c>
      <c r="Q178" s="37">
        <f>IF(tbl_Ledger[[#This Row],[Account_Type]]="Expense",-ABS(tbl_Ledger[[#This Row],[Amount]]*tbl_Ledger[[#This Row],[Rate_to_NGN]]),tbl_Ledger[[#This Row],[Amount]]*tbl_Ledger[[#This Row],[Rate_to_NGN]])</f>
        <v>57300</v>
      </c>
      <c r="R178" s="25" t="str">
        <f>_xlfn.XLOOKUP(tbl_Ledger[[#This Row],[Account_Code]], tbl_Accounts[Account_Code], tbl_Accounts[Type])</f>
        <v>Revenue</v>
      </c>
      <c r="S178" s="25" t="str">
        <f>_xlfn.XLOOKUP(tbl_Ledger[[#This Row],[Account_Code]], tbl_Accounts[Account_Code], tbl_Accounts[PL_Bucket])</f>
        <v>Revenue</v>
      </c>
      <c r="T178" s="25">
        <f t="shared" si="2"/>
        <v>57300</v>
      </c>
    </row>
    <row r="179" spans="1:20">
      <c r="A179" t="s">
        <v>581</v>
      </c>
      <c r="B179" s="7">
        <v>45850</v>
      </c>
      <c r="C179" t="s">
        <v>126</v>
      </c>
      <c r="D179" t="s">
        <v>88</v>
      </c>
      <c r="E179" t="s">
        <v>127</v>
      </c>
      <c r="F179" s="12" t="s">
        <v>29</v>
      </c>
      <c r="G179" t="s">
        <v>30</v>
      </c>
      <c r="H179" t="s">
        <v>582</v>
      </c>
      <c r="I179" t="s">
        <v>71</v>
      </c>
      <c r="J179" s="6">
        <v>40500</v>
      </c>
      <c r="K179" t="s">
        <v>129</v>
      </c>
      <c r="L179" t="s">
        <v>583</v>
      </c>
      <c r="M179" t="s">
        <v>3</v>
      </c>
      <c r="N179" s="25" t="str">
        <f>TEXT(tbl_Ledger[[#This Row],[Date]],"yyyy-mm")</f>
        <v>2025-07</v>
      </c>
      <c r="O179" s="25" t="str">
        <f>TEXT(tbl_Ledger[[#This Row],[Date]],"yyyy-mm") &amp; TRIM(tbl_Ledger[[#This Row],[Currency]])</f>
        <v>2025-07NGN</v>
      </c>
      <c r="P179" s="25">
        <f>_xlfn.XLOOKUP(tbl_Ledger[[#This Row],[Key]], tbl_FX[Key], tbl_FX[Rate_to_NGN])</f>
        <v>1</v>
      </c>
      <c r="Q179" s="37">
        <f>IF(tbl_Ledger[[#This Row],[Account_Type]]="Expense",-ABS(tbl_Ledger[[#This Row],[Amount]]*tbl_Ledger[[#This Row],[Rate_to_NGN]]),tbl_Ledger[[#This Row],[Amount]]*tbl_Ledger[[#This Row],[Rate_to_NGN]])</f>
        <v>40500</v>
      </c>
      <c r="R179" s="25" t="str">
        <f>_xlfn.XLOOKUP(tbl_Ledger[[#This Row],[Account_Code]], tbl_Accounts[Account_Code], tbl_Accounts[Type])</f>
        <v>Revenue</v>
      </c>
      <c r="S179" s="25" t="str">
        <f>_xlfn.XLOOKUP(tbl_Ledger[[#This Row],[Account_Code]], tbl_Accounts[Account_Code], tbl_Accounts[PL_Bucket])</f>
        <v>Revenue</v>
      </c>
      <c r="T179" s="25">
        <f t="shared" si="2"/>
        <v>40500</v>
      </c>
    </row>
    <row r="180" spans="1:20">
      <c r="A180" t="s">
        <v>584</v>
      </c>
      <c r="B180" s="7">
        <v>45850</v>
      </c>
      <c r="C180" t="s">
        <v>126</v>
      </c>
      <c r="D180" t="s">
        <v>88</v>
      </c>
      <c r="E180" t="s">
        <v>132</v>
      </c>
      <c r="F180" s="12" t="s">
        <v>29</v>
      </c>
      <c r="G180" t="s">
        <v>30</v>
      </c>
      <c r="H180" t="s">
        <v>585</v>
      </c>
      <c r="I180" t="s">
        <v>71</v>
      </c>
      <c r="J180" s="6">
        <v>40400</v>
      </c>
      <c r="K180" t="s">
        <v>134</v>
      </c>
      <c r="L180" t="s">
        <v>583</v>
      </c>
      <c r="M180" t="s">
        <v>3</v>
      </c>
      <c r="N180" s="25" t="str">
        <f>TEXT(tbl_Ledger[[#This Row],[Date]],"yyyy-mm")</f>
        <v>2025-07</v>
      </c>
      <c r="O180" s="25" t="str">
        <f>TEXT(tbl_Ledger[[#This Row],[Date]],"yyyy-mm") &amp; TRIM(tbl_Ledger[[#This Row],[Currency]])</f>
        <v>2025-07NGN</v>
      </c>
      <c r="P180" s="25">
        <f>_xlfn.XLOOKUP(tbl_Ledger[[#This Row],[Key]], tbl_FX[Key], tbl_FX[Rate_to_NGN])</f>
        <v>1</v>
      </c>
      <c r="Q180" s="37">
        <f>IF(tbl_Ledger[[#This Row],[Account_Type]]="Expense",-ABS(tbl_Ledger[[#This Row],[Amount]]*tbl_Ledger[[#This Row],[Rate_to_NGN]]),tbl_Ledger[[#This Row],[Amount]]*tbl_Ledger[[#This Row],[Rate_to_NGN]])</f>
        <v>40400</v>
      </c>
      <c r="R180" s="25" t="str">
        <f>_xlfn.XLOOKUP(tbl_Ledger[[#This Row],[Account_Code]], tbl_Accounts[Account_Code], tbl_Accounts[Type])</f>
        <v>Revenue</v>
      </c>
      <c r="S180" s="25" t="str">
        <f>_xlfn.XLOOKUP(tbl_Ledger[[#This Row],[Account_Code]], tbl_Accounts[Account_Code], tbl_Accounts[PL_Bucket])</f>
        <v>Revenue</v>
      </c>
      <c r="T180" s="25">
        <f t="shared" si="2"/>
        <v>40400</v>
      </c>
    </row>
    <row r="181" spans="1:20">
      <c r="A181" t="s">
        <v>586</v>
      </c>
      <c r="B181" s="7">
        <v>45850</v>
      </c>
      <c r="C181" t="s">
        <v>126</v>
      </c>
      <c r="D181" t="s">
        <v>88</v>
      </c>
      <c r="E181" t="s">
        <v>136</v>
      </c>
      <c r="F181" s="12" t="s">
        <v>29</v>
      </c>
      <c r="G181" t="s">
        <v>30</v>
      </c>
      <c r="H181" t="s">
        <v>587</v>
      </c>
      <c r="I181" t="s">
        <v>71</v>
      </c>
      <c r="J181" s="6">
        <v>48900</v>
      </c>
      <c r="K181" t="s">
        <v>138</v>
      </c>
      <c r="L181" t="s">
        <v>583</v>
      </c>
      <c r="M181" t="s">
        <v>3</v>
      </c>
      <c r="N181" s="25" t="str">
        <f>TEXT(tbl_Ledger[[#This Row],[Date]],"yyyy-mm")</f>
        <v>2025-07</v>
      </c>
      <c r="O181" s="25" t="str">
        <f>TEXT(tbl_Ledger[[#This Row],[Date]],"yyyy-mm") &amp; TRIM(tbl_Ledger[[#This Row],[Currency]])</f>
        <v>2025-07NGN</v>
      </c>
      <c r="P181" s="25">
        <f>_xlfn.XLOOKUP(tbl_Ledger[[#This Row],[Key]], tbl_FX[Key], tbl_FX[Rate_to_NGN])</f>
        <v>1</v>
      </c>
      <c r="Q181" s="37">
        <f>IF(tbl_Ledger[[#This Row],[Account_Type]]="Expense",-ABS(tbl_Ledger[[#This Row],[Amount]]*tbl_Ledger[[#This Row],[Rate_to_NGN]]),tbl_Ledger[[#This Row],[Amount]]*tbl_Ledger[[#This Row],[Rate_to_NGN]])</f>
        <v>48900</v>
      </c>
      <c r="R181" s="25" t="str">
        <f>_xlfn.XLOOKUP(tbl_Ledger[[#This Row],[Account_Code]], tbl_Accounts[Account_Code], tbl_Accounts[Type])</f>
        <v>Revenue</v>
      </c>
      <c r="S181" s="25" t="str">
        <f>_xlfn.XLOOKUP(tbl_Ledger[[#This Row],[Account_Code]], tbl_Accounts[Account_Code], tbl_Accounts[PL_Bucket])</f>
        <v>Revenue</v>
      </c>
      <c r="T181" s="25">
        <f t="shared" si="2"/>
        <v>48900</v>
      </c>
    </row>
    <row r="182" spans="1:20">
      <c r="A182" t="s">
        <v>588</v>
      </c>
      <c r="B182" s="7">
        <v>45850</v>
      </c>
      <c r="C182" t="s">
        <v>126</v>
      </c>
      <c r="D182" t="s">
        <v>88</v>
      </c>
      <c r="E182" t="s">
        <v>140</v>
      </c>
      <c r="F182" s="12" t="s">
        <v>29</v>
      </c>
      <c r="G182" t="s">
        <v>30</v>
      </c>
      <c r="H182" t="s">
        <v>589</v>
      </c>
      <c r="I182" t="s">
        <v>71</v>
      </c>
      <c r="J182" s="6">
        <v>42900</v>
      </c>
      <c r="K182" t="s">
        <v>3</v>
      </c>
      <c r="L182" t="s">
        <v>590</v>
      </c>
      <c r="M182" t="s">
        <v>3</v>
      </c>
      <c r="N182" s="25" t="str">
        <f>TEXT(tbl_Ledger[[#This Row],[Date]],"yyyy-mm")</f>
        <v>2025-07</v>
      </c>
      <c r="O182" s="25" t="str">
        <f>TEXT(tbl_Ledger[[#This Row],[Date]],"yyyy-mm") &amp; TRIM(tbl_Ledger[[#This Row],[Currency]])</f>
        <v>2025-07NGN</v>
      </c>
      <c r="P182" s="25">
        <f>_xlfn.XLOOKUP(tbl_Ledger[[#This Row],[Key]], tbl_FX[Key], tbl_FX[Rate_to_NGN])</f>
        <v>1</v>
      </c>
      <c r="Q182" s="37">
        <f>IF(tbl_Ledger[[#This Row],[Account_Type]]="Expense",-ABS(tbl_Ledger[[#This Row],[Amount]]*tbl_Ledger[[#This Row],[Rate_to_NGN]]),tbl_Ledger[[#This Row],[Amount]]*tbl_Ledger[[#This Row],[Rate_to_NGN]])</f>
        <v>42900</v>
      </c>
      <c r="R182" s="25" t="str">
        <f>_xlfn.XLOOKUP(tbl_Ledger[[#This Row],[Account_Code]], tbl_Accounts[Account_Code], tbl_Accounts[Type])</f>
        <v>Revenue</v>
      </c>
      <c r="S182" s="25" t="str">
        <f>_xlfn.XLOOKUP(tbl_Ledger[[#This Row],[Account_Code]], tbl_Accounts[Account_Code], tbl_Accounts[PL_Bucket])</f>
        <v>Revenue</v>
      </c>
      <c r="T182" s="25">
        <f t="shared" si="2"/>
        <v>42900</v>
      </c>
    </row>
    <row r="183" spans="1:20">
      <c r="A183" t="s">
        <v>591</v>
      </c>
      <c r="B183" s="7">
        <v>45850</v>
      </c>
      <c r="C183" t="s">
        <v>87</v>
      </c>
      <c r="D183" t="s">
        <v>88</v>
      </c>
      <c r="E183" t="s">
        <v>3</v>
      </c>
      <c r="F183" s="12" t="s">
        <v>40</v>
      </c>
      <c r="G183" t="s">
        <v>41</v>
      </c>
      <c r="H183" t="s">
        <v>148</v>
      </c>
      <c r="I183" t="s">
        <v>71</v>
      </c>
      <c r="J183" s="6">
        <v>-426000</v>
      </c>
      <c r="K183" t="s">
        <v>90</v>
      </c>
      <c r="L183" t="s">
        <v>592</v>
      </c>
      <c r="M183" t="s">
        <v>3</v>
      </c>
      <c r="N183" s="25" t="str">
        <f>TEXT(tbl_Ledger[[#This Row],[Date]],"yyyy-mm")</f>
        <v>2025-07</v>
      </c>
      <c r="O183" s="25" t="str">
        <f>TEXT(tbl_Ledger[[#This Row],[Date]],"yyyy-mm") &amp; TRIM(tbl_Ledger[[#This Row],[Currency]])</f>
        <v>2025-07NGN</v>
      </c>
      <c r="P183" s="25">
        <f>_xlfn.XLOOKUP(tbl_Ledger[[#This Row],[Key]], tbl_FX[Key], tbl_FX[Rate_to_NGN])</f>
        <v>1</v>
      </c>
      <c r="Q183" s="37">
        <f>IF(tbl_Ledger[[#This Row],[Account_Type]]="Expense",-ABS(tbl_Ledger[[#This Row],[Amount]]*tbl_Ledger[[#This Row],[Rate_to_NGN]]),tbl_Ledger[[#This Row],[Amount]]*tbl_Ledger[[#This Row],[Rate_to_NGN]])</f>
        <v>-426000</v>
      </c>
      <c r="R183" s="25" t="str">
        <f>_xlfn.XLOOKUP(tbl_Ledger[[#This Row],[Account_Code]], tbl_Accounts[Account_Code], tbl_Accounts[Type])</f>
        <v>COGS</v>
      </c>
      <c r="S183" s="25" t="str">
        <f>_xlfn.XLOOKUP(tbl_Ledger[[#This Row],[Account_Code]], tbl_Accounts[Account_Code], tbl_Accounts[PL_Bucket])</f>
        <v>COGS</v>
      </c>
      <c r="T183" s="25">
        <f t="shared" si="2"/>
        <v>-426000</v>
      </c>
    </row>
    <row r="184" spans="1:20">
      <c r="A184" t="s">
        <v>593</v>
      </c>
      <c r="B184" s="7">
        <v>45850</v>
      </c>
      <c r="C184" t="s">
        <v>87</v>
      </c>
      <c r="D184" t="s">
        <v>111</v>
      </c>
      <c r="E184" t="s">
        <v>3</v>
      </c>
      <c r="F184" s="12" t="s">
        <v>57</v>
      </c>
      <c r="G184" t="s">
        <v>58</v>
      </c>
      <c r="H184" t="s">
        <v>594</v>
      </c>
      <c r="I184" t="s">
        <v>71</v>
      </c>
      <c r="J184" s="6">
        <v>-350000</v>
      </c>
      <c r="K184" t="s">
        <v>595</v>
      </c>
      <c r="L184" t="s">
        <v>596</v>
      </c>
      <c r="M184" t="s">
        <v>3</v>
      </c>
      <c r="N184" s="25" t="str">
        <f>TEXT(tbl_Ledger[[#This Row],[Date]],"yyyy-mm")</f>
        <v>2025-07</v>
      </c>
      <c r="O184" s="25" t="str">
        <f>TEXT(tbl_Ledger[[#This Row],[Date]],"yyyy-mm") &amp; TRIM(tbl_Ledger[[#This Row],[Currency]])</f>
        <v>2025-07NGN</v>
      </c>
      <c r="P184" s="25">
        <f>_xlfn.XLOOKUP(tbl_Ledger[[#This Row],[Key]], tbl_FX[Key], tbl_FX[Rate_to_NGN])</f>
        <v>1</v>
      </c>
      <c r="Q184" s="37">
        <f>IF(tbl_Ledger[[#This Row],[Account_Type]]="Expense",-ABS(tbl_Ledger[[#This Row],[Amount]]*tbl_Ledger[[#This Row],[Rate_to_NGN]]),tbl_Ledger[[#This Row],[Amount]]*tbl_Ledger[[#This Row],[Rate_to_NGN]])</f>
        <v>-350000</v>
      </c>
      <c r="R184" s="25" t="str">
        <f>_xlfn.XLOOKUP(tbl_Ledger[[#This Row],[Account_Code]], tbl_Accounts[Account_Code], tbl_Accounts[Type])</f>
        <v>Opex</v>
      </c>
      <c r="S184" s="25" t="str">
        <f>_xlfn.XLOOKUP(tbl_Ledger[[#This Row],[Account_Code]], tbl_Accounts[Account_Code], tbl_Accounts[PL_Bucket])</f>
        <v>Opex</v>
      </c>
      <c r="T184" s="25">
        <f t="shared" si="2"/>
        <v>-350000</v>
      </c>
    </row>
    <row r="185" spans="1:20">
      <c r="A185" t="s">
        <v>597</v>
      </c>
      <c r="B185" s="7">
        <v>45851</v>
      </c>
      <c r="C185" t="s">
        <v>93</v>
      </c>
      <c r="D185" t="s">
        <v>94</v>
      </c>
      <c r="E185" t="s">
        <v>95</v>
      </c>
      <c r="F185" s="12" t="s">
        <v>24</v>
      </c>
      <c r="G185" t="s">
        <v>25</v>
      </c>
      <c r="H185" t="s">
        <v>598</v>
      </c>
      <c r="I185" t="s">
        <v>71</v>
      </c>
      <c r="J185" s="6">
        <v>38400</v>
      </c>
      <c r="K185" t="s">
        <v>3</v>
      </c>
      <c r="L185" t="s">
        <v>599</v>
      </c>
      <c r="M185" t="s">
        <v>3</v>
      </c>
      <c r="N185" s="25" t="str">
        <f>TEXT(tbl_Ledger[[#This Row],[Date]],"yyyy-mm")</f>
        <v>2025-07</v>
      </c>
      <c r="O185" s="25" t="str">
        <f>TEXT(tbl_Ledger[[#This Row],[Date]],"yyyy-mm") &amp; TRIM(tbl_Ledger[[#This Row],[Currency]])</f>
        <v>2025-07NGN</v>
      </c>
      <c r="P185" s="25">
        <f>_xlfn.XLOOKUP(tbl_Ledger[[#This Row],[Key]], tbl_FX[Key], tbl_FX[Rate_to_NGN])</f>
        <v>1</v>
      </c>
      <c r="Q185" s="37">
        <f>IF(tbl_Ledger[[#This Row],[Account_Type]]="Expense",-ABS(tbl_Ledger[[#This Row],[Amount]]*tbl_Ledger[[#This Row],[Rate_to_NGN]]),tbl_Ledger[[#This Row],[Amount]]*tbl_Ledger[[#This Row],[Rate_to_NGN]])</f>
        <v>38400</v>
      </c>
      <c r="R185" s="25" t="str">
        <f>_xlfn.XLOOKUP(tbl_Ledger[[#This Row],[Account_Code]], tbl_Accounts[Account_Code], tbl_Accounts[Type])</f>
        <v>Revenue</v>
      </c>
      <c r="S185" s="25" t="str">
        <f>_xlfn.XLOOKUP(tbl_Ledger[[#This Row],[Account_Code]], tbl_Accounts[Account_Code], tbl_Accounts[PL_Bucket])</f>
        <v>Revenue</v>
      </c>
      <c r="T185" s="25">
        <f t="shared" si="2"/>
        <v>38400</v>
      </c>
    </row>
    <row r="186" spans="1:20">
      <c r="A186" t="s">
        <v>600</v>
      </c>
      <c r="B186" s="7">
        <v>45851</v>
      </c>
      <c r="C186" t="s">
        <v>93</v>
      </c>
      <c r="D186" t="s">
        <v>94</v>
      </c>
      <c r="E186" t="s">
        <v>99</v>
      </c>
      <c r="F186" s="12" t="s">
        <v>24</v>
      </c>
      <c r="G186" t="s">
        <v>25</v>
      </c>
      <c r="H186" t="s">
        <v>601</v>
      </c>
      <c r="I186" t="s">
        <v>71</v>
      </c>
      <c r="J186" s="6">
        <v>33400</v>
      </c>
      <c r="K186" t="s">
        <v>3</v>
      </c>
      <c r="L186" t="s">
        <v>602</v>
      </c>
      <c r="M186" t="s">
        <v>3</v>
      </c>
      <c r="N186" s="25" t="str">
        <f>TEXT(tbl_Ledger[[#This Row],[Date]],"yyyy-mm")</f>
        <v>2025-07</v>
      </c>
      <c r="O186" s="25" t="str">
        <f>TEXT(tbl_Ledger[[#This Row],[Date]],"yyyy-mm") &amp; TRIM(tbl_Ledger[[#This Row],[Currency]])</f>
        <v>2025-07NGN</v>
      </c>
      <c r="P186" s="25">
        <f>_xlfn.XLOOKUP(tbl_Ledger[[#This Row],[Key]], tbl_FX[Key], tbl_FX[Rate_to_NGN])</f>
        <v>1</v>
      </c>
      <c r="Q186" s="37">
        <f>IF(tbl_Ledger[[#This Row],[Account_Type]]="Expense",-ABS(tbl_Ledger[[#This Row],[Amount]]*tbl_Ledger[[#This Row],[Rate_to_NGN]]),tbl_Ledger[[#This Row],[Amount]]*tbl_Ledger[[#This Row],[Rate_to_NGN]])</f>
        <v>33400</v>
      </c>
      <c r="R186" s="25" t="str">
        <f>_xlfn.XLOOKUP(tbl_Ledger[[#This Row],[Account_Code]], tbl_Accounts[Account_Code], tbl_Accounts[Type])</f>
        <v>Revenue</v>
      </c>
      <c r="S186" s="25" t="str">
        <f>_xlfn.XLOOKUP(tbl_Ledger[[#This Row],[Account_Code]], tbl_Accounts[Account_Code], tbl_Accounts[PL_Bucket])</f>
        <v>Revenue</v>
      </c>
      <c r="T186" s="25">
        <f t="shared" si="2"/>
        <v>33400</v>
      </c>
    </row>
    <row r="187" spans="1:20">
      <c r="A187" t="s">
        <v>603</v>
      </c>
      <c r="B187" s="7">
        <v>45851</v>
      </c>
      <c r="C187" t="s">
        <v>93</v>
      </c>
      <c r="D187" t="s">
        <v>94</v>
      </c>
      <c r="E187" t="s">
        <v>103</v>
      </c>
      <c r="F187" s="12" t="s">
        <v>24</v>
      </c>
      <c r="G187" t="s">
        <v>25</v>
      </c>
      <c r="H187" t="s">
        <v>604</v>
      </c>
      <c r="I187" t="s">
        <v>71</v>
      </c>
      <c r="J187" s="6">
        <v>35200</v>
      </c>
      <c r="K187" t="s">
        <v>3</v>
      </c>
      <c r="L187" t="s">
        <v>605</v>
      </c>
      <c r="M187" t="s">
        <v>3</v>
      </c>
      <c r="N187" s="25" t="str">
        <f>TEXT(tbl_Ledger[[#This Row],[Date]],"yyyy-mm")</f>
        <v>2025-07</v>
      </c>
      <c r="O187" s="25" t="str">
        <f>TEXT(tbl_Ledger[[#This Row],[Date]],"yyyy-mm") &amp; TRIM(tbl_Ledger[[#This Row],[Currency]])</f>
        <v>2025-07NGN</v>
      </c>
      <c r="P187" s="25">
        <f>_xlfn.XLOOKUP(tbl_Ledger[[#This Row],[Key]], tbl_FX[Key], tbl_FX[Rate_to_NGN])</f>
        <v>1</v>
      </c>
      <c r="Q187" s="37">
        <f>IF(tbl_Ledger[[#This Row],[Account_Type]]="Expense",-ABS(tbl_Ledger[[#This Row],[Amount]]*tbl_Ledger[[#This Row],[Rate_to_NGN]]),tbl_Ledger[[#This Row],[Amount]]*tbl_Ledger[[#This Row],[Rate_to_NGN]])</f>
        <v>35200</v>
      </c>
      <c r="R187" s="25" t="str">
        <f>_xlfn.XLOOKUP(tbl_Ledger[[#This Row],[Account_Code]], tbl_Accounts[Account_Code], tbl_Accounts[Type])</f>
        <v>Revenue</v>
      </c>
      <c r="S187" s="25" t="str">
        <f>_xlfn.XLOOKUP(tbl_Ledger[[#This Row],[Account_Code]], tbl_Accounts[Account_Code], tbl_Accounts[PL_Bucket])</f>
        <v>Revenue</v>
      </c>
      <c r="T187" s="25">
        <f t="shared" si="2"/>
        <v>35200</v>
      </c>
    </row>
    <row r="188" spans="1:20">
      <c r="A188" t="s">
        <v>606</v>
      </c>
      <c r="B188" s="7">
        <v>45851</v>
      </c>
      <c r="C188" t="s">
        <v>93</v>
      </c>
      <c r="D188" t="s">
        <v>94</v>
      </c>
      <c r="E188" t="s">
        <v>160</v>
      </c>
      <c r="F188" s="12" t="s">
        <v>24</v>
      </c>
      <c r="G188" t="s">
        <v>25</v>
      </c>
      <c r="H188" t="s">
        <v>607</v>
      </c>
      <c r="I188" t="s">
        <v>71</v>
      </c>
      <c r="J188" s="6">
        <v>38100</v>
      </c>
      <c r="K188" t="s">
        <v>3</v>
      </c>
      <c r="L188" t="s">
        <v>605</v>
      </c>
      <c r="M188" t="s">
        <v>3</v>
      </c>
      <c r="N188" s="25" t="str">
        <f>TEXT(tbl_Ledger[[#This Row],[Date]],"yyyy-mm")</f>
        <v>2025-07</v>
      </c>
      <c r="O188" s="25" t="str">
        <f>TEXT(tbl_Ledger[[#This Row],[Date]],"yyyy-mm") &amp; TRIM(tbl_Ledger[[#This Row],[Currency]])</f>
        <v>2025-07NGN</v>
      </c>
      <c r="P188" s="25">
        <f>_xlfn.XLOOKUP(tbl_Ledger[[#This Row],[Key]], tbl_FX[Key], tbl_FX[Rate_to_NGN])</f>
        <v>1</v>
      </c>
      <c r="Q188" s="37">
        <f>IF(tbl_Ledger[[#This Row],[Account_Type]]="Expense",-ABS(tbl_Ledger[[#This Row],[Amount]]*tbl_Ledger[[#This Row],[Rate_to_NGN]]),tbl_Ledger[[#This Row],[Amount]]*tbl_Ledger[[#This Row],[Rate_to_NGN]])</f>
        <v>38100</v>
      </c>
      <c r="R188" s="25" t="str">
        <f>_xlfn.XLOOKUP(tbl_Ledger[[#This Row],[Account_Code]], tbl_Accounts[Account_Code], tbl_Accounts[Type])</f>
        <v>Revenue</v>
      </c>
      <c r="S188" s="25" t="str">
        <f>_xlfn.XLOOKUP(tbl_Ledger[[#This Row],[Account_Code]], tbl_Accounts[Account_Code], tbl_Accounts[PL_Bucket])</f>
        <v>Revenue</v>
      </c>
      <c r="T188" s="25">
        <f t="shared" si="2"/>
        <v>38100</v>
      </c>
    </row>
    <row r="189" spans="1:20">
      <c r="A189" t="s">
        <v>608</v>
      </c>
      <c r="B189" s="7">
        <v>45851</v>
      </c>
      <c r="C189" t="s">
        <v>93</v>
      </c>
      <c r="D189" t="s">
        <v>94</v>
      </c>
      <c r="E189" t="s">
        <v>107</v>
      </c>
      <c r="F189" s="12" t="s">
        <v>24</v>
      </c>
      <c r="G189" t="s">
        <v>25</v>
      </c>
      <c r="H189" t="s">
        <v>609</v>
      </c>
      <c r="I189" t="s">
        <v>71</v>
      </c>
      <c r="J189" s="6">
        <v>33600</v>
      </c>
      <c r="K189" t="s">
        <v>3</v>
      </c>
      <c r="L189" t="s">
        <v>610</v>
      </c>
      <c r="M189" t="s">
        <v>3</v>
      </c>
      <c r="N189" s="25" t="str">
        <f>TEXT(tbl_Ledger[[#This Row],[Date]],"yyyy-mm")</f>
        <v>2025-07</v>
      </c>
      <c r="O189" s="25" t="str">
        <f>TEXT(tbl_Ledger[[#This Row],[Date]],"yyyy-mm") &amp; TRIM(tbl_Ledger[[#This Row],[Currency]])</f>
        <v>2025-07NGN</v>
      </c>
      <c r="P189" s="25">
        <f>_xlfn.XLOOKUP(tbl_Ledger[[#This Row],[Key]], tbl_FX[Key], tbl_FX[Rate_to_NGN])</f>
        <v>1</v>
      </c>
      <c r="Q189" s="37">
        <f>IF(tbl_Ledger[[#This Row],[Account_Type]]="Expense",-ABS(tbl_Ledger[[#This Row],[Amount]]*tbl_Ledger[[#This Row],[Rate_to_NGN]]),tbl_Ledger[[#This Row],[Amount]]*tbl_Ledger[[#This Row],[Rate_to_NGN]])</f>
        <v>33600</v>
      </c>
      <c r="R189" s="25" t="str">
        <f>_xlfn.XLOOKUP(tbl_Ledger[[#This Row],[Account_Code]], tbl_Accounts[Account_Code], tbl_Accounts[Type])</f>
        <v>Revenue</v>
      </c>
      <c r="S189" s="25" t="str">
        <f>_xlfn.XLOOKUP(tbl_Ledger[[#This Row],[Account_Code]], tbl_Accounts[Account_Code], tbl_Accounts[PL_Bucket])</f>
        <v>Revenue</v>
      </c>
      <c r="T189" s="25">
        <f t="shared" si="2"/>
        <v>33600</v>
      </c>
    </row>
    <row r="190" spans="1:20">
      <c r="A190" t="s">
        <v>611</v>
      </c>
      <c r="B190" s="7">
        <v>45851</v>
      </c>
      <c r="C190" t="s">
        <v>93</v>
      </c>
      <c r="D190" t="s">
        <v>111</v>
      </c>
      <c r="E190" t="s">
        <v>112</v>
      </c>
      <c r="F190" s="12" t="s">
        <v>24</v>
      </c>
      <c r="G190" t="s">
        <v>25</v>
      </c>
      <c r="H190" t="s">
        <v>612</v>
      </c>
      <c r="I190" t="s">
        <v>71</v>
      </c>
      <c r="J190" s="6">
        <v>58600</v>
      </c>
      <c r="K190" t="s">
        <v>3</v>
      </c>
      <c r="L190" t="s">
        <v>613</v>
      </c>
      <c r="M190" t="s">
        <v>3</v>
      </c>
      <c r="N190" s="25" t="str">
        <f>TEXT(tbl_Ledger[[#This Row],[Date]],"yyyy-mm")</f>
        <v>2025-07</v>
      </c>
      <c r="O190" s="25" t="str">
        <f>TEXT(tbl_Ledger[[#This Row],[Date]],"yyyy-mm") &amp; TRIM(tbl_Ledger[[#This Row],[Currency]])</f>
        <v>2025-07NGN</v>
      </c>
      <c r="P190" s="25">
        <f>_xlfn.XLOOKUP(tbl_Ledger[[#This Row],[Key]], tbl_FX[Key], tbl_FX[Rate_to_NGN])</f>
        <v>1</v>
      </c>
      <c r="Q190" s="37">
        <f>IF(tbl_Ledger[[#This Row],[Account_Type]]="Expense",-ABS(tbl_Ledger[[#This Row],[Amount]]*tbl_Ledger[[#This Row],[Rate_to_NGN]]),tbl_Ledger[[#This Row],[Amount]]*tbl_Ledger[[#This Row],[Rate_to_NGN]])</f>
        <v>58600</v>
      </c>
      <c r="R190" s="25" t="str">
        <f>_xlfn.XLOOKUP(tbl_Ledger[[#This Row],[Account_Code]], tbl_Accounts[Account_Code], tbl_Accounts[Type])</f>
        <v>Revenue</v>
      </c>
      <c r="S190" s="25" t="str">
        <f>_xlfn.XLOOKUP(tbl_Ledger[[#This Row],[Account_Code]], tbl_Accounts[Account_Code], tbl_Accounts[PL_Bucket])</f>
        <v>Revenue</v>
      </c>
      <c r="T190" s="25">
        <f t="shared" si="2"/>
        <v>58600</v>
      </c>
    </row>
    <row r="191" spans="1:20">
      <c r="A191" t="s">
        <v>614</v>
      </c>
      <c r="B191" s="7">
        <v>45851</v>
      </c>
      <c r="C191" t="s">
        <v>93</v>
      </c>
      <c r="D191" t="s">
        <v>111</v>
      </c>
      <c r="E191" t="s">
        <v>116</v>
      </c>
      <c r="F191" s="12" t="s">
        <v>24</v>
      </c>
      <c r="G191" t="s">
        <v>25</v>
      </c>
      <c r="H191" t="s">
        <v>615</v>
      </c>
      <c r="I191" t="s">
        <v>71</v>
      </c>
      <c r="J191" s="6">
        <v>56900</v>
      </c>
      <c r="K191" t="s">
        <v>3</v>
      </c>
      <c r="L191" t="s">
        <v>613</v>
      </c>
      <c r="M191" t="s">
        <v>3</v>
      </c>
      <c r="N191" s="25" t="str">
        <f>TEXT(tbl_Ledger[[#This Row],[Date]],"yyyy-mm")</f>
        <v>2025-07</v>
      </c>
      <c r="O191" s="25" t="str">
        <f>TEXT(tbl_Ledger[[#This Row],[Date]],"yyyy-mm") &amp; TRIM(tbl_Ledger[[#This Row],[Currency]])</f>
        <v>2025-07NGN</v>
      </c>
      <c r="P191" s="25">
        <f>_xlfn.XLOOKUP(tbl_Ledger[[#This Row],[Key]], tbl_FX[Key], tbl_FX[Rate_to_NGN])</f>
        <v>1</v>
      </c>
      <c r="Q191" s="37">
        <f>IF(tbl_Ledger[[#This Row],[Account_Type]]="Expense",-ABS(tbl_Ledger[[#This Row],[Amount]]*tbl_Ledger[[#This Row],[Rate_to_NGN]]),tbl_Ledger[[#This Row],[Amount]]*tbl_Ledger[[#This Row],[Rate_to_NGN]])</f>
        <v>56900</v>
      </c>
      <c r="R191" s="25" t="str">
        <f>_xlfn.XLOOKUP(tbl_Ledger[[#This Row],[Account_Code]], tbl_Accounts[Account_Code], tbl_Accounts[Type])</f>
        <v>Revenue</v>
      </c>
      <c r="S191" s="25" t="str">
        <f>_xlfn.XLOOKUP(tbl_Ledger[[#This Row],[Account_Code]], tbl_Accounts[Account_Code], tbl_Accounts[PL_Bucket])</f>
        <v>Revenue</v>
      </c>
      <c r="T191" s="25">
        <f t="shared" si="2"/>
        <v>56900</v>
      </c>
    </row>
    <row r="192" spans="1:20">
      <c r="A192" t="s">
        <v>616</v>
      </c>
      <c r="B192" s="7">
        <v>45851</v>
      </c>
      <c r="C192" t="s">
        <v>93</v>
      </c>
      <c r="D192" t="s">
        <v>111</v>
      </c>
      <c r="E192" t="s">
        <v>119</v>
      </c>
      <c r="F192" s="12" t="s">
        <v>24</v>
      </c>
      <c r="G192" t="s">
        <v>25</v>
      </c>
      <c r="H192" t="s">
        <v>617</v>
      </c>
      <c r="I192" t="s">
        <v>71</v>
      </c>
      <c r="J192" s="6">
        <v>61800</v>
      </c>
      <c r="K192" t="s">
        <v>3</v>
      </c>
      <c r="L192" t="s">
        <v>613</v>
      </c>
      <c r="M192" t="s">
        <v>3</v>
      </c>
      <c r="N192" s="25" t="str">
        <f>TEXT(tbl_Ledger[[#This Row],[Date]],"yyyy-mm")</f>
        <v>2025-07</v>
      </c>
      <c r="O192" s="25" t="str">
        <f>TEXT(tbl_Ledger[[#This Row],[Date]],"yyyy-mm") &amp; TRIM(tbl_Ledger[[#This Row],[Currency]])</f>
        <v>2025-07NGN</v>
      </c>
      <c r="P192" s="25">
        <f>_xlfn.XLOOKUP(tbl_Ledger[[#This Row],[Key]], tbl_FX[Key], tbl_FX[Rate_to_NGN])</f>
        <v>1</v>
      </c>
      <c r="Q192" s="37">
        <f>IF(tbl_Ledger[[#This Row],[Account_Type]]="Expense",-ABS(tbl_Ledger[[#This Row],[Amount]]*tbl_Ledger[[#This Row],[Rate_to_NGN]]),tbl_Ledger[[#This Row],[Amount]]*tbl_Ledger[[#This Row],[Rate_to_NGN]])</f>
        <v>61800</v>
      </c>
      <c r="R192" s="25" t="str">
        <f>_xlfn.XLOOKUP(tbl_Ledger[[#This Row],[Account_Code]], tbl_Accounts[Account_Code], tbl_Accounts[Type])</f>
        <v>Revenue</v>
      </c>
      <c r="S192" s="25" t="str">
        <f>_xlfn.XLOOKUP(tbl_Ledger[[#This Row],[Account_Code]], tbl_Accounts[Account_Code], tbl_Accounts[PL_Bucket])</f>
        <v>Revenue</v>
      </c>
      <c r="T192" s="25">
        <f t="shared" si="2"/>
        <v>61800</v>
      </c>
    </row>
    <row r="193" spans="1:20">
      <c r="A193" t="s">
        <v>618</v>
      </c>
      <c r="B193" s="7">
        <v>45851</v>
      </c>
      <c r="C193" t="s">
        <v>93</v>
      </c>
      <c r="D193" t="s">
        <v>111</v>
      </c>
      <c r="E193" t="s">
        <v>170</v>
      </c>
      <c r="F193" s="12" t="s">
        <v>24</v>
      </c>
      <c r="G193" t="s">
        <v>25</v>
      </c>
      <c r="H193" t="s">
        <v>619</v>
      </c>
      <c r="I193" t="s">
        <v>71</v>
      </c>
      <c r="J193" s="6">
        <v>62200</v>
      </c>
      <c r="K193" t="s">
        <v>3</v>
      </c>
      <c r="L193" t="s">
        <v>613</v>
      </c>
      <c r="M193" t="s">
        <v>3</v>
      </c>
      <c r="N193" s="25" t="str">
        <f>TEXT(tbl_Ledger[[#This Row],[Date]],"yyyy-mm")</f>
        <v>2025-07</v>
      </c>
      <c r="O193" s="25" t="str">
        <f>TEXT(tbl_Ledger[[#This Row],[Date]],"yyyy-mm") &amp; TRIM(tbl_Ledger[[#This Row],[Currency]])</f>
        <v>2025-07NGN</v>
      </c>
      <c r="P193" s="25">
        <f>_xlfn.XLOOKUP(tbl_Ledger[[#This Row],[Key]], tbl_FX[Key], tbl_FX[Rate_to_NGN])</f>
        <v>1</v>
      </c>
      <c r="Q193" s="37">
        <f>IF(tbl_Ledger[[#This Row],[Account_Type]]="Expense",-ABS(tbl_Ledger[[#This Row],[Amount]]*tbl_Ledger[[#This Row],[Rate_to_NGN]]),tbl_Ledger[[#This Row],[Amount]]*tbl_Ledger[[#This Row],[Rate_to_NGN]])</f>
        <v>62200</v>
      </c>
      <c r="R193" s="25" t="str">
        <f>_xlfn.XLOOKUP(tbl_Ledger[[#This Row],[Account_Code]], tbl_Accounts[Account_Code], tbl_Accounts[Type])</f>
        <v>Revenue</v>
      </c>
      <c r="S193" s="25" t="str">
        <f>_xlfn.XLOOKUP(tbl_Ledger[[#This Row],[Account_Code]], tbl_Accounts[Account_Code], tbl_Accounts[PL_Bucket])</f>
        <v>Revenue</v>
      </c>
      <c r="T193" s="25">
        <f t="shared" si="2"/>
        <v>62200</v>
      </c>
    </row>
    <row r="194" spans="1:20">
      <c r="A194" t="s">
        <v>620</v>
      </c>
      <c r="B194" s="7">
        <v>45851</v>
      </c>
      <c r="C194" t="s">
        <v>93</v>
      </c>
      <c r="D194" t="s">
        <v>111</v>
      </c>
      <c r="E194" t="s">
        <v>122</v>
      </c>
      <c r="F194" s="12" t="s">
        <v>24</v>
      </c>
      <c r="G194" t="s">
        <v>25</v>
      </c>
      <c r="H194" t="s">
        <v>621</v>
      </c>
      <c r="I194" t="s">
        <v>73</v>
      </c>
      <c r="J194" s="6">
        <v>576.47</v>
      </c>
      <c r="K194" t="s">
        <v>3</v>
      </c>
      <c r="L194" t="s">
        <v>622</v>
      </c>
      <c r="M194" t="s">
        <v>3</v>
      </c>
      <c r="N194" s="25" t="str">
        <f>TEXT(tbl_Ledger[[#This Row],[Date]],"yyyy-mm")</f>
        <v>2025-07</v>
      </c>
      <c r="O194" s="25" t="str">
        <f>TEXT(tbl_Ledger[[#This Row],[Date]],"yyyy-mm") &amp; TRIM(tbl_Ledger[[#This Row],[Currency]])</f>
        <v>2025-07GHS</v>
      </c>
      <c r="P194" s="25">
        <f>_xlfn.XLOOKUP(tbl_Ledger[[#This Row],[Key]], tbl_FX[Key], tbl_FX[Rate_to_NGN])</f>
        <v>102</v>
      </c>
      <c r="Q194" s="37">
        <f>IF(tbl_Ledger[[#This Row],[Account_Type]]="Expense",-ABS(tbl_Ledger[[#This Row],[Amount]]*tbl_Ledger[[#This Row],[Rate_to_NGN]]),tbl_Ledger[[#This Row],[Amount]]*tbl_Ledger[[#This Row],[Rate_to_NGN]])</f>
        <v>58799.94</v>
      </c>
      <c r="R194" s="25" t="str">
        <f>_xlfn.XLOOKUP(tbl_Ledger[[#This Row],[Account_Code]], tbl_Accounts[Account_Code], tbl_Accounts[Type])</f>
        <v>Revenue</v>
      </c>
      <c r="S194" s="25" t="str">
        <f>_xlfn.XLOOKUP(tbl_Ledger[[#This Row],[Account_Code]], tbl_Accounts[Account_Code], tbl_Accounts[PL_Bucket])</f>
        <v>Revenue</v>
      </c>
      <c r="T194" s="25">
        <f t="shared" ref="T194:T257" si="3">IF(AND(S194="Revenue",F194&lt;&gt;4900),ABS(Q194),-ABS(Q194))</f>
        <v>58799.94</v>
      </c>
    </row>
    <row r="195" spans="1:20">
      <c r="A195" t="s">
        <v>623</v>
      </c>
      <c r="B195" s="7">
        <v>45851</v>
      </c>
      <c r="C195" t="s">
        <v>126</v>
      </c>
      <c r="D195" t="s">
        <v>88</v>
      </c>
      <c r="E195" t="s">
        <v>132</v>
      </c>
      <c r="F195" s="12" t="s">
        <v>29</v>
      </c>
      <c r="G195" t="s">
        <v>30</v>
      </c>
      <c r="H195" t="s">
        <v>624</v>
      </c>
      <c r="I195" t="s">
        <v>71</v>
      </c>
      <c r="J195" s="6">
        <v>40000</v>
      </c>
      <c r="K195" t="s">
        <v>134</v>
      </c>
      <c r="L195" t="s">
        <v>625</v>
      </c>
      <c r="M195" t="s">
        <v>3</v>
      </c>
      <c r="N195" s="25" t="str">
        <f>TEXT(tbl_Ledger[[#This Row],[Date]],"yyyy-mm")</f>
        <v>2025-07</v>
      </c>
      <c r="O195" s="25" t="str">
        <f>TEXT(tbl_Ledger[[#This Row],[Date]],"yyyy-mm") &amp; TRIM(tbl_Ledger[[#This Row],[Currency]])</f>
        <v>2025-07NGN</v>
      </c>
      <c r="P195" s="25">
        <f>_xlfn.XLOOKUP(tbl_Ledger[[#This Row],[Key]], tbl_FX[Key], tbl_FX[Rate_to_NGN])</f>
        <v>1</v>
      </c>
      <c r="Q195" s="37">
        <f>IF(tbl_Ledger[[#This Row],[Account_Type]]="Expense",-ABS(tbl_Ledger[[#This Row],[Amount]]*tbl_Ledger[[#This Row],[Rate_to_NGN]]),tbl_Ledger[[#This Row],[Amount]]*tbl_Ledger[[#This Row],[Rate_to_NGN]])</f>
        <v>40000</v>
      </c>
      <c r="R195" s="25" t="str">
        <f>_xlfn.XLOOKUP(tbl_Ledger[[#This Row],[Account_Code]], tbl_Accounts[Account_Code], tbl_Accounts[Type])</f>
        <v>Revenue</v>
      </c>
      <c r="S195" s="25" t="str">
        <f>_xlfn.XLOOKUP(tbl_Ledger[[#This Row],[Account_Code]], tbl_Accounts[Account_Code], tbl_Accounts[PL_Bucket])</f>
        <v>Revenue</v>
      </c>
      <c r="T195" s="25">
        <f t="shared" si="3"/>
        <v>40000</v>
      </c>
    </row>
    <row r="196" spans="1:20">
      <c r="A196" t="s">
        <v>626</v>
      </c>
      <c r="B196" s="7">
        <v>45851</v>
      </c>
      <c r="C196" t="s">
        <v>126</v>
      </c>
      <c r="D196" t="s">
        <v>88</v>
      </c>
      <c r="E196" t="s">
        <v>136</v>
      </c>
      <c r="F196" s="12" t="s">
        <v>29</v>
      </c>
      <c r="G196" t="s">
        <v>30</v>
      </c>
      <c r="H196" t="s">
        <v>627</v>
      </c>
      <c r="I196" t="s">
        <v>71</v>
      </c>
      <c r="J196" s="6">
        <v>43000</v>
      </c>
      <c r="K196" t="s">
        <v>138</v>
      </c>
      <c r="L196" t="s">
        <v>625</v>
      </c>
      <c r="M196" t="s">
        <v>3</v>
      </c>
      <c r="N196" s="25" t="str">
        <f>TEXT(tbl_Ledger[[#This Row],[Date]],"yyyy-mm")</f>
        <v>2025-07</v>
      </c>
      <c r="O196" s="25" t="str">
        <f>TEXT(tbl_Ledger[[#This Row],[Date]],"yyyy-mm") &amp; TRIM(tbl_Ledger[[#This Row],[Currency]])</f>
        <v>2025-07NGN</v>
      </c>
      <c r="P196" s="25">
        <f>_xlfn.XLOOKUP(tbl_Ledger[[#This Row],[Key]], tbl_FX[Key], tbl_FX[Rate_to_NGN])</f>
        <v>1</v>
      </c>
      <c r="Q196" s="37">
        <f>IF(tbl_Ledger[[#This Row],[Account_Type]]="Expense",-ABS(tbl_Ledger[[#This Row],[Amount]]*tbl_Ledger[[#This Row],[Rate_to_NGN]]),tbl_Ledger[[#This Row],[Amount]]*tbl_Ledger[[#This Row],[Rate_to_NGN]])</f>
        <v>43000</v>
      </c>
      <c r="R196" s="25" t="str">
        <f>_xlfn.XLOOKUP(tbl_Ledger[[#This Row],[Account_Code]], tbl_Accounts[Account_Code], tbl_Accounts[Type])</f>
        <v>Revenue</v>
      </c>
      <c r="S196" s="25" t="str">
        <f>_xlfn.XLOOKUP(tbl_Ledger[[#This Row],[Account_Code]], tbl_Accounts[Account_Code], tbl_Accounts[PL_Bucket])</f>
        <v>Revenue</v>
      </c>
      <c r="T196" s="25">
        <f t="shared" si="3"/>
        <v>43000</v>
      </c>
    </row>
    <row r="197" spans="1:20">
      <c r="A197" t="s">
        <v>628</v>
      </c>
      <c r="B197" s="7">
        <v>45851</v>
      </c>
      <c r="C197" t="s">
        <v>126</v>
      </c>
      <c r="D197" t="s">
        <v>88</v>
      </c>
      <c r="E197" t="s">
        <v>140</v>
      </c>
      <c r="F197" s="12" t="s">
        <v>29</v>
      </c>
      <c r="G197" t="s">
        <v>30</v>
      </c>
      <c r="H197" t="s">
        <v>629</v>
      </c>
      <c r="I197" t="s">
        <v>71</v>
      </c>
      <c r="J197" s="6">
        <v>50100</v>
      </c>
      <c r="K197" t="s">
        <v>3</v>
      </c>
      <c r="L197" t="s">
        <v>630</v>
      </c>
      <c r="M197" t="s">
        <v>3</v>
      </c>
      <c r="N197" s="25" t="str">
        <f>TEXT(tbl_Ledger[[#This Row],[Date]],"yyyy-mm")</f>
        <v>2025-07</v>
      </c>
      <c r="O197" s="25" t="str">
        <f>TEXT(tbl_Ledger[[#This Row],[Date]],"yyyy-mm") &amp; TRIM(tbl_Ledger[[#This Row],[Currency]])</f>
        <v>2025-07NGN</v>
      </c>
      <c r="P197" s="25">
        <f>_xlfn.XLOOKUP(tbl_Ledger[[#This Row],[Key]], tbl_FX[Key], tbl_FX[Rate_to_NGN])</f>
        <v>1</v>
      </c>
      <c r="Q197" s="37">
        <f>IF(tbl_Ledger[[#This Row],[Account_Type]]="Expense",-ABS(tbl_Ledger[[#This Row],[Amount]]*tbl_Ledger[[#This Row],[Rate_to_NGN]]),tbl_Ledger[[#This Row],[Amount]]*tbl_Ledger[[#This Row],[Rate_to_NGN]])</f>
        <v>50100</v>
      </c>
      <c r="R197" s="25" t="str">
        <f>_xlfn.XLOOKUP(tbl_Ledger[[#This Row],[Account_Code]], tbl_Accounts[Account_Code], tbl_Accounts[Type])</f>
        <v>Revenue</v>
      </c>
      <c r="S197" s="25" t="str">
        <f>_xlfn.XLOOKUP(tbl_Ledger[[#This Row],[Account_Code]], tbl_Accounts[Account_Code], tbl_Accounts[PL_Bucket])</f>
        <v>Revenue</v>
      </c>
      <c r="T197" s="25">
        <f t="shared" si="3"/>
        <v>50100</v>
      </c>
    </row>
    <row r="198" spans="1:20">
      <c r="A198" t="s">
        <v>631</v>
      </c>
      <c r="B198" s="7">
        <v>45851</v>
      </c>
      <c r="C198" t="s">
        <v>87</v>
      </c>
      <c r="D198" t="s">
        <v>111</v>
      </c>
      <c r="E198" t="s">
        <v>3</v>
      </c>
      <c r="F198" s="12" t="s">
        <v>38</v>
      </c>
      <c r="G198" t="s">
        <v>39</v>
      </c>
      <c r="H198" t="s">
        <v>275</v>
      </c>
      <c r="I198" t="s">
        <v>71</v>
      </c>
      <c r="J198" s="6">
        <v>-134000</v>
      </c>
      <c r="K198" t="s">
        <v>276</v>
      </c>
      <c r="L198" t="s">
        <v>632</v>
      </c>
      <c r="M198" t="s">
        <v>3</v>
      </c>
      <c r="N198" s="25" t="str">
        <f>TEXT(tbl_Ledger[[#This Row],[Date]],"yyyy-mm")</f>
        <v>2025-07</v>
      </c>
      <c r="O198" s="25" t="str">
        <f>TEXT(tbl_Ledger[[#This Row],[Date]],"yyyy-mm") &amp; TRIM(tbl_Ledger[[#This Row],[Currency]])</f>
        <v>2025-07NGN</v>
      </c>
      <c r="P198" s="25">
        <f>_xlfn.XLOOKUP(tbl_Ledger[[#This Row],[Key]], tbl_FX[Key], tbl_FX[Rate_to_NGN])</f>
        <v>1</v>
      </c>
      <c r="Q198" s="37">
        <f>IF(tbl_Ledger[[#This Row],[Account_Type]]="Expense",-ABS(tbl_Ledger[[#This Row],[Amount]]*tbl_Ledger[[#This Row],[Rate_to_NGN]]),tbl_Ledger[[#This Row],[Amount]]*tbl_Ledger[[#This Row],[Rate_to_NGN]])</f>
        <v>-134000</v>
      </c>
      <c r="R198" s="25" t="str">
        <f>_xlfn.XLOOKUP(tbl_Ledger[[#This Row],[Account_Code]], tbl_Accounts[Account_Code], tbl_Accounts[Type])</f>
        <v>COGS</v>
      </c>
      <c r="S198" s="25" t="str">
        <f>_xlfn.XLOOKUP(tbl_Ledger[[#This Row],[Account_Code]], tbl_Accounts[Account_Code], tbl_Accounts[PL_Bucket])</f>
        <v>COGS</v>
      </c>
      <c r="T198" s="25">
        <f t="shared" si="3"/>
        <v>-134000</v>
      </c>
    </row>
    <row r="199" spans="1:20">
      <c r="A199" t="s">
        <v>633</v>
      </c>
      <c r="B199" s="7">
        <v>45852</v>
      </c>
      <c r="C199" t="s">
        <v>93</v>
      </c>
      <c r="D199" t="s">
        <v>94</v>
      </c>
      <c r="E199" t="s">
        <v>95</v>
      </c>
      <c r="F199" s="12" t="s">
        <v>24</v>
      </c>
      <c r="G199" t="s">
        <v>25</v>
      </c>
      <c r="H199" t="s">
        <v>634</v>
      </c>
      <c r="I199" t="s">
        <v>71</v>
      </c>
      <c r="J199" s="6">
        <v>29400</v>
      </c>
      <c r="K199" t="s">
        <v>3</v>
      </c>
      <c r="L199" t="s">
        <v>635</v>
      </c>
      <c r="M199" t="s">
        <v>3</v>
      </c>
      <c r="N199" s="25" t="str">
        <f>TEXT(tbl_Ledger[[#This Row],[Date]],"yyyy-mm")</f>
        <v>2025-07</v>
      </c>
      <c r="O199" s="25" t="str">
        <f>TEXT(tbl_Ledger[[#This Row],[Date]],"yyyy-mm") &amp; TRIM(tbl_Ledger[[#This Row],[Currency]])</f>
        <v>2025-07NGN</v>
      </c>
      <c r="P199" s="25">
        <f>_xlfn.XLOOKUP(tbl_Ledger[[#This Row],[Key]], tbl_FX[Key], tbl_FX[Rate_to_NGN])</f>
        <v>1</v>
      </c>
      <c r="Q199" s="37">
        <f>IF(tbl_Ledger[[#This Row],[Account_Type]]="Expense",-ABS(tbl_Ledger[[#This Row],[Amount]]*tbl_Ledger[[#This Row],[Rate_to_NGN]]),tbl_Ledger[[#This Row],[Amount]]*tbl_Ledger[[#This Row],[Rate_to_NGN]])</f>
        <v>29400</v>
      </c>
      <c r="R199" s="25" t="str">
        <f>_xlfn.XLOOKUP(tbl_Ledger[[#This Row],[Account_Code]], tbl_Accounts[Account_Code], tbl_Accounts[Type])</f>
        <v>Revenue</v>
      </c>
      <c r="S199" s="25" t="str">
        <f>_xlfn.XLOOKUP(tbl_Ledger[[#This Row],[Account_Code]], tbl_Accounts[Account_Code], tbl_Accounts[PL_Bucket])</f>
        <v>Revenue</v>
      </c>
      <c r="T199" s="25">
        <f t="shared" si="3"/>
        <v>29400</v>
      </c>
    </row>
    <row r="200" spans="1:20">
      <c r="A200" t="s">
        <v>636</v>
      </c>
      <c r="B200" s="7">
        <v>45852</v>
      </c>
      <c r="C200" t="s">
        <v>93</v>
      </c>
      <c r="D200" t="s">
        <v>94</v>
      </c>
      <c r="E200" t="s">
        <v>99</v>
      </c>
      <c r="F200" s="12" t="s">
        <v>24</v>
      </c>
      <c r="G200" t="s">
        <v>25</v>
      </c>
      <c r="H200" t="s">
        <v>637</v>
      </c>
      <c r="I200" t="s">
        <v>71</v>
      </c>
      <c r="J200" s="6">
        <v>26500</v>
      </c>
      <c r="K200" t="s">
        <v>3</v>
      </c>
      <c r="L200" t="s">
        <v>638</v>
      </c>
      <c r="M200" t="s">
        <v>3</v>
      </c>
      <c r="N200" s="25" t="str">
        <f>TEXT(tbl_Ledger[[#This Row],[Date]],"yyyy-mm")</f>
        <v>2025-07</v>
      </c>
      <c r="O200" s="25" t="str">
        <f>TEXT(tbl_Ledger[[#This Row],[Date]],"yyyy-mm") &amp; TRIM(tbl_Ledger[[#This Row],[Currency]])</f>
        <v>2025-07NGN</v>
      </c>
      <c r="P200" s="25">
        <f>_xlfn.XLOOKUP(tbl_Ledger[[#This Row],[Key]], tbl_FX[Key], tbl_FX[Rate_to_NGN])</f>
        <v>1</v>
      </c>
      <c r="Q200" s="37">
        <f>IF(tbl_Ledger[[#This Row],[Account_Type]]="Expense",-ABS(tbl_Ledger[[#This Row],[Amount]]*tbl_Ledger[[#This Row],[Rate_to_NGN]]),tbl_Ledger[[#This Row],[Amount]]*tbl_Ledger[[#This Row],[Rate_to_NGN]])</f>
        <v>26500</v>
      </c>
      <c r="R200" s="25" t="str">
        <f>_xlfn.XLOOKUP(tbl_Ledger[[#This Row],[Account_Code]], tbl_Accounts[Account_Code], tbl_Accounts[Type])</f>
        <v>Revenue</v>
      </c>
      <c r="S200" s="25" t="str">
        <f>_xlfn.XLOOKUP(tbl_Ledger[[#This Row],[Account_Code]], tbl_Accounts[Account_Code], tbl_Accounts[PL_Bucket])</f>
        <v>Revenue</v>
      </c>
      <c r="T200" s="25">
        <f t="shared" si="3"/>
        <v>26500</v>
      </c>
    </row>
    <row r="201" spans="1:20">
      <c r="A201" t="s">
        <v>639</v>
      </c>
      <c r="B201" s="7">
        <v>45852</v>
      </c>
      <c r="C201" t="s">
        <v>93</v>
      </c>
      <c r="D201" t="s">
        <v>94</v>
      </c>
      <c r="E201" t="s">
        <v>103</v>
      </c>
      <c r="F201" s="12" t="s">
        <v>24</v>
      </c>
      <c r="G201" t="s">
        <v>25</v>
      </c>
      <c r="H201" t="s">
        <v>640</v>
      </c>
      <c r="I201" t="s">
        <v>71</v>
      </c>
      <c r="J201" s="6">
        <v>27400</v>
      </c>
      <c r="K201" t="s">
        <v>3</v>
      </c>
      <c r="L201" t="s">
        <v>641</v>
      </c>
      <c r="M201" t="s">
        <v>3</v>
      </c>
      <c r="N201" s="25" t="str">
        <f>TEXT(tbl_Ledger[[#This Row],[Date]],"yyyy-mm")</f>
        <v>2025-07</v>
      </c>
      <c r="O201" s="25" t="str">
        <f>TEXT(tbl_Ledger[[#This Row],[Date]],"yyyy-mm") &amp; TRIM(tbl_Ledger[[#This Row],[Currency]])</f>
        <v>2025-07NGN</v>
      </c>
      <c r="P201" s="25">
        <f>_xlfn.XLOOKUP(tbl_Ledger[[#This Row],[Key]], tbl_FX[Key], tbl_FX[Rate_to_NGN])</f>
        <v>1</v>
      </c>
      <c r="Q201" s="37">
        <f>IF(tbl_Ledger[[#This Row],[Account_Type]]="Expense",-ABS(tbl_Ledger[[#This Row],[Amount]]*tbl_Ledger[[#This Row],[Rate_to_NGN]]),tbl_Ledger[[#This Row],[Amount]]*tbl_Ledger[[#This Row],[Rate_to_NGN]])</f>
        <v>27400</v>
      </c>
      <c r="R201" s="25" t="str">
        <f>_xlfn.XLOOKUP(tbl_Ledger[[#This Row],[Account_Code]], tbl_Accounts[Account_Code], tbl_Accounts[Type])</f>
        <v>Revenue</v>
      </c>
      <c r="S201" s="25" t="str">
        <f>_xlfn.XLOOKUP(tbl_Ledger[[#This Row],[Account_Code]], tbl_Accounts[Account_Code], tbl_Accounts[PL_Bucket])</f>
        <v>Revenue</v>
      </c>
      <c r="T201" s="25">
        <f t="shared" si="3"/>
        <v>27400</v>
      </c>
    </row>
    <row r="202" spans="1:20">
      <c r="A202" t="s">
        <v>642</v>
      </c>
      <c r="B202" s="7">
        <v>45852</v>
      </c>
      <c r="C202" t="s">
        <v>93</v>
      </c>
      <c r="D202" t="s">
        <v>94</v>
      </c>
      <c r="E202" t="s">
        <v>160</v>
      </c>
      <c r="F202" s="12" t="s">
        <v>24</v>
      </c>
      <c r="G202" t="s">
        <v>25</v>
      </c>
      <c r="H202" t="s">
        <v>643</v>
      </c>
      <c r="I202" t="s">
        <v>71</v>
      </c>
      <c r="J202" s="6">
        <v>31100</v>
      </c>
      <c r="K202" t="s">
        <v>3</v>
      </c>
      <c r="L202" t="s">
        <v>641</v>
      </c>
      <c r="M202" t="s">
        <v>3</v>
      </c>
      <c r="N202" s="25" t="str">
        <f>TEXT(tbl_Ledger[[#This Row],[Date]],"yyyy-mm")</f>
        <v>2025-07</v>
      </c>
      <c r="O202" s="25" t="str">
        <f>TEXT(tbl_Ledger[[#This Row],[Date]],"yyyy-mm") &amp; TRIM(tbl_Ledger[[#This Row],[Currency]])</f>
        <v>2025-07NGN</v>
      </c>
      <c r="P202" s="25">
        <f>_xlfn.XLOOKUP(tbl_Ledger[[#This Row],[Key]], tbl_FX[Key], tbl_FX[Rate_to_NGN])</f>
        <v>1</v>
      </c>
      <c r="Q202" s="37">
        <f>IF(tbl_Ledger[[#This Row],[Account_Type]]="Expense",-ABS(tbl_Ledger[[#This Row],[Amount]]*tbl_Ledger[[#This Row],[Rate_to_NGN]]),tbl_Ledger[[#This Row],[Amount]]*tbl_Ledger[[#This Row],[Rate_to_NGN]])</f>
        <v>31100</v>
      </c>
      <c r="R202" s="25" t="str">
        <f>_xlfn.XLOOKUP(tbl_Ledger[[#This Row],[Account_Code]], tbl_Accounts[Account_Code], tbl_Accounts[Type])</f>
        <v>Revenue</v>
      </c>
      <c r="S202" s="25" t="str">
        <f>_xlfn.XLOOKUP(tbl_Ledger[[#This Row],[Account_Code]], tbl_Accounts[Account_Code], tbl_Accounts[PL_Bucket])</f>
        <v>Revenue</v>
      </c>
      <c r="T202" s="25">
        <f t="shared" si="3"/>
        <v>31100</v>
      </c>
    </row>
    <row r="203" spans="1:20">
      <c r="A203" t="s">
        <v>644</v>
      </c>
      <c r="B203" s="7">
        <v>45852</v>
      </c>
      <c r="C203" t="s">
        <v>93</v>
      </c>
      <c r="D203" t="s">
        <v>94</v>
      </c>
      <c r="E203" t="s">
        <v>107</v>
      </c>
      <c r="F203" s="12" t="s">
        <v>24</v>
      </c>
      <c r="G203" t="s">
        <v>25</v>
      </c>
      <c r="H203" t="s">
        <v>645</v>
      </c>
      <c r="I203" t="s">
        <v>71</v>
      </c>
      <c r="J203" s="6">
        <v>30600</v>
      </c>
      <c r="K203" t="s">
        <v>3</v>
      </c>
      <c r="L203" t="s">
        <v>646</v>
      </c>
      <c r="M203" t="s">
        <v>3</v>
      </c>
      <c r="N203" s="25" t="str">
        <f>TEXT(tbl_Ledger[[#This Row],[Date]],"yyyy-mm")</f>
        <v>2025-07</v>
      </c>
      <c r="O203" s="25" t="str">
        <f>TEXT(tbl_Ledger[[#This Row],[Date]],"yyyy-mm") &amp; TRIM(tbl_Ledger[[#This Row],[Currency]])</f>
        <v>2025-07NGN</v>
      </c>
      <c r="P203" s="25">
        <f>_xlfn.XLOOKUP(tbl_Ledger[[#This Row],[Key]], tbl_FX[Key], tbl_FX[Rate_to_NGN])</f>
        <v>1</v>
      </c>
      <c r="Q203" s="37">
        <f>IF(tbl_Ledger[[#This Row],[Account_Type]]="Expense",-ABS(tbl_Ledger[[#This Row],[Amount]]*tbl_Ledger[[#This Row],[Rate_to_NGN]]),tbl_Ledger[[#This Row],[Amount]]*tbl_Ledger[[#This Row],[Rate_to_NGN]])</f>
        <v>30600</v>
      </c>
      <c r="R203" s="25" t="str">
        <f>_xlfn.XLOOKUP(tbl_Ledger[[#This Row],[Account_Code]], tbl_Accounts[Account_Code], tbl_Accounts[Type])</f>
        <v>Revenue</v>
      </c>
      <c r="S203" s="25" t="str">
        <f>_xlfn.XLOOKUP(tbl_Ledger[[#This Row],[Account_Code]], tbl_Accounts[Account_Code], tbl_Accounts[PL_Bucket])</f>
        <v>Revenue</v>
      </c>
      <c r="T203" s="25">
        <f t="shared" si="3"/>
        <v>30600</v>
      </c>
    </row>
    <row r="204" spans="1:20">
      <c r="A204" t="s">
        <v>647</v>
      </c>
      <c r="B204" s="7">
        <v>45852</v>
      </c>
      <c r="C204" t="s">
        <v>93</v>
      </c>
      <c r="D204" t="s">
        <v>111</v>
      </c>
      <c r="E204" t="s">
        <v>112</v>
      </c>
      <c r="F204" s="12" t="s">
        <v>24</v>
      </c>
      <c r="G204" t="s">
        <v>25</v>
      </c>
      <c r="H204" t="s">
        <v>648</v>
      </c>
      <c r="I204" t="s">
        <v>71</v>
      </c>
      <c r="J204" s="6">
        <v>47400</v>
      </c>
      <c r="K204" t="s">
        <v>3</v>
      </c>
      <c r="L204" t="s">
        <v>649</v>
      </c>
      <c r="M204" t="s">
        <v>3</v>
      </c>
      <c r="N204" s="25" t="str">
        <f>TEXT(tbl_Ledger[[#This Row],[Date]],"yyyy-mm")</f>
        <v>2025-07</v>
      </c>
      <c r="O204" s="25" t="str">
        <f>TEXT(tbl_Ledger[[#This Row],[Date]],"yyyy-mm") &amp; TRIM(tbl_Ledger[[#This Row],[Currency]])</f>
        <v>2025-07NGN</v>
      </c>
      <c r="P204" s="25">
        <f>_xlfn.XLOOKUP(tbl_Ledger[[#This Row],[Key]], tbl_FX[Key], tbl_FX[Rate_to_NGN])</f>
        <v>1</v>
      </c>
      <c r="Q204" s="37">
        <f>IF(tbl_Ledger[[#This Row],[Account_Type]]="Expense",-ABS(tbl_Ledger[[#This Row],[Amount]]*tbl_Ledger[[#This Row],[Rate_to_NGN]]),tbl_Ledger[[#This Row],[Amount]]*tbl_Ledger[[#This Row],[Rate_to_NGN]])</f>
        <v>47400</v>
      </c>
      <c r="R204" s="25" t="str">
        <f>_xlfn.XLOOKUP(tbl_Ledger[[#This Row],[Account_Code]], tbl_Accounts[Account_Code], tbl_Accounts[Type])</f>
        <v>Revenue</v>
      </c>
      <c r="S204" s="25" t="str">
        <f>_xlfn.XLOOKUP(tbl_Ledger[[#This Row],[Account_Code]], tbl_Accounts[Account_Code], tbl_Accounts[PL_Bucket])</f>
        <v>Revenue</v>
      </c>
      <c r="T204" s="25">
        <f t="shared" si="3"/>
        <v>47400</v>
      </c>
    </row>
    <row r="205" spans="1:20">
      <c r="A205" t="s">
        <v>650</v>
      </c>
      <c r="B205" s="7">
        <v>45852</v>
      </c>
      <c r="C205" t="s">
        <v>93</v>
      </c>
      <c r="D205" t="s">
        <v>111</v>
      </c>
      <c r="E205" t="s">
        <v>116</v>
      </c>
      <c r="F205" s="12" t="s">
        <v>24</v>
      </c>
      <c r="G205" t="s">
        <v>25</v>
      </c>
      <c r="H205" t="s">
        <v>651</v>
      </c>
      <c r="I205" t="s">
        <v>71</v>
      </c>
      <c r="J205" s="6">
        <v>50400</v>
      </c>
      <c r="K205" t="s">
        <v>3</v>
      </c>
      <c r="L205" t="s">
        <v>649</v>
      </c>
      <c r="M205" t="s">
        <v>3</v>
      </c>
      <c r="N205" s="25" t="str">
        <f>TEXT(tbl_Ledger[[#This Row],[Date]],"yyyy-mm")</f>
        <v>2025-07</v>
      </c>
      <c r="O205" s="25" t="str">
        <f>TEXT(tbl_Ledger[[#This Row],[Date]],"yyyy-mm") &amp; TRIM(tbl_Ledger[[#This Row],[Currency]])</f>
        <v>2025-07NGN</v>
      </c>
      <c r="P205" s="25">
        <f>_xlfn.XLOOKUP(tbl_Ledger[[#This Row],[Key]], tbl_FX[Key], tbl_FX[Rate_to_NGN])</f>
        <v>1</v>
      </c>
      <c r="Q205" s="37">
        <f>IF(tbl_Ledger[[#This Row],[Account_Type]]="Expense",-ABS(tbl_Ledger[[#This Row],[Amount]]*tbl_Ledger[[#This Row],[Rate_to_NGN]]),tbl_Ledger[[#This Row],[Amount]]*tbl_Ledger[[#This Row],[Rate_to_NGN]])</f>
        <v>50400</v>
      </c>
      <c r="R205" s="25" t="str">
        <f>_xlfn.XLOOKUP(tbl_Ledger[[#This Row],[Account_Code]], tbl_Accounts[Account_Code], tbl_Accounts[Type])</f>
        <v>Revenue</v>
      </c>
      <c r="S205" s="25" t="str">
        <f>_xlfn.XLOOKUP(tbl_Ledger[[#This Row],[Account_Code]], tbl_Accounts[Account_Code], tbl_Accounts[PL_Bucket])</f>
        <v>Revenue</v>
      </c>
      <c r="T205" s="25">
        <f t="shared" si="3"/>
        <v>50400</v>
      </c>
    </row>
    <row r="206" spans="1:20">
      <c r="A206" t="s">
        <v>652</v>
      </c>
      <c r="B206" s="7">
        <v>45852</v>
      </c>
      <c r="C206" t="s">
        <v>93</v>
      </c>
      <c r="D206" t="s">
        <v>111</v>
      </c>
      <c r="E206" t="s">
        <v>119</v>
      </c>
      <c r="F206" s="12" t="s">
        <v>24</v>
      </c>
      <c r="G206" t="s">
        <v>25</v>
      </c>
      <c r="H206" t="s">
        <v>653</v>
      </c>
      <c r="I206" t="s">
        <v>71</v>
      </c>
      <c r="J206" s="6">
        <v>49500</v>
      </c>
      <c r="K206" t="s">
        <v>3</v>
      </c>
      <c r="L206" t="s">
        <v>649</v>
      </c>
      <c r="M206" t="s">
        <v>3</v>
      </c>
      <c r="N206" s="25" t="str">
        <f>TEXT(tbl_Ledger[[#This Row],[Date]],"yyyy-mm")</f>
        <v>2025-07</v>
      </c>
      <c r="O206" s="25" t="str">
        <f>TEXT(tbl_Ledger[[#This Row],[Date]],"yyyy-mm") &amp; TRIM(tbl_Ledger[[#This Row],[Currency]])</f>
        <v>2025-07NGN</v>
      </c>
      <c r="P206" s="25">
        <f>_xlfn.XLOOKUP(tbl_Ledger[[#This Row],[Key]], tbl_FX[Key], tbl_FX[Rate_to_NGN])</f>
        <v>1</v>
      </c>
      <c r="Q206" s="37">
        <f>IF(tbl_Ledger[[#This Row],[Account_Type]]="Expense",-ABS(tbl_Ledger[[#This Row],[Amount]]*tbl_Ledger[[#This Row],[Rate_to_NGN]]),tbl_Ledger[[#This Row],[Amount]]*tbl_Ledger[[#This Row],[Rate_to_NGN]])</f>
        <v>49500</v>
      </c>
      <c r="R206" s="25" t="str">
        <f>_xlfn.XLOOKUP(tbl_Ledger[[#This Row],[Account_Code]], tbl_Accounts[Account_Code], tbl_Accounts[Type])</f>
        <v>Revenue</v>
      </c>
      <c r="S206" s="25" t="str">
        <f>_xlfn.XLOOKUP(tbl_Ledger[[#This Row],[Account_Code]], tbl_Accounts[Account_Code], tbl_Accounts[PL_Bucket])</f>
        <v>Revenue</v>
      </c>
      <c r="T206" s="25">
        <f t="shared" si="3"/>
        <v>49500</v>
      </c>
    </row>
    <row r="207" spans="1:20">
      <c r="A207" t="s">
        <v>654</v>
      </c>
      <c r="B207" s="7">
        <v>45852</v>
      </c>
      <c r="C207" t="s">
        <v>93</v>
      </c>
      <c r="D207" t="s">
        <v>111</v>
      </c>
      <c r="E207" t="s">
        <v>170</v>
      </c>
      <c r="F207" s="12" t="s">
        <v>24</v>
      </c>
      <c r="G207" t="s">
        <v>25</v>
      </c>
      <c r="H207" t="s">
        <v>655</v>
      </c>
      <c r="I207" t="s">
        <v>71</v>
      </c>
      <c r="J207" s="6">
        <v>50000</v>
      </c>
      <c r="K207" t="s">
        <v>3</v>
      </c>
      <c r="L207" t="s">
        <v>649</v>
      </c>
      <c r="M207" t="s">
        <v>3</v>
      </c>
      <c r="N207" s="25" t="str">
        <f>TEXT(tbl_Ledger[[#This Row],[Date]],"yyyy-mm")</f>
        <v>2025-07</v>
      </c>
      <c r="O207" s="25" t="str">
        <f>TEXT(tbl_Ledger[[#This Row],[Date]],"yyyy-mm") &amp; TRIM(tbl_Ledger[[#This Row],[Currency]])</f>
        <v>2025-07NGN</v>
      </c>
      <c r="P207" s="25">
        <f>_xlfn.XLOOKUP(tbl_Ledger[[#This Row],[Key]], tbl_FX[Key], tbl_FX[Rate_to_NGN])</f>
        <v>1</v>
      </c>
      <c r="Q207" s="37">
        <f>IF(tbl_Ledger[[#This Row],[Account_Type]]="Expense",-ABS(tbl_Ledger[[#This Row],[Amount]]*tbl_Ledger[[#This Row],[Rate_to_NGN]]),tbl_Ledger[[#This Row],[Amount]]*tbl_Ledger[[#This Row],[Rate_to_NGN]])</f>
        <v>50000</v>
      </c>
      <c r="R207" s="25" t="str">
        <f>_xlfn.XLOOKUP(tbl_Ledger[[#This Row],[Account_Code]], tbl_Accounts[Account_Code], tbl_Accounts[Type])</f>
        <v>Revenue</v>
      </c>
      <c r="S207" s="25" t="str">
        <f>_xlfn.XLOOKUP(tbl_Ledger[[#This Row],[Account_Code]], tbl_Accounts[Account_Code], tbl_Accounts[PL_Bucket])</f>
        <v>Revenue</v>
      </c>
      <c r="T207" s="25">
        <f t="shared" si="3"/>
        <v>50000</v>
      </c>
    </row>
    <row r="208" spans="1:20">
      <c r="A208" t="s">
        <v>656</v>
      </c>
      <c r="B208" s="7">
        <v>45852</v>
      </c>
      <c r="C208" t="s">
        <v>93</v>
      </c>
      <c r="D208" t="s">
        <v>111</v>
      </c>
      <c r="E208" t="s">
        <v>122</v>
      </c>
      <c r="F208" s="12" t="s">
        <v>24</v>
      </c>
      <c r="G208" t="s">
        <v>25</v>
      </c>
      <c r="H208" t="s">
        <v>657</v>
      </c>
      <c r="I208" t="s">
        <v>71</v>
      </c>
      <c r="J208" s="6">
        <v>50300</v>
      </c>
      <c r="K208" t="s">
        <v>3</v>
      </c>
      <c r="L208" t="s">
        <v>658</v>
      </c>
      <c r="M208" t="s">
        <v>3</v>
      </c>
      <c r="N208" s="25" t="str">
        <f>TEXT(tbl_Ledger[[#This Row],[Date]],"yyyy-mm")</f>
        <v>2025-07</v>
      </c>
      <c r="O208" s="25" t="str">
        <f>TEXT(tbl_Ledger[[#This Row],[Date]],"yyyy-mm") &amp; TRIM(tbl_Ledger[[#This Row],[Currency]])</f>
        <v>2025-07NGN</v>
      </c>
      <c r="P208" s="25">
        <f>_xlfn.XLOOKUP(tbl_Ledger[[#This Row],[Key]], tbl_FX[Key], tbl_FX[Rate_to_NGN])</f>
        <v>1</v>
      </c>
      <c r="Q208" s="37">
        <f>IF(tbl_Ledger[[#This Row],[Account_Type]]="Expense",-ABS(tbl_Ledger[[#This Row],[Amount]]*tbl_Ledger[[#This Row],[Rate_to_NGN]]),tbl_Ledger[[#This Row],[Amount]]*tbl_Ledger[[#This Row],[Rate_to_NGN]])</f>
        <v>50300</v>
      </c>
      <c r="R208" s="25" t="str">
        <f>_xlfn.XLOOKUP(tbl_Ledger[[#This Row],[Account_Code]], tbl_Accounts[Account_Code], tbl_Accounts[Type])</f>
        <v>Revenue</v>
      </c>
      <c r="S208" s="25" t="str">
        <f>_xlfn.XLOOKUP(tbl_Ledger[[#This Row],[Account_Code]], tbl_Accounts[Account_Code], tbl_Accounts[PL_Bucket])</f>
        <v>Revenue</v>
      </c>
      <c r="T208" s="25">
        <f t="shared" si="3"/>
        <v>50300</v>
      </c>
    </row>
    <row r="209" spans="1:20">
      <c r="A209" t="s">
        <v>659</v>
      </c>
      <c r="B209" s="7">
        <v>45852</v>
      </c>
      <c r="C209" t="s">
        <v>126</v>
      </c>
      <c r="D209" t="s">
        <v>88</v>
      </c>
      <c r="E209" t="s">
        <v>127</v>
      </c>
      <c r="F209" s="12" t="s">
        <v>29</v>
      </c>
      <c r="G209" t="s">
        <v>30</v>
      </c>
      <c r="H209" t="s">
        <v>660</v>
      </c>
      <c r="I209" t="s">
        <v>72</v>
      </c>
      <c r="J209" s="6">
        <v>31.31</v>
      </c>
      <c r="K209" t="s">
        <v>129</v>
      </c>
      <c r="L209" t="s">
        <v>661</v>
      </c>
      <c r="M209" t="s">
        <v>3</v>
      </c>
      <c r="N209" s="25" t="str">
        <f>TEXT(tbl_Ledger[[#This Row],[Date]],"yyyy-mm")</f>
        <v>2025-07</v>
      </c>
      <c r="O209" s="25" t="str">
        <f>TEXT(tbl_Ledger[[#This Row],[Date]],"yyyy-mm") &amp; TRIM(tbl_Ledger[[#This Row],[Currency]])</f>
        <v>2025-07USD</v>
      </c>
      <c r="P209" s="25">
        <f>_xlfn.XLOOKUP(tbl_Ledger[[#This Row],[Key]], tbl_FX[Key], tbl_FX[Rate_to_NGN])</f>
        <v>1530</v>
      </c>
      <c r="Q209" s="37">
        <f>IF(tbl_Ledger[[#This Row],[Account_Type]]="Expense",-ABS(tbl_Ledger[[#This Row],[Amount]]*tbl_Ledger[[#This Row],[Rate_to_NGN]]),tbl_Ledger[[#This Row],[Amount]]*tbl_Ledger[[#This Row],[Rate_to_NGN]])</f>
        <v>47904.299999999996</v>
      </c>
      <c r="R209" s="25" t="str">
        <f>_xlfn.XLOOKUP(tbl_Ledger[[#This Row],[Account_Code]], tbl_Accounts[Account_Code], tbl_Accounts[Type])</f>
        <v>Revenue</v>
      </c>
      <c r="S209" s="25" t="str">
        <f>_xlfn.XLOOKUP(tbl_Ledger[[#This Row],[Account_Code]], tbl_Accounts[Account_Code], tbl_Accounts[PL_Bucket])</f>
        <v>Revenue</v>
      </c>
      <c r="T209" s="25">
        <f t="shared" si="3"/>
        <v>47904.299999999996</v>
      </c>
    </row>
    <row r="210" spans="1:20">
      <c r="A210" t="s">
        <v>662</v>
      </c>
      <c r="B210" s="7">
        <v>45852</v>
      </c>
      <c r="C210" t="s">
        <v>126</v>
      </c>
      <c r="D210" t="s">
        <v>88</v>
      </c>
      <c r="E210" t="s">
        <v>132</v>
      </c>
      <c r="F210" s="12" t="s">
        <v>29</v>
      </c>
      <c r="G210" t="s">
        <v>30</v>
      </c>
      <c r="H210" t="s">
        <v>663</v>
      </c>
      <c r="I210" t="s">
        <v>71</v>
      </c>
      <c r="J210" s="6">
        <v>40500</v>
      </c>
      <c r="K210" t="s">
        <v>134</v>
      </c>
      <c r="L210" t="s">
        <v>661</v>
      </c>
      <c r="M210" t="s">
        <v>3</v>
      </c>
      <c r="N210" s="25" t="str">
        <f>TEXT(tbl_Ledger[[#This Row],[Date]],"yyyy-mm")</f>
        <v>2025-07</v>
      </c>
      <c r="O210" s="25" t="str">
        <f>TEXT(tbl_Ledger[[#This Row],[Date]],"yyyy-mm") &amp; TRIM(tbl_Ledger[[#This Row],[Currency]])</f>
        <v>2025-07NGN</v>
      </c>
      <c r="P210" s="25">
        <f>_xlfn.XLOOKUP(tbl_Ledger[[#This Row],[Key]], tbl_FX[Key], tbl_FX[Rate_to_NGN])</f>
        <v>1</v>
      </c>
      <c r="Q210" s="37">
        <f>IF(tbl_Ledger[[#This Row],[Account_Type]]="Expense",-ABS(tbl_Ledger[[#This Row],[Amount]]*tbl_Ledger[[#This Row],[Rate_to_NGN]]),tbl_Ledger[[#This Row],[Amount]]*tbl_Ledger[[#This Row],[Rate_to_NGN]])</f>
        <v>40500</v>
      </c>
      <c r="R210" s="25" t="str">
        <f>_xlfn.XLOOKUP(tbl_Ledger[[#This Row],[Account_Code]], tbl_Accounts[Account_Code], tbl_Accounts[Type])</f>
        <v>Revenue</v>
      </c>
      <c r="S210" s="25" t="str">
        <f>_xlfn.XLOOKUP(tbl_Ledger[[#This Row],[Account_Code]], tbl_Accounts[Account_Code], tbl_Accounts[PL_Bucket])</f>
        <v>Revenue</v>
      </c>
      <c r="T210" s="25">
        <f t="shared" si="3"/>
        <v>40500</v>
      </c>
    </row>
    <row r="211" spans="1:20">
      <c r="A211" t="s">
        <v>664</v>
      </c>
      <c r="B211" s="7">
        <v>45852</v>
      </c>
      <c r="C211" t="s">
        <v>126</v>
      </c>
      <c r="D211" t="s">
        <v>88</v>
      </c>
      <c r="E211" t="s">
        <v>136</v>
      </c>
      <c r="F211" s="12" t="s">
        <v>29</v>
      </c>
      <c r="G211" t="s">
        <v>30</v>
      </c>
      <c r="H211" t="s">
        <v>665</v>
      </c>
      <c r="I211" t="s">
        <v>71</v>
      </c>
      <c r="J211" s="6">
        <v>41000</v>
      </c>
      <c r="K211" t="s">
        <v>138</v>
      </c>
      <c r="L211" t="s">
        <v>661</v>
      </c>
      <c r="M211" t="s">
        <v>3</v>
      </c>
      <c r="N211" s="25" t="str">
        <f>TEXT(tbl_Ledger[[#This Row],[Date]],"yyyy-mm")</f>
        <v>2025-07</v>
      </c>
      <c r="O211" s="25" t="str">
        <f>TEXT(tbl_Ledger[[#This Row],[Date]],"yyyy-mm") &amp; TRIM(tbl_Ledger[[#This Row],[Currency]])</f>
        <v>2025-07NGN</v>
      </c>
      <c r="P211" s="25">
        <f>_xlfn.XLOOKUP(tbl_Ledger[[#This Row],[Key]], tbl_FX[Key], tbl_FX[Rate_to_NGN])</f>
        <v>1</v>
      </c>
      <c r="Q211" s="37">
        <f>IF(tbl_Ledger[[#This Row],[Account_Type]]="Expense",-ABS(tbl_Ledger[[#This Row],[Amount]]*tbl_Ledger[[#This Row],[Rate_to_NGN]]),tbl_Ledger[[#This Row],[Amount]]*tbl_Ledger[[#This Row],[Rate_to_NGN]])</f>
        <v>41000</v>
      </c>
      <c r="R211" s="25" t="str">
        <f>_xlfn.XLOOKUP(tbl_Ledger[[#This Row],[Account_Code]], tbl_Accounts[Account_Code], tbl_Accounts[Type])</f>
        <v>Revenue</v>
      </c>
      <c r="S211" s="25" t="str">
        <f>_xlfn.XLOOKUP(tbl_Ledger[[#This Row],[Account_Code]], tbl_Accounts[Account_Code], tbl_Accounts[PL_Bucket])</f>
        <v>Revenue</v>
      </c>
      <c r="T211" s="25">
        <f t="shared" si="3"/>
        <v>41000</v>
      </c>
    </row>
    <row r="212" spans="1:20">
      <c r="A212" t="s">
        <v>666</v>
      </c>
      <c r="B212" s="7">
        <v>45852</v>
      </c>
      <c r="C212" t="s">
        <v>87</v>
      </c>
      <c r="D212" t="s">
        <v>94</v>
      </c>
      <c r="E212" t="s">
        <v>3</v>
      </c>
      <c r="F212" s="12" t="s">
        <v>44</v>
      </c>
      <c r="G212" t="s">
        <v>45</v>
      </c>
      <c r="H212" t="s">
        <v>667</v>
      </c>
      <c r="I212" t="s">
        <v>71</v>
      </c>
      <c r="J212" s="6">
        <v>-252000</v>
      </c>
      <c r="K212" t="s">
        <v>668</v>
      </c>
      <c r="L212" t="s">
        <v>669</v>
      </c>
      <c r="M212" t="s">
        <v>3</v>
      </c>
      <c r="N212" s="25" t="str">
        <f>TEXT(tbl_Ledger[[#This Row],[Date]],"yyyy-mm")</f>
        <v>2025-07</v>
      </c>
      <c r="O212" s="25" t="str">
        <f>TEXT(tbl_Ledger[[#This Row],[Date]],"yyyy-mm") &amp; TRIM(tbl_Ledger[[#This Row],[Currency]])</f>
        <v>2025-07NGN</v>
      </c>
      <c r="P212" s="25">
        <f>_xlfn.XLOOKUP(tbl_Ledger[[#This Row],[Key]], tbl_FX[Key], tbl_FX[Rate_to_NGN])</f>
        <v>1</v>
      </c>
      <c r="Q212" s="37">
        <f>IF(tbl_Ledger[[#This Row],[Account_Type]]="Expense",-ABS(tbl_Ledger[[#This Row],[Amount]]*tbl_Ledger[[#This Row],[Rate_to_NGN]]),tbl_Ledger[[#This Row],[Amount]]*tbl_Ledger[[#This Row],[Rate_to_NGN]])</f>
        <v>-252000</v>
      </c>
      <c r="R212" s="25" t="str">
        <f>_xlfn.XLOOKUP(tbl_Ledger[[#This Row],[Account_Code]], tbl_Accounts[Account_Code], tbl_Accounts[Type])</f>
        <v>COGS</v>
      </c>
      <c r="S212" s="25" t="str">
        <f>_xlfn.XLOOKUP(tbl_Ledger[[#This Row],[Account_Code]], tbl_Accounts[Account_Code], tbl_Accounts[PL_Bucket])</f>
        <v>COGS</v>
      </c>
      <c r="T212" s="25">
        <f t="shared" si="3"/>
        <v>-252000</v>
      </c>
    </row>
    <row r="213" spans="1:20">
      <c r="A213" t="s">
        <v>670</v>
      </c>
      <c r="B213" s="7">
        <v>45852</v>
      </c>
      <c r="C213" t="s">
        <v>87</v>
      </c>
      <c r="D213" t="s">
        <v>111</v>
      </c>
      <c r="E213" t="s">
        <v>3</v>
      </c>
      <c r="F213" s="12" t="s">
        <v>38</v>
      </c>
      <c r="G213" t="s">
        <v>39</v>
      </c>
      <c r="H213" t="s">
        <v>275</v>
      </c>
      <c r="I213" t="s">
        <v>71</v>
      </c>
      <c r="J213" s="6">
        <v>-108000</v>
      </c>
      <c r="K213" t="s">
        <v>276</v>
      </c>
      <c r="L213" t="s">
        <v>671</v>
      </c>
      <c r="M213" t="s">
        <v>3</v>
      </c>
      <c r="N213" s="25" t="str">
        <f>TEXT(tbl_Ledger[[#This Row],[Date]],"yyyy-mm")</f>
        <v>2025-07</v>
      </c>
      <c r="O213" s="25" t="str">
        <f>TEXT(tbl_Ledger[[#This Row],[Date]],"yyyy-mm") &amp; TRIM(tbl_Ledger[[#This Row],[Currency]])</f>
        <v>2025-07NGN</v>
      </c>
      <c r="P213" s="25">
        <f>_xlfn.XLOOKUP(tbl_Ledger[[#This Row],[Key]], tbl_FX[Key], tbl_FX[Rate_to_NGN])</f>
        <v>1</v>
      </c>
      <c r="Q213" s="37">
        <f>IF(tbl_Ledger[[#This Row],[Account_Type]]="Expense",-ABS(tbl_Ledger[[#This Row],[Amount]]*tbl_Ledger[[#This Row],[Rate_to_NGN]]),tbl_Ledger[[#This Row],[Amount]]*tbl_Ledger[[#This Row],[Rate_to_NGN]])</f>
        <v>-108000</v>
      </c>
      <c r="R213" s="25" t="str">
        <f>_xlfn.XLOOKUP(tbl_Ledger[[#This Row],[Account_Code]], tbl_Accounts[Account_Code], tbl_Accounts[Type])</f>
        <v>COGS</v>
      </c>
      <c r="S213" s="25" t="str">
        <f>_xlfn.XLOOKUP(tbl_Ledger[[#This Row],[Account_Code]], tbl_Accounts[Account_Code], tbl_Accounts[PL_Bucket])</f>
        <v>COGS</v>
      </c>
      <c r="T213" s="25">
        <f t="shared" si="3"/>
        <v>-108000</v>
      </c>
    </row>
    <row r="214" spans="1:20">
      <c r="A214" t="s">
        <v>672</v>
      </c>
      <c r="B214" s="7">
        <v>45853</v>
      </c>
      <c r="C214" t="s">
        <v>93</v>
      </c>
      <c r="D214" t="s">
        <v>94</v>
      </c>
      <c r="E214" t="s">
        <v>95</v>
      </c>
      <c r="F214" s="12" t="s">
        <v>24</v>
      </c>
      <c r="G214" t="s">
        <v>25</v>
      </c>
      <c r="H214" t="s">
        <v>673</v>
      </c>
      <c r="I214" t="s">
        <v>71</v>
      </c>
      <c r="J214" s="6">
        <v>30600</v>
      </c>
      <c r="K214" t="s">
        <v>3</v>
      </c>
      <c r="L214" t="s">
        <v>674</v>
      </c>
      <c r="M214" t="s">
        <v>3</v>
      </c>
      <c r="N214" s="25" t="str">
        <f>TEXT(tbl_Ledger[[#This Row],[Date]],"yyyy-mm")</f>
        <v>2025-07</v>
      </c>
      <c r="O214" s="25" t="str">
        <f>TEXT(tbl_Ledger[[#This Row],[Date]],"yyyy-mm") &amp; TRIM(tbl_Ledger[[#This Row],[Currency]])</f>
        <v>2025-07NGN</v>
      </c>
      <c r="P214" s="25">
        <f>_xlfn.XLOOKUP(tbl_Ledger[[#This Row],[Key]], tbl_FX[Key], tbl_FX[Rate_to_NGN])</f>
        <v>1</v>
      </c>
      <c r="Q214" s="37">
        <f>IF(tbl_Ledger[[#This Row],[Account_Type]]="Expense",-ABS(tbl_Ledger[[#This Row],[Amount]]*tbl_Ledger[[#This Row],[Rate_to_NGN]]),tbl_Ledger[[#This Row],[Amount]]*tbl_Ledger[[#This Row],[Rate_to_NGN]])</f>
        <v>30600</v>
      </c>
      <c r="R214" s="25" t="str">
        <f>_xlfn.XLOOKUP(tbl_Ledger[[#This Row],[Account_Code]], tbl_Accounts[Account_Code], tbl_Accounts[Type])</f>
        <v>Revenue</v>
      </c>
      <c r="S214" s="25" t="str">
        <f>_xlfn.XLOOKUP(tbl_Ledger[[#This Row],[Account_Code]], tbl_Accounts[Account_Code], tbl_Accounts[PL_Bucket])</f>
        <v>Revenue</v>
      </c>
      <c r="T214" s="25">
        <f t="shared" si="3"/>
        <v>30600</v>
      </c>
    </row>
    <row r="215" spans="1:20">
      <c r="A215" t="s">
        <v>675</v>
      </c>
      <c r="B215" s="7">
        <v>45853</v>
      </c>
      <c r="C215" t="s">
        <v>93</v>
      </c>
      <c r="D215" t="s">
        <v>94</v>
      </c>
      <c r="E215" t="s">
        <v>99</v>
      </c>
      <c r="F215" s="12" t="s">
        <v>24</v>
      </c>
      <c r="G215" t="s">
        <v>25</v>
      </c>
      <c r="H215" t="s">
        <v>676</v>
      </c>
      <c r="I215" t="s">
        <v>71</v>
      </c>
      <c r="J215" s="6">
        <v>27400</v>
      </c>
      <c r="K215" t="s">
        <v>3</v>
      </c>
      <c r="L215" t="s">
        <v>677</v>
      </c>
      <c r="M215" t="s">
        <v>3</v>
      </c>
      <c r="N215" s="25" t="str">
        <f>TEXT(tbl_Ledger[[#This Row],[Date]],"yyyy-mm")</f>
        <v>2025-07</v>
      </c>
      <c r="O215" s="25" t="str">
        <f>TEXT(tbl_Ledger[[#This Row],[Date]],"yyyy-mm") &amp; TRIM(tbl_Ledger[[#This Row],[Currency]])</f>
        <v>2025-07NGN</v>
      </c>
      <c r="P215" s="25">
        <f>_xlfn.XLOOKUP(tbl_Ledger[[#This Row],[Key]], tbl_FX[Key], tbl_FX[Rate_to_NGN])</f>
        <v>1</v>
      </c>
      <c r="Q215" s="37">
        <f>IF(tbl_Ledger[[#This Row],[Account_Type]]="Expense",-ABS(tbl_Ledger[[#This Row],[Amount]]*tbl_Ledger[[#This Row],[Rate_to_NGN]]),tbl_Ledger[[#This Row],[Amount]]*tbl_Ledger[[#This Row],[Rate_to_NGN]])</f>
        <v>27400</v>
      </c>
      <c r="R215" s="25" t="str">
        <f>_xlfn.XLOOKUP(tbl_Ledger[[#This Row],[Account_Code]], tbl_Accounts[Account_Code], tbl_Accounts[Type])</f>
        <v>Revenue</v>
      </c>
      <c r="S215" s="25" t="str">
        <f>_xlfn.XLOOKUP(tbl_Ledger[[#This Row],[Account_Code]], tbl_Accounts[Account_Code], tbl_Accounts[PL_Bucket])</f>
        <v>Revenue</v>
      </c>
      <c r="T215" s="25">
        <f t="shared" si="3"/>
        <v>27400</v>
      </c>
    </row>
    <row r="216" spans="1:20">
      <c r="A216" t="s">
        <v>678</v>
      </c>
      <c r="B216" s="7">
        <v>45853</v>
      </c>
      <c r="C216" t="s">
        <v>93</v>
      </c>
      <c r="D216" t="s">
        <v>94</v>
      </c>
      <c r="E216" t="s">
        <v>160</v>
      </c>
      <c r="F216" s="12" t="s">
        <v>24</v>
      </c>
      <c r="G216" t="s">
        <v>25</v>
      </c>
      <c r="H216" t="s">
        <v>679</v>
      </c>
      <c r="I216" t="s">
        <v>71</v>
      </c>
      <c r="J216" s="6">
        <v>28500</v>
      </c>
      <c r="K216" t="s">
        <v>3</v>
      </c>
      <c r="L216" t="s">
        <v>680</v>
      </c>
      <c r="M216" t="s">
        <v>3</v>
      </c>
      <c r="N216" s="25" t="str">
        <f>TEXT(tbl_Ledger[[#This Row],[Date]],"yyyy-mm")</f>
        <v>2025-07</v>
      </c>
      <c r="O216" s="25" t="str">
        <f>TEXT(tbl_Ledger[[#This Row],[Date]],"yyyy-mm") &amp; TRIM(tbl_Ledger[[#This Row],[Currency]])</f>
        <v>2025-07NGN</v>
      </c>
      <c r="P216" s="25">
        <f>_xlfn.XLOOKUP(tbl_Ledger[[#This Row],[Key]], tbl_FX[Key], tbl_FX[Rate_to_NGN])</f>
        <v>1</v>
      </c>
      <c r="Q216" s="37">
        <f>IF(tbl_Ledger[[#This Row],[Account_Type]]="Expense",-ABS(tbl_Ledger[[#This Row],[Amount]]*tbl_Ledger[[#This Row],[Rate_to_NGN]]),tbl_Ledger[[#This Row],[Amount]]*tbl_Ledger[[#This Row],[Rate_to_NGN]])</f>
        <v>28500</v>
      </c>
      <c r="R216" s="25" t="str">
        <f>_xlfn.XLOOKUP(tbl_Ledger[[#This Row],[Account_Code]], tbl_Accounts[Account_Code], tbl_Accounts[Type])</f>
        <v>Revenue</v>
      </c>
      <c r="S216" s="25" t="str">
        <f>_xlfn.XLOOKUP(tbl_Ledger[[#This Row],[Account_Code]], tbl_Accounts[Account_Code], tbl_Accounts[PL_Bucket])</f>
        <v>Revenue</v>
      </c>
      <c r="T216" s="25">
        <f t="shared" si="3"/>
        <v>28500</v>
      </c>
    </row>
    <row r="217" spans="1:20">
      <c r="A217" t="s">
        <v>681</v>
      </c>
      <c r="B217" s="7">
        <v>45853</v>
      </c>
      <c r="C217" t="s">
        <v>93</v>
      </c>
      <c r="D217" t="s">
        <v>94</v>
      </c>
      <c r="E217" t="s">
        <v>107</v>
      </c>
      <c r="F217" s="12" t="s">
        <v>24</v>
      </c>
      <c r="G217" t="s">
        <v>25</v>
      </c>
      <c r="H217" t="s">
        <v>682</v>
      </c>
      <c r="I217" t="s">
        <v>71</v>
      </c>
      <c r="J217" s="6">
        <v>26800</v>
      </c>
      <c r="K217" t="s">
        <v>3</v>
      </c>
      <c r="L217" t="s">
        <v>683</v>
      </c>
      <c r="M217" t="s">
        <v>3</v>
      </c>
      <c r="N217" s="25" t="str">
        <f>TEXT(tbl_Ledger[[#This Row],[Date]],"yyyy-mm")</f>
        <v>2025-07</v>
      </c>
      <c r="O217" s="25" t="str">
        <f>TEXT(tbl_Ledger[[#This Row],[Date]],"yyyy-mm") &amp; TRIM(tbl_Ledger[[#This Row],[Currency]])</f>
        <v>2025-07NGN</v>
      </c>
      <c r="P217" s="25">
        <f>_xlfn.XLOOKUP(tbl_Ledger[[#This Row],[Key]], tbl_FX[Key], tbl_FX[Rate_to_NGN])</f>
        <v>1</v>
      </c>
      <c r="Q217" s="37">
        <f>IF(tbl_Ledger[[#This Row],[Account_Type]]="Expense",-ABS(tbl_Ledger[[#This Row],[Amount]]*tbl_Ledger[[#This Row],[Rate_to_NGN]]),tbl_Ledger[[#This Row],[Amount]]*tbl_Ledger[[#This Row],[Rate_to_NGN]])</f>
        <v>26800</v>
      </c>
      <c r="R217" s="25" t="str">
        <f>_xlfn.XLOOKUP(tbl_Ledger[[#This Row],[Account_Code]], tbl_Accounts[Account_Code], tbl_Accounts[Type])</f>
        <v>Revenue</v>
      </c>
      <c r="S217" s="25" t="str">
        <f>_xlfn.XLOOKUP(tbl_Ledger[[#This Row],[Account_Code]], tbl_Accounts[Account_Code], tbl_Accounts[PL_Bucket])</f>
        <v>Revenue</v>
      </c>
      <c r="T217" s="25">
        <f t="shared" si="3"/>
        <v>26800</v>
      </c>
    </row>
    <row r="218" spans="1:20">
      <c r="A218" t="s">
        <v>684</v>
      </c>
      <c r="B218" s="7">
        <v>45853</v>
      </c>
      <c r="C218" t="s">
        <v>93</v>
      </c>
      <c r="D218" t="s">
        <v>111</v>
      </c>
      <c r="E218" t="s">
        <v>112</v>
      </c>
      <c r="F218" s="12" t="s">
        <v>24</v>
      </c>
      <c r="G218" t="s">
        <v>25</v>
      </c>
      <c r="H218" t="s">
        <v>685</v>
      </c>
      <c r="I218" t="s">
        <v>71</v>
      </c>
      <c r="J218" s="6">
        <v>47000</v>
      </c>
      <c r="K218" t="s">
        <v>3</v>
      </c>
      <c r="L218" t="s">
        <v>686</v>
      </c>
      <c r="M218" t="s">
        <v>3</v>
      </c>
      <c r="N218" s="25" t="str">
        <f>TEXT(tbl_Ledger[[#This Row],[Date]],"yyyy-mm")</f>
        <v>2025-07</v>
      </c>
      <c r="O218" s="25" t="str">
        <f>TEXT(tbl_Ledger[[#This Row],[Date]],"yyyy-mm") &amp; TRIM(tbl_Ledger[[#This Row],[Currency]])</f>
        <v>2025-07NGN</v>
      </c>
      <c r="P218" s="25">
        <f>_xlfn.XLOOKUP(tbl_Ledger[[#This Row],[Key]], tbl_FX[Key], tbl_FX[Rate_to_NGN])</f>
        <v>1</v>
      </c>
      <c r="Q218" s="37">
        <f>IF(tbl_Ledger[[#This Row],[Account_Type]]="Expense",-ABS(tbl_Ledger[[#This Row],[Amount]]*tbl_Ledger[[#This Row],[Rate_to_NGN]]),tbl_Ledger[[#This Row],[Amount]]*tbl_Ledger[[#This Row],[Rate_to_NGN]])</f>
        <v>47000</v>
      </c>
      <c r="R218" s="25" t="str">
        <f>_xlfn.XLOOKUP(tbl_Ledger[[#This Row],[Account_Code]], tbl_Accounts[Account_Code], tbl_Accounts[Type])</f>
        <v>Revenue</v>
      </c>
      <c r="S218" s="25" t="str">
        <f>_xlfn.XLOOKUP(tbl_Ledger[[#This Row],[Account_Code]], tbl_Accounts[Account_Code], tbl_Accounts[PL_Bucket])</f>
        <v>Revenue</v>
      </c>
      <c r="T218" s="25">
        <f t="shared" si="3"/>
        <v>47000</v>
      </c>
    </row>
    <row r="219" spans="1:20">
      <c r="A219" t="s">
        <v>687</v>
      </c>
      <c r="B219" s="7">
        <v>45853</v>
      </c>
      <c r="C219" t="s">
        <v>93</v>
      </c>
      <c r="D219" t="s">
        <v>111</v>
      </c>
      <c r="E219" t="s">
        <v>119</v>
      </c>
      <c r="F219" s="12" t="s">
        <v>24</v>
      </c>
      <c r="G219" t="s">
        <v>25</v>
      </c>
      <c r="H219" t="s">
        <v>688</v>
      </c>
      <c r="I219" t="s">
        <v>71</v>
      </c>
      <c r="J219" s="6">
        <v>50200</v>
      </c>
      <c r="K219" t="s">
        <v>3</v>
      </c>
      <c r="L219" t="s">
        <v>686</v>
      </c>
      <c r="M219" t="s">
        <v>3</v>
      </c>
      <c r="N219" s="25" t="str">
        <f>TEXT(tbl_Ledger[[#This Row],[Date]],"yyyy-mm")</f>
        <v>2025-07</v>
      </c>
      <c r="O219" s="25" t="str">
        <f>TEXT(tbl_Ledger[[#This Row],[Date]],"yyyy-mm") &amp; TRIM(tbl_Ledger[[#This Row],[Currency]])</f>
        <v>2025-07NGN</v>
      </c>
      <c r="P219" s="25">
        <f>_xlfn.XLOOKUP(tbl_Ledger[[#This Row],[Key]], tbl_FX[Key], tbl_FX[Rate_to_NGN])</f>
        <v>1</v>
      </c>
      <c r="Q219" s="37">
        <f>IF(tbl_Ledger[[#This Row],[Account_Type]]="Expense",-ABS(tbl_Ledger[[#This Row],[Amount]]*tbl_Ledger[[#This Row],[Rate_to_NGN]]),tbl_Ledger[[#This Row],[Amount]]*tbl_Ledger[[#This Row],[Rate_to_NGN]])</f>
        <v>50200</v>
      </c>
      <c r="R219" s="25" t="str">
        <f>_xlfn.XLOOKUP(tbl_Ledger[[#This Row],[Account_Code]], tbl_Accounts[Account_Code], tbl_Accounts[Type])</f>
        <v>Revenue</v>
      </c>
      <c r="S219" s="25" t="str">
        <f>_xlfn.XLOOKUP(tbl_Ledger[[#This Row],[Account_Code]], tbl_Accounts[Account_Code], tbl_Accounts[PL_Bucket])</f>
        <v>Revenue</v>
      </c>
      <c r="T219" s="25">
        <f t="shared" si="3"/>
        <v>50200</v>
      </c>
    </row>
    <row r="220" spans="1:20">
      <c r="A220" t="s">
        <v>689</v>
      </c>
      <c r="B220" s="7">
        <v>45853</v>
      </c>
      <c r="C220" t="s">
        <v>93</v>
      </c>
      <c r="D220" t="s">
        <v>111</v>
      </c>
      <c r="E220" t="s">
        <v>170</v>
      </c>
      <c r="F220" s="12" t="s">
        <v>24</v>
      </c>
      <c r="G220" t="s">
        <v>25</v>
      </c>
      <c r="H220" t="s">
        <v>690</v>
      </c>
      <c r="I220" t="s">
        <v>71</v>
      </c>
      <c r="J220" s="6">
        <v>46100</v>
      </c>
      <c r="K220" t="s">
        <v>3</v>
      </c>
      <c r="L220" t="s">
        <v>686</v>
      </c>
      <c r="M220" t="s">
        <v>3</v>
      </c>
      <c r="N220" s="25" t="str">
        <f>TEXT(tbl_Ledger[[#This Row],[Date]],"yyyy-mm")</f>
        <v>2025-07</v>
      </c>
      <c r="O220" s="25" t="str">
        <f>TEXT(tbl_Ledger[[#This Row],[Date]],"yyyy-mm") &amp; TRIM(tbl_Ledger[[#This Row],[Currency]])</f>
        <v>2025-07NGN</v>
      </c>
      <c r="P220" s="25">
        <f>_xlfn.XLOOKUP(tbl_Ledger[[#This Row],[Key]], tbl_FX[Key], tbl_FX[Rate_to_NGN])</f>
        <v>1</v>
      </c>
      <c r="Q220" s="37">
        <f>IF(tbl_Ledger[[#This Row],[Account_Type]]="Expense",-ABS(tbl_Ledger[[#This Row],[Amount]]*tbl_Ledger[[#This Row],[Rate_to_NGN]]),tbl_Ledger[[#This Row],[Amount]]*tbl_Ledger[[#This Row],[Rate_to_NGN]])</f>
        <v>46100</v>
      </c>
      <c r="R220" s="25" t="str">
        <f>_xlfn.XLOOKUP(tbl_Ledger[[#This Row],[Account_Code]], tbl_Accounts[Account_Code], tbl_Accounts[Type])</f>
        <v>Revenue</v>
      </c>
      <c r="S220" s="25" t="str">
        <f>_xlfn.XLOOKUP(tbl_Ledger[[#This Row],[Account_Code]], tbl_Accounts[Account_Code], tbl_Accounts[PL_Bucket])</f>
        <v>Revenue</v>
      </c>
      <c r="T220" s="25">
        <f t="shared" si="3"/>
        <v>46100</v>
      </c>
    </row>
    <row r="221" spans="1:20">
      <c r="A221" t="s">
        <v>691</v>
      </c>
      <c r="B221" s="7">
        <v>45853</v>
      </c>
      <c r="C221" t="s">
        <v>93</v>
      </c>
      <c r="D221" t="s">
        <v>111</v>
      </c>
      <c r="E221" t="s">
        <v>122</v>
      </c>
      <c r="F221" s="12" t="s">
        <v>24</v>
      </c>
      <c r="G221" t="s">
        <v>25</v>
      </c>
      <c r="H221" t="s">
        <v>692</v>
      </c>
      <c r="I221" t="s">
        <v>73</v>
      </c>
      <c r="J221" s="6">
        <v>465.69</v>
      </c>
      <c r="K221" t="s">
        <v>3</v>
      </c>
      <c r="L221" t="s">
        <v>693</v>
      </c>
      <c r="M221" t="s">
        <v>3</v>
      </c>
      <c r="N221" s="25" t="str">
        <f>TEXT(tbl_Ledger[[#This Row],[Date]],"yyyy-mm")</f>
        <v>2025-07</v>
      </c>
      <c r="O221" s="25" t="str">
        <f>TEXT(tbl_Ledger[[#This Row],[Date]],"yyyy-mm") &amp; TRIM(tbl_Ledger[[#This Row],[Currency]])</f>
        <v>2025-07GHS</v>
      </c>
      <c r="P221" s="25">
        <f>_xlfn.XLOOKUP(tbl_Ledger[[#This Row],[Key]], tbl_FX[Key], tbl_FX[Rate_to_NGN])</f>
        <v>102</v>
      </c>
      <c r="Q221" s="37">
        <f>IF(tbl_Ledger[[#This Row],[Account_Type]]="Expense",-ABS(tbl_Ledger[[#This Row],[Amount]]*tbl_Ledger[[#This Row],[Rate_to_NGN]]),tbl_Ledger[[#This Row],[Amount]]*tbl_Ledger[[#This Row],[Rate_to_NGN]])</f>
        <v>47500.38</v>
      </c>
      <c r="R221" s="25" t="str">
        <f>_xlfn.XLOOKUP(tbl_Ledger[[#This Row],[Account_Code]], tbl_Accounts[Account_Code], tbl_Accounts[Type])</f>
        <v>Revenue</v>
      </c>
      <c r="S221" s="25" t="str">
        <f>_xlfn.XLOOKUP(tbl_Ledger[[#This Row],[Account_Code]], tbl_Accounts[Account_Code], tbl_Accounts[PL_Bucket])</f>
        <v>Revenue</v>
      </c>
      <c r="T221" s="25">
        <f t="shared" si="3"/>
        <v>47500.38</v>
      </c>
    </row>
    <row r="222" spans="1:20">
      <c r="A222" t="s">
        <v>694</v>
      </c>
      <c r="B222" s="7">
        <v>45853</v>
      </c>
      <c r="C222" t="s">
        <v>126</v>
      </c>
      <c r="D222" t="s">
        <v>88</v>
      </c>
      <c r="E222" t="s">
        <v>127</v>
      </c>
      <c r="F222" s="12" t="s">
        <v>29</v>
      </c>
      <c r="G222" t="s">
        <v>30</v>
      </c>
      <c r="H222" t="s">
        <v>695</v>
      </c>
      <c r="I222" t="s">
        <v>71</v>
      </c>
      <c r="J222" s="6">
        <v>47000</v>
      </c>
      <c r="K222" t="s">
        <v>129</v>
      </c>
      <c r="L222" t="s">
        <v>696</v>
      </c>
      <c r="M222" t="s">
        <v>3</v>
      </c>
      <c r="N222" s="25" t="str">
        <f>TEXT(tbl_Ledger[[#This Row],[Date]],"yyyy-mm")</f>
        <v>2025-07</v>
      </c>
      <c r="O222" s="25" t="str">
        <f>TEXT(tbl_Ledger[[#This Row],[Date]],"yyyy-mm") &amp; TRIM(tbl_Ledger[[#This Row],[Currency]])</f>
        <v>2025-07NGN</v>
      </c>
      <c r="P222" s="25">
        <f>_xlfn.XLOOKUP(tbl_Ledger[[#This Row],[Key]], tbl_FX[Key], tbl_FX[Rate_to_NGN])</f>
        <v>1</v>
      </c>
      <c r="Q222" s="37">
        <f>IF(tbl_Ledger[[#This Row],[Account_Type]]="Expense",-ABS(tbl_Ledger[[#This Row],[Amount]]*tbl_Ledger[[#This Row],[Rate_to_NGN]]),tbl_Ledger[[#This Row],[Amount]]*tbl_Ledger[[#This Row],[Rate_to_NGN]])</f>
        <v>47000</v>
      </c>
      <c r="R222" s="25" t="str">
        <f>_xlfn.XLOOKUP(tbl_Ledger[[#This Row],[Account_Code]], tbl_Accounts[Account_Code], tbl_Accounts[Type])</f>
        <v>Revenue</v>
      </c>
      <c r="S222" s="25" t="str">
        <f>_xlfn.XLOOKUP(tbl_Ledger[[#This Row],[Account_Code]], tbl_Accounts[Account_Code], tbl_Accounts[PL_Bucket])</f>
        <v>Revenue</v>
      </c>
      <c r="T222" s="25">
        <f t="shared" si="3"/>
        <v>47000</v>
      </c>
    </row>
    <row r="223" spans="1:20">
      <c r="A223" t="s">
        <v>697</v>
      </c>
      <c r="B223" s="7">
        <v>45853</v>
      </c>
      <c r="C223" t="s">
        <v>126</v>
      </c>
      <c r="D223" t="s">
        <v>88</v>
      </c>
      <c r="E223" t="s">
        <v>132</v>
      </c>
      <c r="F223" s="12" t="s">
        <v>29</v>
      </c>
      <c r="G223" t="s">
        <v>30</v>
      </c>
      <c r="H223" t="s">
        <v>698</v>
      </c>
      <c r="I223" t="s">
        <v>72</v>
      </c>
      <c r="J223" s="6">
        <v>32.090000000000003</v>
      </c>
      <c r="K223" t="s">
        <v>134</v>
      </c>
      <c r="L223" t="s">
        <v>696</v>
      </c>
      <c r="M223" t="s">
        <v>3</v>
      </c>
      <c r="N223" s="25" t="str">
        <f>TEXT(tbl_Ledger[[#This Row],[Date]],"yyyy-mm")</f>
        <v>2025-07</v>
      </c>
      <c r="O223" s="25" t="str">
        <f>TEXT(tbl_Ledger[[#This Row],[Date]],"yyyy-mm") &amp; TRIM(tbl_Ledger[[#This Row],[Currency]])</f>
        <v>2025-07USD</v>
      </c>
      <c r="P223" s="25">
        <f>_xlfn.XLOOKUP(tbl_Ledger[[#This Row],[Key]], tbl_FX[Key], tbl_FX[Rate_to_NGN])</f>
        <v>1530</v>
      </c>
      <c r="Q223" s="37">
        <f>IF(tbl_Ledger[[#This Row],[Account_Type]]="Expense",-ABS(tbl_Ledger[[#This Row],[Amount]]*tbl_Ledger[[#This Row],[Rate_to_NGN]]),tbl_Ledger[[#This Row],[Amount]]*tbl_Ledger[[#This Row],[Rate_to_NGN]])</f>
        <v>49097.700000000004</v>
      </c>
      <c r="R223" s="25" t="str">
        <f>_xlfn.XLOOKUP(tbl_Ledger[[#This Row],[Account_Code]], tbl_Accounts[Account_Code], tbl_Accounts[Type])</f>
        <v>Revenue</v>
      </c>
      <c r="S223" s="25" t="str">
        <f>_xlfn.XLOOKUP(tbl_Ledger[[#This Row],[Account_Code]], tbl_Accounts[Account_Code], tbl_Accounts[PL_Bucket])</f>
        <v>Revenue</v>
      </c>
      <c r="T223" s="25">
        <f t="shared" si="3"/>
        <v>49097.700000000004</v>
      </c>
    </row>
    <row r="224" spans="1:20">
      <c r="A224" t="s">
        <v>699</v>
      </c>
      <c r="B224" s="7">
        <v>45853</v>
      </c>
      <c r="C224" t="s">
        <v>126</v>
      </c>
      <c r="D224" t="s">
        <v>88</v>
      </c>
      <c r="E224" t="s">
        <v>136</v>
      </c>
      <c r="F224" s="12" t="s">
        <v>29</v>
      </c>
      <c r="G224" t="s">
        <v>30</v>
      </c>
      <c r="H224" t="s">
        <v>700</v>
      </c>
      <c r="I224" t="s">
        <v>71</v>
      </c>
      <c r="J224" s="6">
        <v>48900</v>
      </c>
      <c r="K224" t="s">
        <v>138</v>
      </c>
      <c r="L224" t="s">
        <v>696</v>
      </c>
      <c r="M224" t="s">
        <v>3</v>
      </c>
      <c r="N224" s="25" t="str">
        <f>TEXT(tbl_Ledger[[#This Row],[Date]],"yyyy-mm")</f>
        <v>2025-07</v>
      </c>
      <c r="O224" s="25" t="str">
        <f>TEXT(tbl_Ledger[[#This Row],[Date]],"yyyy-mm") &amp; TRIM(tbl_Ledger[[#This Row],[Currency]])</f>
        <v>2025-07NGN</v>
      </c>
      <c r="P224" s="25">
        <f>_xlfn.XLOOKUP(tbl_Ledger[[#This Row],[Key]], tbl_FX[Key], tbl_FX[Rate_to_NGN])</f>
        <v>1</v>
      </c>
      <c r="Q224" s="37">
        <f>IF(tbl_Ledger[[#This Row],[Account_Type]]="Expense",-ABS(tbl_Ledger[[#This Row],[Amount]]*tbl_Ledger[[#This Row],[Rate_to_NGN]]),tbl_Ledger[[#This Row],[Amount]]*tbl_Ledger[[#This Row],[Rate_to_NGN]])</f>
        <v>48900</v>
      </c>
      <c r="R224" s="25" t="str">
        <f>_xlfn.XLOOKUP(tbl_Ledger[[#This Row],[Account_Code]], tbl_Accounts[Account_Code], tbl_Accounts[Type])</f>
        <v>Revenue</v>
      </c>
      <c r="S224" s="25" t="str">
        <f>_xlfn.XLOOKUP(tbl_Ledger[[#This Row],[Account_Code]], tbl_Accounts[Account_Code], tbl_Accounts[PL_Bucket])</f>
        <v>Revenue</v>
      </c>
      <c r="T224" s="25">
        <f t="shared" si="3"/>
        <v>48900</v>
      </c>
    </row>
    <row r="225" spans="1:20">
      <c r="A225" t="s">
        <v>701</v>
      </c>
      <c r="B225" s="7">
        <v>45853</v>
      </c>
      <c r="C225" t="s">
        <v>126</v>
      </c>
      <c r="D225" t="s">
        <v>88</v>
      </c>
      <c r="E225" t="s">
        <v>140</v>
      </c>
      <c r="F225" s="12" t="s">
        <v>29</v>
      </c>
      <c r="G225" t="s">
        <v>30</v>
      </c>
      <c r="H225" t="s">
        <v>702</v>
      </c>
      <c r="I225" t="s">
        <v>71</v>
      </c>
      <c r="J225" s="6">
        <v>41000</v>
      </c>
      <c r="K225" t="s">
        <v>3</v>
      </c>
      <c r="L225" t="s">
        <v>703</v>
      </c>
      <c r="M225" t="s">
        <v>3</v>
      </c>
      <c r="N225" s="25" t="str">
        <f>TEXT(tbl_Ledger[[#This Row],[Date]],"yyyy-mm")</f>
        <v>2025-07</v>
      </c>
      <c r="O225" s="25" t="str">
        <f>TEXT(tbl_Ledger[[#This Row],[Date]],"yyyy-mm") &amp; TRIM(tbl_Ledger[[#This Row],[Currency]])</f>
        <v>2025-07NGN</v>
      </c>
      <c r="P225" s="25">
        <f>_xlfn.XLOOKUP(tbl_Ledger[[#This Row],[Key]], tbl_FX[Key], tbl_FX[Rate_to_NGN])</f>
        <v>1</v>
      </c>
      <c r="Q225" s="37">
        <f>IF(tbl_Ledger[[#This Row],[Account_Type]]="Expense",-ABS(tbl_Ledger[[#This Row],[Amount]]*tbl_Ledger[[#This Row],[Rate_to_NGN]]),tbl_Ledger[[#This Row],[Amount]]*tbl_Ledger[[#This Row],[Rate_to_NGN]])</f>
        <v>41000</v>
      </c>
      <c r="R225" s="25" t="str">
        <f>_xlfn.XLOOKUP(tbl_Ledger[[#This Row],[Account_Code]], tbl_Accounts[Account_Code], tbl_Accounts[Type])</f>
        <v>Revenue</v>
      </c>
      <c r="S225" s="25" t="str">
        <f>_xlfn.XLOOKUP(tbl_Ledger[[#This Row],[Account_Code]], tbl_Accounts[Account_Code], tbl_Accounts[PL_Bucket])</f>
        <v>Revenue</v>
      </c>
      <c r="T225" s="25">
        <f t="shared" si="3"/>
        <v>41000</v>
      </c>
    </row>
    <row r="226" spans="1:20">
      <c r="A226" t="s">
        <v>704</v>
      </c>
      <c r="B226" s="7">
        <v>45853</v>
      </c>
      <c r="C226" t="s">
        <v>87</v>
      </c>
      <c r="D226" t="s">
        <v>88</v>
      </c>
      <c r="E226" t="s">
        <v>3</v>
      </c>
      <c r="F226" s="12" t="s">
        <v>40</v>
      </c>
      <c r="G226" t="s">
        <v>41</v>
      </c>
      <c r="H226" t="s">
        <v>279</v>
      </c>
      <c r="I226" t="s">
        <v>71</v>
      </c>
      <c r="J226" s="6">
        <v>-364000</v>
      </c>
      <c r="K226" t="s">
        <v>280</v>
      </c>
      <c r="L226" t="s">
        <v>705</v>
      </c>
      <c r="M226" t="s">
        <v>3</v>
      </c>
      <c r="N226" s="25" t="str">
        <f>TEXT(tbl_Ledger[[#This Row],[Date]],"yyyy-mm")</f>
        <v>2025-07</v>
      </c>
      <c r="O226" s="25" t="str">
        <f>TEXT(tbl_Ledger[[#This Row],[Date]],"yyyy-mm") &amp; TRIM(tbl_Ledger[[#This Row],[Currency]])</f>
        <v>2025-07NGN</v>
      </c>
      <c r="P226" s="25">
        <f>_xlfn.XLOOKUP(tbl_Ledger[[#This Row],[Key]], tbl_FX[Key], tbl_FX[Rate_to_NGN])</f>
        <v>1</v>
      </c>
      <c r="Q226" s="37">
        <f>IF(tbl_Ledger[[#This Row],[Account_Type]]="Expense",-ABS(tbl_Ledger[[#This Row],[Amount]]*tbl_Ledger[[#This Row],[Rate_to_NGN]]),tbl_Ledger[[#This Row],[Amount]]*tbl_Ledger[[#This Row],[Rate_to_NGN]])</f>
        <v>-364000</v>
      </c>
      <c r="R226" s="25" t="str">
        <f>_xlfn.XLOOKUP(tbl_Ledger[[#This Row],[Account_Code]], tbl_Accounts[Account_Code], tbl_Accounts[Type])</f>
        <v>COGS</v>
      </c>
      <c r="S226" s="25" t="str">
        <f>_xlfn.XLOOKUP(tbl_Ledger[[#This Row],[Account_Code]], tbl_Accounts[Account_Code], tbl_Accounts[PL_Bucket])</f>
        <v>COGS</v>
      </c>
      <c r="T226" s="25">
        <f t="shared" si="3"/>
        <v>-364000</v>
      </c>
    </row>
    <row r="227" spans="1:20">
      <c r="A227" t="s">
        <v>706</v>
      </c>
      <c r="B227" s="7">
        <v>45853</v>
      </c>
      <c r="C227" t="s">
        <v>87</v>
      </c>
      <c r="D227" t="s">
        <v>94</v>
      </c>
      <c r="E227" t="s">
        <v>3</v>
      </c>
      <c r="F227" s="12" t="s">
        <v>53</v>
      </c>
      <c r="G227" t="s">
        <v>54</v>
      </c>
      <c r="H227" t="s">
        <v>707</v>
      </c>
      <c r="I227" t="s">
        <v>72</v>
      </c>
      <c r="J227" s="6">
        <v>-730.09</v>
      </c>
      <c r="K227" t="s">
        <v>708</v>
      </c>
      <c r="L227" t="s">
        <v>709</v>
      </c>
      <c r="M227" t="s">
        <v>3</v>
      </c>
      <c r="N227" s="25" t="str">
        <f>TEXT(tbl_Ledger[[#This Row],[Date]],"yyyy-mm")</f>
        <v>2025-07</v>
      </c>
      <c r="O227" s="25" t="str">
        <f>TEXT(tbl_Ledger[[#This Row],[Date]],"yyyy-mm") &amp; TRIM(tbl_Ledger[[#This Row],[Currency]])</f>
        <v>2025-07USD</v>
      </c>
      <c r="P227" s="25">
        <f>_xlfn.XLOOKUP(tbl_Ledger[[#This Row],[Key]], tbl_FX[Key], tbl_FX[Rate_to_NGN])</f>
        <v>1530</v>
      </c>
      <c r="Q227" s="37">
        <f>IF(tbl_Ledger[[#This Row],[Account_Type]]="Expense",-ABS(tbl_Ledger[[#This Row],[Amount]]*tbl_Ledger[[#This Row],[Rate_to_NGN]]),tbl_Ledger[[#This Row],[Amount]]*tbl_Ledger[[#This Row],[Rate_to_NGN]])</f>
        <v>-1117037.7</v>
      </c>
      <c r="R227" s="25" t="str">
        <f>_xlfn.XLOOKUP(tbl_Ledger[[#This Row],[Account_Code]], tbl_Accounts[Account_Code], tbl_Accounts[Type])</f>
        <v>Opex</v>
      </c>
      <c r="S227" s="25" t="str">
        <f>_xlfn.XLOOKUP(tbl_Ledger[[#This Row],[Account_Code]], tbl_Accounts[Account_Code], tbl_Accounts[PL_Bucket])</f>
        <v>Opex</v>
      </c>
      <c r="T227" s="25">
        <f t="shared" si="3"/>
        <v>-1117037.7</v>
      </c>
    </row>
    <row r="228" spans="1:20">
      <c r="A228" t="s">
        <v>710</v>
      </c>
      <c r="B228" s="7">
        <v>45854</v>
      </c>
      <c r="C228" t="s">
        <v>93</v>
      </c>
      <c r="D228" t="s">
        <v>94</v>
      </c>
      <c r="E228" t="s">
        <v>95</v>
      </c>
      <c r="F228" s="12" t="s">
        <v>24</v>
      </c>
      <c r="G228" t="s">
        <v>25</v>
      </c>
      <c r="H228" t="s">
        <v>711</v>
      </c>
      <c r="I228" t="s">
        <v>71</v>
      </c>
      <c r="J228" s="6">
        <v>30600</v>
      </c>
      <c r="K228" t="s">
        <v>3</v>
      </c>
      <c r="L228" t="s">
        <v>712</v>
      </c>
      <c r="M228" t="s">
        <v>3</v>
      </c>
      <c r="N228" s="25" t="str">
        <f>TEXT(tbl_Ledger[[#This Row],[Date]],"yyyy-mm")</f>
        <v>2025-07</v>
      </c>
      <c r="O228" s="25" t="str">
        <f>TEXT(tbl_Ledger[[#This Row],[Date]],"yyyy-mm") &amp; TRIM(tbl_Ledger[[#This Row],[Currency]])</f>
        <v>2025-07NGN</v>
      </c>
      <c r="P228" s="25">
        <f>_xlfn.XLOOKUP(tbl_Ledger[[#This Row],[Key]], tbl_FX[Key], tbl_FX[Rate_to_NGN])</f>
        <v>1</v>
      </c>
      <c r="Q228" s="37">
        <f>IF(tbl_Ledger[[#This Row],[Account_Type]]="Expense",-ABS(tbl_Ledger[[#This Row],[Amount]]*tbl_Ledger[[#This Row],[Rate_to_NGN]]),tbl_Ledger[[#This Row],[Amount]]*tbl_Ledger[[#This Row],[Rate_to_NGN]])</f>
        <v>30600</v>
      </c>
      <c r="R228" s="25" t="str">
        <f>_xlfn.XLOOKUP(tbl_Ledger[[#This Row],[Account_Code]], tbl_Accounts[Account_Code], tbl_Accounts[Type])</f>
        <v>Revenue</v>
      </c>
      <c r="S228" s="25" t="str">
        <f>_xlfn.XLOOKUP(tbl_Ledger[[#This Row],[Account_Code]], tbl_Accounts[Account_Code], tbl_Accounts[PL_Bucket])</f>
        <v>Revenue</v>
      </c>
      <c r="T228" s="25">
        <f t="shared" si="3"/>
        <v>30600</v>
      </c>
    </row>
    <row r="229" spans="1:20">
      <c r="A229" t="s">
        <v>713</v>
      </c>
      <c r="B229" s="7">
        <v>45854</v>
      </c>
      <c r="C229" t="s">
        <v>93</v>
      </c>
      <c r="D229" t="s">
        <v>94</v>
      </c>
      <c r="E229" t="s">
        <v>99</v>
      </c>
      <c r="F229" s="12" t="s">
        <v>24</v>
      </c>
      <c r="G229" t="s">
        <v>25</v>
      </c>
      <c r="H229" t="s">
        <v>714</v>
      </c>
      <c r="I229" t="s">
        <v>71</v>
      </c>
      <c r="J229" s="6">
        <v>28500</v>
      </c>
      <c r="K229" t="s">
        <v>3</v>
      </c>
      <c r="L229" t="s">
        <v>715</v>
      </c>
      <c r="M229" t="s">
        <v>3</v>
      </c>
      <c r="N229" s="25" t="str">
        <f>TEXT(tbl_Ledger[[#This Row],[Date]],"yyyy-mm")</f>
        <v>2025-07</v>
      </c>
      <c r="O229" s="25" t="str">
        <f>TEXT(tbl_Ledger[[#This Row],[Date]],"yyyy-mm") &amp; TRIM(tbl_Ledger[[#This Row],[Currency]])</f>
        <v>2025-07NGN</v>
      </c>
      <c r="P229" s="25">
        <f>_xlfn.XLOOKUP(tbl_Ledger[[#This Row],[Key]], tbl_FX[Key], tbl_FX[Rate_to_NGN])</f>
        <v>1</v>
      </c>
      <c r="Q229" s="37">
        <f>IF(tbl_Ledger[[#This Row],[Account_Type]]="Expense",-ABS(tbl_Ledger[[#This Row],[Amount]]*tbl_Ledger[[#This Row],[Rate_to_NGN]]),tbl_Ledger[[#This Row],[Amount]]*tbl_Ledger[[#This Row],[Rate_to_NGN]])</f>
        <v>28500</v>
      </c>
      <c r="R229" s="25" t="str">
        <f>_xlfn.XLOOKUP(tbl_Ledger[[#This Row],[Account_Code]], tbl_Accounts[Account_Code], tbl_Accounts[Type])</f>
        <v>Revenue</v>
      </c>
      <c r="S229" s="25" t="str">
        <f>_xlfn.XLOOKUP(tbl_Ledger[[#This Row],[Account_Code]], tbl_Accounts[Account_Code], tbl_Accounts[PL_Bucket])</f>
        <v>Revenue</v>
      </c>
      <c r="T229" s="25">
        <f t="shared" si="3"/>
        <v>28500</v>
      </c>
    </row>
    <row r="230" spans="1:20">
      <c r="A230" t="s">
        <v>716</v>
      </c>
      <c r="B230" s="7">
        <v>45854</v>
      </c>
      <c r="C230" t="s">
        <v>93</v>
      </c>
      <c r="D230" t="s">
        <v>94</v>
      </c>
      <c r="E230" t="s">
        <v>103</v>
      </c>
      <c r="F230" s="12" t="s">
        <v>24</v>
      </c>
      <c r="G230" t="s">
        <v>25</v>
      </c>
      <c r="H230" t="s">
        <v>717</v>
      </c>
      <c r="I230" t="s">
        <v>71</v>
      </c>
      <c r="J230" s="6">
        <v>29100</v>
      </c>
      <c r="K230" t="s">
        <v>3</v>
      </c>
      <c r="L230" t="s">
        <v>718</v>
      </c>
      <c r="M230" t="s">
        <v>3</v>
      </c>
      <c r="N230" s="25" t="str">
        <f>TEXT(tbl_Ledger[[#This Row],[Date]],"yyyy-mm")</f>
        <v>2025-07</v>
      </c>
      <c r="O230" s="25" t="str">
        <f>TEXT(tbl_Ledger[[#This Row],[Date]],"yyyy-mm") &amp; TRIM(tbl_Ledger[[#This Row],[Currency]])</f>
        <v>2025-07NGN</v>
      </c>
      <c r="P230" s="25">
        <f>_xlfn.XLOOKUP(tbl_Ledger[[#This Row],[Key]], tbl_FX[Key], tbl_FX[Rate_to_NGN])</f>
        <v>1</v>
      </c>
      <c r="Q230" s="37">
        <f>IF(tbl_Ledger[[#This Row],[Account_Type]]="Expense",-ABS(tbl_Ledger[[#This Row],[Amount]]*tbl_Ledger[[#This Row],[Rate_to_NGN]]),tbl_Ledger[[#This Row],[Amount]]*tbl_Ledger[[#This Row],[Rate_to_NGN]])</f>
        <v>29100</v>
      </c>
      <c r="R230" s="25" t="str">
        <f>_xlfn.XLOOKUP(tbl_Ledger[[#This Row],[Account_Code]], tbl_Accounts[Account_Code], tbl_Accounts[Type])</f>
        <v>Revenue</v>
      </c>
      <c r="S230" s="25" t="str">
        <f>_xlfn.XLOOKUP(tbl_Ledger[[#This Row],[Account_Code]], tbl_Accounts[Account_Code], tbl_Accounts[PL_Bucket])</f>
        <v>Revenue</v>
      </c>
      <c r="T230" s="25">
        <f t="shared" si="3"/>
        <v>29100</v>
      </c>
    </row>
    <row r="231" spans="1:20">
      <c r="A231" t="s">
        <v>719</v>
      </c>
      <c r="B231" s="7">
        <v>45854</v>
      </c>
      <c r="C231" t="s">
        <v>93</v>
      </c>
      <c r="D231" t="s">
        <v>94</v>
      </c>
      <c r="E231" t="s">
        <v>160</v>
      </c>
      <c r="F231" s="12" t="s">
        <v>24</v>
      </c>
      <c r="G231" t="s">
        <v>25</v>
      </c>
      <c r="H231" t="s">
        <v>720</v>
      </c>
      <c r="I231" t="s">
        <v>71</v>
      </c>
      <c r="J231" s="6">
        <v>27000</v>
      </c>
      <c r="K231" t="s">
        <v>3</v>
      </c>
      <c r="L231" t="s">
        <v>718</v>
      </c>
      <c r="M231" t="s">
        <v>3</v>
      </c>
      <c r="N231" s="25" t="str">
        <f>TEXT(tbl_Ledger[[#This Row],[Date]],"yyyy-mm")</f>
        <v>2025-07</v>
      </c>
      <c r="O231" s="25" t="str">
        <f>TEXT(tbl_Ledger[[#This Row],[Date]],"yyyy-mm") &amp; TRIM(tbl_Ledger[[#This Row],[Currency]])</f>
        <v>2025-07NGN</v>
      </c>
      <c r="P231" s="25">
        <f>_xlfn.XLOOKUP(tbl_Ledger[[#This Row],[Key]], tbl_FX[Key], tbl_FX[Rate_to_NGN])</f>
        <v>1</v>
      </c>
      <c r="Q231" s="37">
        <f>IF(tbl_Ledger[[#This Row],[Account_Type]]="Expense",-ABS(tbl_Ledger[[#This Row],[Amount]]*tbl_Ledger[[#This Row],[Rate_to_NGN]]),tbl_Ledger[[#This Row],[Amount]]*tbl_Ledger[[#This Row],[Rate_to_NGN]])</f>
        <v>27000</v>
      </c>
      <c r="R231" s="25" t="str">
        <f>_xlfn.XLOOKUP(tbl_Ledger[[#This Row],[Account_Code]], tbl_Accounts[Account_Code], tbl_Accounts[Type])</f>
        <v>Revenue</v>
      </c>
      <c r="S231" s="25" t="str">
        <f>_xlfn.XLOOKUP(tbl_Ledger[[#This Row],[Account_Code]], tbl_Accounts[Account_Code], tbl_Accounts[PL_Bucket])</f>
        <v>Revenue</v>
      </c>
      <c r="T231" s="25">
        <f t="shared" si="3"/>
        <v>27000</v>
      </c>
    </row>
    <row r="232" spans="1:20">
      <c r="A232" t="s">
        <v>721</v>
      </c>
      <c r="B232" s="7">
        <v>45854</v>
      </c>
      <c r="C232" t="s">
        <v>93</v>
      </c>
      <c r="D232" t="s">
        <v>94</v>
      </c>
      <c r="E232" t="s">
        <v>107</v>
      </c>
      <c r="F232" s="12" t="s">
        <v>24</v>
      </c>
      <c r="G232" t="s">
        <v>25</v>
      </c>
      <c r="H232" t="s">
        <v>722</v>
      </c>
      <c r="I232" t="s">
        <v>71</v>
      </c>
      <c r="J232" s="6">
        <v>26700</v>
      </c>
      <c r="K232" t="s">
        <v>3</v>
      </c>
      <c r="L232" t="s">
        <v>723</v>
      </c>
      <c r="M232" t="s">
        <v>3</v>
      </c>
      <c r="N232" s="25" t="str">
        <f>TEXT(tbl_Ledger[[#This Row],[Date]],"yyyy-mm")</f>
        <v>2025-07</v>
      </c>
      <c r="O232" s="25" t="str">
        <f>TEXT(tbl_Ledger[[#This Row],[Date]],"yyyy-mm") &amp; TRIM(tbl_Ledger[[#This Row],[Currency]])</f>
        <v>2025-07NGN</v>
      </c>
      <c r="P232" s="25">
        <f>_xlfn.XLOOKUP(tbl_Ledger[[#This Row],[Key]], tbl_FX[Key], tbl_FX[Rate_to_NGN])</f>
        <v>1</v>
      </c>
      <c r="Q232" s="37">
        <f>IF(tbl_Ledger[[#This Row],[Account_Type]]="Expense",-ABS(tbl_Ledger[[#This Row],[Amount]]*tbl_Ledger[[#This Row],[Rate_to_NGN]]),tbl_Ledger[[#This Row],[Amount]]*tbl_Ledger[[#This Row],[Rate_to_NGN]])</f>
        <v>26700</v>
      </c>
      <c r="R232" s="25" t="str">
        <f>_xlfn.XLOOKUP(tbl_Ledger[[#This Row],[Account_Code]], tbl_Accounts[Account_Code], tbl_Accounts[Type])</f>
        <v>Revenue</v>
      </c>
      <c r="S232" s="25" t="str">
        <f>_xlfn.XLOOKUP(tbl_Ledger[[#This Row],[Account_Code]], tbl_Accounts[Account_Code], tbl_Accounts[PL_Bucket])</f>
        <v>Revenue</v>
      </c>
      <c r="T232" s="25">
        <f t="shared" si="3"/>
        <v>26700</v>
      </c>
    </row>
    <row r="233" spans="1:20">
      <c r="A233" t="s">
        <v>724</v>
      </c>
      <c r="B233" s="7">
        <v>45854</v>
      </c>
      <c r="C233" t="s">
        <v>93</v>
      </c>
      <c r="D233" t="s">
        <v>111</v>
      </c>
      <c r="E233" t="s">
        <v>112</v>
      </c>
      <c r="F233" s="12" t="s">
        <v>24</v>
      </c>
      <c r="G233" t="s">
        <v>25</v>
      </c>
      <c r="H233" t="s">
        <v>725</v>
      </c>
      <c r="I233" t="s">
        <v>71</v>
      </c>
      <c r="J233" s="6">
        <v>49200</v>
      </c>
      <c r="K233" t="s">
        <v>3</v>
      </c>
      <c r="L233" t="s">
        <v>726</v>
      </c>
      <c r="M233" t="s">
        <v>3</v>
      </c>
      <c r="N233" s="25" t="str">
        <f>TEXT(tbl_Ledger[[#This Row],[Date]],"yyyy-mm")</f>
        <v>2025-07</v>
      </c>
      <c r="O233" s="25" t="str">
        <f>TEXT(tbl_Ledger[[#This Row],[Date]],"yyyy-mm") &amp; TRIM(tbl_Ledger[[#This Row],[Currency]])</f>
        <v>2025-07NGN</v>
      </c>
      <c r="P233" s="25">
        <f>_xlfn.XLOOKUP(tbl_Ledger[[#This Row],[Key]], tbl_FX[Key], tbl_FX[Rate_to_NGN])</f>
        <v>1</v>
      </c>
      <c r="Q233" s="37">
        <f>IF(tbl_Ledger[[#This Row],[Account_Type]]="Expense",-ABS(tbl_Ledger[[#This Row],[Amount]]*tbl_Ledger[[#This Row],[Rate_to_NGN]]),tbl_Ledger[[#This Row],[Amount]]*tbl_Ledger[[#This Row],[Rate_to_NGN]])</f>
        <v>49200</v>
      </c>
      <c r="R233" s="25" t="str">
        <f>_xlfn.XLOOKUP(tbl_Ledger[[#This Row],[Account_Code]], tbl_Accounts[Account_Code], tbl_Accounts[Type])</f>
        <v>Revenue</v>
      </c>
      <c r="S233" s="25" t="str">
        <f>_xlfn.XLOOKUP(tbl_Ledger[[#This Row],[Account_Code]], tbl_Accounts[Account_Code], tbl_Accounts[PL_Bucket])</f>
        <v>Revenue</v>
      </c>
      <c r="T233" s="25">
        <f t="shared" si="3"/>
        <v>49200</v>
      </c>
    </row>
    <row r="234" spans="1:20">
      <c r="A234" t="s">
        <v>727</v>
      </c>
      <c r="B234" s="7">
        <v>45854</v>
      </c>
      <c r="C234" t="s">
        <v>93</v>
      </c>
      <c r="D234" t="s">
        <v>111</v>
      </c>
      <c r="E234" t="s">
        <v>116</v>
      </c>
      <c r="F234" s="12" t="s">
        <v>24</v>
      </c>
      <c r="G234" t="s">
        <v>25</v>
      </c>
      <c r="H234" t="s">
        <v>728</v>
      </c>
      <c r="I234" t="s">
        <v>71</v>
      </c>
      <c r="J234" s="6">
        <v>47800</v>
      </c>
      <c r="K234" t="s">
        <v>3</v>
      </c>
      <c r="L234" t="s">
        <v>726</v>
      </c>
      <c r="M234" t="s">
        <v>3</v>
      </c>
      <c r="N234" s="25" t="str">
        <f>TEXT(tbl_Ledger[[#This Row],[Date]],"yyyy-mm")</f>
        <v>2025-07</v>
      </c>
      <c r="O234" s="25" t="str">
        <f>TEXT(tbl_Ledger[[#This Row],[Date]],"yyyy-mm") &amp; TRIM(tbl_Ledger[[#This Row],[Currency]])</f>
        <v>2025-07NGN</v>
      </c>
      <c r="P234" s="25">
        <f>_xlfn.XLOOKUP(tbl_Ledger[[#This Row],[Key]], tbl_FX[Key], tbl_FX[Rate_to_NGN])</f>
        <v>1</v>
      </c>
      <c r="Q234" s="37">
        <f>IF(tbl_Ledger[[#This Row],[Account_Type]]="Expense",-ABS(tbl_Ledger[[#This Row],[Amount]]*tbl_Ledger[[#This Row],[Rate_to_NGN]]),tbl_Ledger[[#This Row],[Amount]]*tbl_Ledger[[#This Row],[Rate_to_NGN]])</f>
        <v>47800</v>
      </c>
      <c r="R234" s="25" t="str">
        <f>_xlfn.XLOOKUP(tbl_Ledger[[#This Row],[Account_Code]], tbl_Accounts[Account_Code], tbl_Accounts[Type])</f>
        <v>Revenue</v>
      </c>
      <c r="S234" s="25" t="str">
        <f>_xlfn.XLOOKUP(tbl_Ledger[[#This Row],[Account_Code]], tbl_Accounts[Account_Code], tbl_Accounts[PL_Bucket])</f>
        <v>Revenue</v>
      </c>
      <c r="T234" s="25">
        <f t="shared" si="3"/>
        <v>47800</v>
      </c>
    </row>
    <row r="235" spans="1:20">
      <c r="A235" t="s">
        <v>729</v>
      </c>
      <c r="B235" s="7">
        <v>45854</v>
      </c>
      <c r="C235" t="s">
        <v>93</v>
      </c>
      <c r="D235" t="s">
        <v>111</v>
      </c>
      <c r="E235" t="s">
        <v>119</v>
      </c>
      <c r="F235" s="12" t="s">
        <v>24</v>
      </c>
      <c r="G235" t="s">
        <v>25</v>
      </c>
      <c r="H235" t="s">
        <v>730</v>
      </c>
      <c r="I235" t="s">
        <v>71</v>
      </c>
      <c r="J235" s="6">
        <v>50300</v>
      </c>
      <c r="K235" t="s">
        <v>3</v>
      </c>
      <c r="L235" t="s">
        <v>726</v>
      </c>
      <c r="M235" t="s">
        <v>3</v>
      </c>
      <c r="N235" s="25" t="str">
        <f>TEXT(tbl_Ledger[[#This Row],[Date]],"yyyy-mm")</f>
        <v>2025-07</v>
      </c>
      <c r="O235" s="25" t="str">
        <f>TEXT(tbl_Ledger[[#This Row],[Date]],"yyyy-mm") &amp; TRIM(tbl_Ledger[[#This Row],[Currency]])</f>
        <v>2025-07NGN</v>
      </c>
      <c r="P235" s="25">
        <f>_xlfn.XLOOKUP(tbl_Ledger[[#This Row],[Key]], tbl_FX[Key], tbl_FX[Rate_to_NGN])</f>
        <v>1</v>
      </c>
      <c r="Q235" s="37">
        <f>IF(tbl_Ledger[[#This Row],[Account_Type]]="Expense",-ABS(tbl_Ledger[[#This Row],[Amount]]*tbl_Ledger[[#This Row],[Rate_to_NGN]]),tbl_Ledger[[#This Row],[Amount]]*tbl_Ledger[[#This Row],[Rate_to_NGN]])</f>
        <v>50300</v>
      </c>
      <c r="R235" s="25" t="str">
        <f>_xlfn.XLOOKUP(tbl_Ledger[[#This Row],[Account_Code]], tbl_Accounts[Account_Code], tbl_Accounts[Type])</f>
        <v>Revenue</v>
      </c>
      <c r="S235" s="25" t="str">
        <f>_xlfn.XLOOKUP(tbl_Ledger[[#This Row],[Account_Code]], tbl_Accounts[Account_Code], tbl_Accounts[PL_Bucket])</f>
        <v>Revenue</v>
      </c>
      <c r="T235" s="25">
        <f t="shared" si="3"/>
        <v>50300</v>
      </c>
    </row>
    <row r="236" spans="1:20">
      <c r="A236" t="s">
        <v>731</v>
      </c>
      <c r="B236" s="7">
        <v>45854</v>
      </c>
      <c r="C236" t="s">
        <v>93</v>
      </c>
      <c r="D236" t="s">
        <v>111</v>
      </c>
      <c r="E236" t="s">
        <v>170</v>
      </c>
      <c r="F236" s="12" t="s">
        <v>24</v>
      </c>
      <c r="G236" t="s">
        <v>25</v>
      </c>
      <c r="H236" t="s">
        <v>732</v>
      </c>
      <c r="I236" t="s">
        <v>71</v>
      </c>
      <c r="J236" s="6">
        <v>45300</v>
      </c>
      <c r="K236" t="s">
        <v>3</v>
      </c>
      <c r="L236" t="s">
        <v>726</v>
      </c>
      <c r="M236" t="s">
        <v>3</v>
      </c>
      <c r="N236" s="25" t="str">
        <f>TEXT(tbl_Ledger[[#This Row],[Date]],"yyyy-mm")</f>
        <v>2025-07</v>
      </c>
      <c r="O236" s="25" t="str">
        <f>TEXT(tbl_Ledger[[#This Row],[Date]],"yyyy-mm") &amp; TRIM(tbl_Ledger[[#This Row],[Currency]])</f>
        <v>2025-07NGN</v>
      </c>
      <c r="P236" s="25">
        <f>_xlfn.XLOOKUP(tbl_Ledger[[#This Row],[Key]], tbl_FX[Key], tbl_FX[Rate_to_NGN])</f>
        <v>1</v>
      </c>
      <c r="Q236" s="37">
        <f>IF(tbl_Ledger[[#This Row],[Account_Type]]="Expense",-ABS(tbl_Ledger[[#This Row],[Amount]]*tbl_Ledger[[#This Row],[Rate_to_NGN]]),tbl_Ledger[[#This Row],[Amount]]*tbl_Ledger[[#This Row],[Rate_to_NGN]])</f>
        <v>45300</v>
      </c>
      <c r="R236" s="25" t="str">
        <f>_xlfn.XLOOKUP(tbl_Ledger[[#This Row],[Account_Code]], tbl_Accounts[Account_Code], tbl_Accounts[Type])</f>
        <v>Revenue</v>
      </c>
      <c r="S236" s="25" t="str">
        <f>_xlfn.XLOOKUP(tbl_Ledger[[#This Row],[Account_Code]], tbl_Accounts[Account_Code], tbl_Accounts[PL_Bucket])</f>
        <v>Revenue</v>
      </c>
      <c r="T236" s="25">
        <f t="shared" si="3"/>
        <v>45300</v>
      </c>
    </row>
    <row r="237" spans="1:20">
      <c r="A237" t="s">
        <v>733</v>
      </c>
      <c r="B237" s="7">
        <v>45854</v>
      </c>
      <c r="C237" t="s">
        <v>93</v>
      </c>
      <c r="D237" t="s">
        <v>111</v>
      </c>
      <c r="E237" t="s">
        <v>122</v>
      </c>
      <c r="F237" s="12" t="s">
        <v>24</v>
      </c>
      <c r="G237" t="s">
        <v>25</v>
      </c>
      <c r="H237" t="s">
        <v>734</v>
      </c>
      <c r="I237" t="s">
        <v>71</v>
      </c>
      <c r="J237" s="6">
        <v>47100</v>
      </c>
      <c r="K237" t="s">
        <v>3</v>
      </c>
      <c r="L237" t="s">
        <v>735</v>
      </c>
      <c r="M237" t="s">
        <v>3</v>
      </c>
      <c r="N237" s="25" t="str">
        <f>TEXT(tbl_Ledger[[#This Row],[Date]],"yyyy-mm")</f>
        <v>2025-07</v>
      </c>
      <c r="O237" s="25" t="str">
        <f>TEXT(tbl_Ledger[[#This Row],[Date]],"yyyy-mm") &amp; TRIM(tbl_Ledger[[#This Row],[Currency]])</f>
        <v>2025-07NGN</v>
      </c>
      <c r="P237" s="25">
        <f>_xlfn.XLOOKUP(tbl_Ledger[[#This Row],[Key]], tbl_FX[Key], tbl_FX[Rate_to_NGN])</f>
        <v>1</v>
      </c>
      <c r="Q237" s="37">
        <f>IF(tbl_Ledger[[#This Row],[Account_Type]]="Expense",-ABS(tbl_Ledger[[#This Row],[Amount]]*tbl_Ledger[[#This Row],[Rate_to_NGN]]),tbl_Ledger[[#This Row],[Amount]]*tbl_Ledger[[#This Row],[Rate_to_NGN]])</f>
        <v>47100</v>
      </c>
      <c r="R237" s="25" t="str">
        <f>_xlfn.XLOOKUP(tbl_Ledger[[#This Row],[Account_Code]], tbl_Accounts[Account_Code], tbl_Accounts[Type])</f>
        <v>Revenue</v>
      </c>
      <c r="S237" s="25" t="str">
        <f>_xlfn.XLOOKUP(tbl_Ledger[[#This Row],[Account_Code]], tbl_Accounts[Account_Code], tbl_Accounts[PL_Bucket])</f>
        <v>Revenue</v>
      </c>
      <c r="T237" s="25">
        <f t="shared" si="3"/>
        <v>47100</v>
      </c>
    </row>
    <row r="238" spans="1:20">
      <c r="A238" t="s">
        <v>736</v>
      </c>
      <c r="B238" s="7">
        <v>45854</v>
      </c>
      <c r="C238" t="s">
        <v>126</v>
      </c>
      <c r="D238" t="s">
        <v>88</v>
      </c>
      <c r="E238" t="s">
        <v>127</v>
      </c>
      <c r="F238" s="12" t="s">
        <v>29</v>
      </c>
      <c r="G238" t="s">
        <v>30</v>
      </c>
      <c r="H238" t="s">
        <v>737</v>
      </c>
      <c r="I238" t="s">
        <v>71</v>
      </c>
      <c r="J238" s="6">
        <v>41200</v>
      </c>
      <c r="K238" t="s">
        <v>129</v>
      </c>
      <c r="L238" t="s">
        <v>738</v>
      </c>
      <c r="M238" t="s">
        <v>3</v>
      </c>
      <c r="N238" s="25" t="str">
        <f>TEXT(tbl_Ledger[[#This Row],[Date]],"yyyy-mm")</f>
        <v>2025-07</v>
      </c>
      <c r="O238" s="25" t="str">
        <f>TEXT(tbl_Ledger[[#This Row],[Date]],"yyyy-mm") &amp; TRIM(tbl_Ledger[[#This Row],[Currency]])</f>
        <v>2025-07NGN</v>
      </c>
      <c r="P238" s="25">
        <f>_xlfn.XLOOKUP(tbl_Ledger[[#This Row],[Key]], tbl_FX[Key], tbl_FX[Rate_to_NGN])</f>
        <v>1</v>
      </c>
      <c r="Q238" s="37">
        <f>IF(tbl_Ledger[[#This Row],[Account_Type]]="Expense",-ABS(tbl_Ledger[[#This Row],[Amount]]*tbl_Ledger[[#This Row],[Rate_to_NGN]]),tbl_Ledger[[#This Row],[Amount]]*tbl_Ledger[[#This Row],[Rate_to_NGN]])</f>
        <v>41200</v>
      </c>
      <c r="R238" s="25" t="str">
        <f>_xlfn.XLOOKUP(tbl_Ledger[[#This Row],[Account_Code]], tbl_Accounts[Account_Code], tbl_Accounts[Type])</f>
        <v>Revenue</v>
      </c>
      <c r="S238" s="25" t="str">
        <f>_xlfn.XLOOKUP(tbl_Ledger[[#This Row],[Account_Code]], tbl_Accounts[Account_Code], tbl_Accounts[PL_Bucket])</f>
        <v>Revenue</v>
      </c>
      <c r="T238" s="25">
        <f t="shared" si="3"/>
        <v>41200</v>
      </c>
    </row>
    <row r="239" spans="1:20">
      <c r="A239" t="s">
        <v>739</v>
      </c>
      <c r="B239" s="7">
        <v>45854</v>
      </c>
      <c r="C239" t="s">
        <v>126</v>
      </c>
      <c r="D239" t="s">
        <v>88</v>
      </c>
      <c r="E239" t="s">
        <v>132</v>
      </c>
      <c r="F239" s="12" t="s">
        <v>29</v>
      </c>
      <c r="G239" t="s">
        <v>30</v>
      </c>
      <c r="H239" t="s">
        <v>740</v>
      </c>
      <c r="I239" t="s">
        <v>72</v>
      </c>
      <c r="J239" s="6">
        <v>26.67</v>
      </c>
      <c r="K239" t="s">
        <v>134</v>
      </c>
      <c r="L239" t="s">
        <v>738</v>
      </c>
      <c r="M239" t="s">
        <v>3</v>
      </c>
      <c r="N239" s="25" t="str">
        <f>TEXT(tbl_Ledger[[#This Row],[Date]],"yyyy-mm")</f>
        <v>2025-07</v>
      </c>
      <c r="O239" s="25" t="str">
        <f>TEXT(tbl_Ledger[[#This Row],[Date]],"yyyy-mm") &amp; TRIM(tbl_Ledger[[#This Row],[Currency]])</f>
        <v>2025-07USD</v>
      </c>
      <c r="P239" s="25">
        <f>_xlfn.XLOOKUP(tbl_Ledger[[#This Row],[Key]], tbl_FX[Key], tbl_FX[Rate_to_NGN])</f>
        <v>1530</v>
      </c>
      <c r="Q239" s="37">
        <f>IF(tbl_Ledger[[#This Row],[Account_Type]]="Expense",-ABS(tbl_Ledger[[#This Row],[Amount]]*tbl_Ledger[[#This Row],[Rate_to_NGN]]),tbl_Ledger[[#This Row],[Amount]]*tbl_Ledger[[#This Row],[Rate_to_NGN]])</f>
        <v>40805.100000000006</v>
      </c>
      <c r="R239" s="25" t="str">
        <f>_xlfn.XLOOKUP(tbl_Ledger[[#This Row],[Account_Code]], tbl_Accounts[Account_Code], tbl_Accounts[Type])</f>
        <v>Revenue</v>
      </c>
      <c r="S239" s="25" t="str">
        <f>_xlfn.XLOOKUP(tbl_Ledger[[#This Row],[Account_Code]], tbl_Accounts[Account_Code], tbl_Accounts[PL_Bucket])</f>
        <v>Revenue</v>
      </c>
      <c r="T239" s="25">
        <f t="shared" si="3"/>
        <v>40805.100000000006</v>
      </c>
    </row>
    <row r="240" spans="1:20">
      <c r="A240" t="s">
        <v>741</v>
      </c>
      <c r="B240" s="7">
        <v>45854</v>
      </c>
      <c r="C240" t="s">
        <v>126</v>
      </c>
      <c r="D240" t="s">
        <v>88</v>
      </c>
      <c r="E240" t="s">
        <v>136</v>
      </c>
      <c r="F240" s="12" t="s">
        <v>29</v>
      </c>
      <c r="G240" t="s">
        <v>30</v>
      </c>
      <c r="H240" t="s">
        <v>742</v>
      </c>
      <c r="I240" t="s">
        <v>71</v>
      </c>
      <c r="J240" s="6">
        <v>44100</v>
      </c>
      <c r="K240" t="s">
        <v>138</v>
      </c>
      <c r="L240" t="s">
        <v>738</v>
      </c>
      <c r="M240" t="s">
        <v>3</v>
      </c>
      <c r="N240" s="25" t="str">
        <f>TEXT(tbl_Ledger[[#This Row],[Date]],"yyyy-mm")</f>
        <v>2025-07</v>
      </c>
      <c r="O240" s="25" t="str">
        <f>TEXT(tbl_Ledger[[#This Row],[Date]],"yyyy-mm") &amp; TRIM(tbl_Ledger[[#This Row],[Currency]])</f>
        <v>2025-07NGN</v>
      </c>
      <c r="P240" s="25">
        <f>_xlfn.XLOOKUP(tbl_Ledger[[#This Row],[Key]], tbl_FX[Key], tbl_FX[Rate_to_NGN])</f>
        <v>1</v>
      </c>
      <c r="Q240" s="37">
        <f>IF(tbl_Ledger[[#This Row],[Account_Type]]="Expense",-ABS(tbl_Ledger[[#This Row],[Amount]]*tbl_Ledger[[#This Row],[Rate_to_NGN]]),tbl_Ledger[[#This Row],[Amount]]*tbl_Ledger[[#This Row],[Rate_to_NGN]])</f>
        <v>44100</v>
      </c>
      <c r="R240" s="25" t="str">
        <f>_xlfn.XLOOKUP(tbl_Ledger[[#This Row],[Account_Code]], tbl_Accounts[Account_Code], tbl_Accounts[Type])</f>
        <v>Revenue</v>
      </c>
      <c r="S240" s="25" t="str">
        <f>_xlfn.XLOOKUP(tbl_Ledger[[#This Row],[Account_Code]], tbl_Accounts[Account_Code], tbl_Accounts[PL_Bucket])</f>
        <v>Revenue</v>
      </c>
      <c r="T240" s="25">
        <f t="shared" si="3"/>
        <v>44100</v>
      </c>
    </row>
    <row r="241" spans="1:20">
      <c r="A241" t="s">
        <v>743</v>
      </c>
      <c r="B241" s="7">
        <v>45854</v>
      </c>
      <c r="C241" t="s">
        <v>126</v>
      </c>
      <c r="D241" t="s">
        <v>88</v>
      </c>
      <c r="E241" t="s">
        <v>140</v>
      </c>
      <c r="F241" s="12" t="s">
        <v>29</v>
      </c>
      <c r="G241" t="s">
        <v>30</v>
      </c>
      <c r="H241" t="s">
        <v>744</v>
      </c>
      <c r="I241" t="s">
        <v>71</v>
      </c>
      <c r="J241" s="6">
        <v>46100</v>
      </c>
      <c r="K241" t="s">
        <v>3</v>
      </c>
      <c r="L241" t="s">
        <v>745</v>
      </c>
      <c r="M241" t="s">
        <v>3</v>
      </c>
      <c r="N241" s="25" t="str">
        <f>TEXT(tbl_Ledger[[#This Row],[Date]],"yyyy-mm")</f>
        <v>2025-07</v>
      </c>
      <c r="O241" s="25" t="str">
        <f>TEXT(tbl_Ledger[[#This Row],[Date]],"yyyy-mm") &amp; TRIM(tbl_Ledger[[#This Row],[Currency]])</f>
        <v>2025-07NGN</v>
      </c>
      <c r="P241" s="25">
        <f>_xlfn.XLOOKUP(tbl_Ledger[[#This Row],[Key]], tbl_FX[Key], tbl_FX[Rate_to_NGN])</f>
        <v>1</v>
      </c>
      <c r="Q241" s="37">
        <f>IF(tbl_Ledger[[#This Row],[Account_Type]]="Expense",-ABS(tbl_Ledger[[#This Row],[Amount]]*tbl_Ledger[[#This Row],[Rate_to_NGN]]),tbl_Ledger[[#This Row],[Amount]]*tbl_Ledger[[#This Row],[Rate_to_NGN]])</f>
        <v>46100</v>
      </c>
      <c r="R241" s="25" t="str">
        <f>_xlfn.XLOOKUP(tbl_Ledger[[#This Row],[Account_Code]], tbl_Accounts[Account_Code], tbl_Accounts[Type])</f>
        <v>Revenue</v>
      </c>
      <c r="S241" s="25" t="str">
        <f>_xlfn.XLOOKUP(tbl_Ledger[[#This Row],[Account_Code]], tbl_Accounts[Account_Code], tbl_Accounts[PL_Bucket])</f>
        <v>Revenue</v>
      </c>
      <c r="T241" s="25">
        <f t="shared" si="3"/>
        <v>46100</v>
      </c>
    </row>
    <row r="242" spans="1:20">
      <c r="A242" t="s">
        <v>746</v>
      </c>
      <c r="B242" s="7">
        <v>45854</v>
      </c>
      <c r="C242" t="s">
        <v>93</v>
      </c>
      <c r="D242" t="s">
        <v>94</v>
      </c>
      <c r="E242" t="s">
        <v>95</v>
      </c>
      <c r="F242" s="12" t="s">
        <v>31</v>
      </c>
      <c r="G242" t="s">
        <v>32</v>
      </c>
      <c r="H242" t="s">
        <v>747</v>
      </c>
      <c r="I242" t="s">
        <v>71</v>
      </c>
      <c r="J242" s="6">
        <v>-131837</v>
      </c>
      <c r="K242" t="s">
        <v>3</v>
      </c>
      <c r="L242" t="s">
        <v>748</v>
      </c>
      <c r="M242" t="s">
        <v>3</v>
      </c>
      <c r="N242" s="25" t="str">
        <f>TEXT(tbl_Ledger[[#This Row],[Date]],"yyyy-mm")</f>
        <v>2025-07</v>
      </c>
      <c r="O242" s="25" t="str">
        <f>TEXT(tbl_Ledger[[#This Row],[Date]],"yyyy-mm") &amp; TRIM(tbl_Ledger[[#This Row],[Currency]])</f>
        <v>2025-07NGN</v>
      </c>
      <c r="P242" s="25">
        <f>_xlfn.XLOOKUP(tbl_Ledger[[#This Row],[Key]], tbl_FX[Key], tbl_FX[Rate_to_NGN])</f>
        <v>1</v>
      </c>
      <c r="Q242" s="37">
        <f>IF(tbl_Ledger[[#This Row],[Account_Type]]="Expense",-ABS(tbl_Ledger[[#This Row],[Amount]]*tbl_Ledger[[#This Row],[Rate_to_NGN]]),tbl_Ledger[[#This Row],[Amount]]*tbl_Ledger[[#This Row],[Rate_to_NGN]])</f>
        <v>-131837</v>
      </c>
      <c r="R242" s="25" t="str">
        <f>_xlfn.XLOOKUP(tbl_Ledger[[#This Row],[Account_Code]], tbl_Accounts[Account_Code], tbl_Accounts[Type])</f>
        <v>Revenue</v>
      </c>
      <c r="S242" s="25" t="str">
        <f>_xlfn.XLOOKUP(tbl_Ledger[[#This Row],[Account_Code]], tbl_Accounts[Account_Code], tbl_Accounts[PL_Bucket])</f>
        <v>Revenue</v>
      </c>
      <c r="T242" s="25">
        <f t="shared" si="3"/>
        <v>131837</v>
      </c>
    </row>
    <row r="243" spans="1:20">
      <c r="A243" t="s">
        <v>749</v>
      </c>
      <c r="B243" s="7">
        <v>45854</v>
      </c>
      <c r="C243" t="s">
        <v>93</v>
      </c>
      <c r="D243" t="s">
        <v>94</v>
      </c>
      <c r="E243" t="s">
        <v>95</v>
      </c>
      <c r="F243" s="12" t="s">
        <v>31</v>
      </c>
      <c r="G243" t="s">
        <v>32</v>
      </c>
      <c r="H243" t="s">
        <v>750</v>
      </c>
      <c r="I243" t="s">
        <v>71</v>
      </c>
      <c r="J243" s="6">
        <v>130743</v>
      </c>
      <c r="K243" t="s">
        <v>3</v>
      </c>
      <c r="L243" t="s">
        <v>751</v>
      </c>
      <c r="M243" t="s">
        <v>237</v>
      </c>
      <c r="N243" s="25" t="str">
        <f>TEXT(tbl_Ledger[[#This Row],[Date]],"yyyy-mm")</f>
        <v>2025-07</v>
      </c>
      <c r="O243" s="25" t="str">
        <f>TEXT(tbl_Ledger[[#This Row],[Date]],"yyyy-mm") &amp; TRIM(tbl_Ledger[[#This Row],[Currency]])</f>
        <v>2025-07NGN</v>
      </c>
      <c r="P243" s="25">
        <f>_xlfn.XLOOKUP(tbl_Ledger[[#This Row],[Key]], tbl_FX[Key], tbl_FX[Rate_to_NGN])</f>
        <v>1</v>
      </c>
      <c r="Q243" s="37">
        <f>IF(tbl_Ledger[[#This Row],[Account_Type]]="Expense",-ABS(tbl_Ledger[[#This Row],[Amount]]*tbl_Ledger[[#This Row],[Rate_to_NGN]]),tbl_Ledger[[#This Row],[Amount]]*tbl_Ledger[[#This Row],[Rate_to_NGN]])</f>
        <v>130743</v>
      </c>
      <c r="R243" s="25" t="str">
        <f>_xlfn.XLOOKUP(tbl_Ledger[[#This Row],[Account_Code]], tbl_Accounts[Account_Code], tbl_Accounts[Type])</f>
        <v>Revenue</v>
      </c>
      <c r="S243" s="25" t="str">
        <f>_xlfn.XLOOKUP(tbl_Ledger[[#This Row],[Account_Code]], tbl_Accounts[Account_Code], tbl_Accounts[PL_Bucket])</f>
        <v>Revenue</v>
      </c>
      <c r="T243" s="25">
        <f t="shared" si="3"/>
        <v>130743</v>
      </c>
    </row>
    <row r="244" spans="1:20">
      <c r="A244" t="s">
        <v>752</v>
      </c>
      <c r="B244" s="7">
        <v>45854</v>
      </c>
      <c r="C244" t="s">
        <v>87</v>
      </c>
      <c r="D244" t="s">
        <v>88</v>
      </c>
      <c r="E244" t="s">
        <v>3</v>
      </c>
      <c r="F244" s="12" t="s">
        <v>40</v>
      </c>
      <c r="G244" t="s">
        <v>41</v>
      </c>
      <c r="H244" t="s">
        <v>148</v>
      </c>
      <c r="I244" t="s">
        <v>71</v>
      </c>
      <c r="J244" s="6">
        <v>-550000</v>
      </c>
      <c r="K244" t="s">
        <v>90</v>
      </c>
      <c r="L244" t="s">
        <v>753</v>
      </c>
      <c r="M244" t="s">
        <v>3</v>
      </c>
      <c r="N244" s="25" t="str">
        <f>TEXT(tbl_Ledger[[#This Row],[Date]],"yyyy-mm")</f>
        <v>2025-07</v>
      </c>
      <c r="O244" s="25" t="str">
        <f>TEXT(tbl_Ledger[[#This Row],[Date]],"yyyy-mm") &amp; TRIM(tbl_Ledger[[#This Row],[Currency]])</f>
        <v>2025-07NGN</v>
      </c>
      <c r="P244" s="25">
        <f>_xlfn.XLOOKUP(tbl_Ledger[[#This Row],[Key]], tbl_FX[Key], tbl_FX[Rate_to_NGN])</f>
        <v>1</v>
      </c>
      <c r="Q244" s="37">
        <f>IF(tbl_Ledger[[#This Row],[Account_Type]]="Expense",-ABS(tbl_Ledger[[#This Row],[Amount]]*tbl_Ledger[[#This Row],[Rate_to_NGN]]),tbl_Ledger[[#This Row],[Amount]]*tbl_Ledger[[#This Row],[Rate_to_NGN]])</f>
        <v>-550000</v>
      </c>
      <c r="R244" s="25" t="str">
        <f>_xlfn.XLOOKUP(tbl_Ledger[[#This Row],[Account_Code]], tbl_Accounts[Account_Code], tbl_Accounts[Type])</f>
        <v>COGS</v>
      </c>
      <c r="S244" s="25" t="str">
        <f>_xlfn.XLOOKUP(tbl_Ledger[[#This Row],[Account_Code]], tbl_Accounts[Account_Code], tbl_Accounts[PL_Bucket])</f>
        <v>COGS</v>
      </c>
      <c r="T244" s="25">
        <f t="shared" si="3"/>
        <v>-550000</v>
      </c>
    </row>
    <row r="245" spans="1:20">
      <c r="A245" t="s">
        <v>754</v>
      </c>
      <c r="B245" s="7">
        <v>45855</v>
      </c>
      <c r="C245" t="s">
        <v>93</v>
      </c>
      <c r="D245" t="s">
        <v>94</v>
      </c>
      <c r="E245" t="s">
        <v>95</v>
      </c>
      <c r="F245" s="12" t="s">
        <v>24</v>
      </c>
      <c r="G245" t="s">
        <v>25</v>
      </c>
      <c r="H245" t="s">
        <v>755</v>
      </c>
      <c r="I245" t="s">
        <v>71</v>
      </c>
      <c r="J245" s="6">
        <v>29800</v>
      </c>
      <c r="K245" t="s">
        <v>3</v>
      </c>
      <c r="L245" t="s">
        <v>756</v>
      </c>
      <c r="M245" t="s">
        <v>3</v>
      </c>
      <c r="N245" s="25" t="str">
        <f>TEXT(tbl_Ledger[[#This Row],[Date]],"yyyy-mm")</f>
        <v>2025-07</v>
      </c>
      <c r="O245" s="25" t="str">
        <f>TEXT(tbl_Ledger[[#This Row],[Date]],"yyyy-mm") &amp; TRIM(tbl_Ledger[[#This Row],[Currency]])</f>
        <v>2025-07NGN</v>
      </c>
      <c r="P245" s="25">
        <f>_xlfn.XLOOKUP(tbl_Ledger[[#This Row],[Key]], tbl_FX[Key], tbl_FX[Rate_to_NGN])</f>
        <v>1</v>
      </c>
      <c r="Q245" s="37">
        <f>IF(tbl_Ledger[[#This Row],[Account_Type]]="Expense",-ABS(tbl_Ledger[[#This Row],[Amount]]*tbl_Ledger[[#This Row],[Rate_to_NGN]]),tbl_Ledger[[#This Row],[Amount]]*tbl_Ledger[[#This Row],[Rate_to_NGN]])</f>
        <v>29800</v>
      </c>
      <c r="R245" s="25" t="str">
        <f>_xlfn.XLOOKUP(tbl_Ledger[[#This Row],[Account_Code]], tbl_Accounts[Account_Code], tbl_Accounts[Type])</f>
        <v>Revenue</v>
      </c>
      <c r="S245" s="25" t="str">
        <f>_xlfn.XLOOKUP(tbl_Ledger[[#This Row],[Account_Code]], tbl_Accounts[Account_Code], tbl_Accounts[PL_Bucket])</f>
        <v>Revenue</v>
      </c>
      <c r="T245" s="25">
        <f t="shared" si="3"/>
        <v>29800</v>
      </c>
    </row>
    <row r="246" spans="1:20">
      <c r="A246" t="s">
        <v>757</v>
      </c>
      <c r="B246" s="7">
        <v>45855</v>
      </c>
      <c r="C246" t="s">
        <v>93</v>
      </c>
      <c r="D246" t="s">
        <v>94</v>
      </c>
      <c r="E246" t="s">
        <v>99</v>
      </c>
      <c r="F246" s="12" t="s">
        <v>24</v>
      </c>
      <c r="G246" t="s">
        <v>25</v>
      </c>
      <c r="H246" t="s">
        <v>758</v>
      </c>
      <c r="I246" t="s">
        <v>71</v>
      </c>
      <c r="J246" s="6">
        <v>27000</v>
      </c>
      <c r="K246" t="s">
        <v>3</v>
      </c>
      <c r="L246" t="s">
        <v>759</v>
      </c>
      <c r="M246" t="s">
        <v>3</v>
      </c>
      <c r="N246" s="25" t="str">
        <f>TEXT(tbl_Ledger[[#This Row],[Date]],"yyyy-mm")</f>
        <v>2025-07</v>
      </c>
      <c r="O246" s="25" t="str">
        <f>TEXT(tbl_Ledger[[#This Row],[Date]],"yyyy-mm") &amp; TRIM(tbl_Ledger[[#This Row],[Currency]])</f>
        <v>2025-07NGN</v>
      </c>
      <c r="P246" s="25">
        <f>_xlfn.XLOOKUP(tbl_Ledger[[#This Row],[Key]], tbl_FX[Key], tbl_FX[Rate_to_NGN])</f>
        <v>1</v>
      </c>
      <c r="Q246" s="37">
        <f>IF(tbl_Ledger[[#This Row],[Account_Type]]="Expense",-ABS(tbl_Ledger[[#This Row],[Amount]]*tbl_Ledger[[#This Row],[Rate_to_NGN]]),tbl_Ledger[[#This Row],[Amount]]*tbl_Ledger[[#This Row],[Rate_to_NGN]])</f>
        <v>27000</v>
      </c>
      <c r="R246" s="25" t="str">
        <f>_xlfn.XLOOKUP(tbl_Ledger[[#This Row],[Account_Code]], tbl_Accounts[Account_Code], tbl_Accounts[Type])</f>
        <v>Revenue</v>
      </c>
      <c r="S246" s="25" t="str">
        <f>_xlfn.XLOOKUP(tbl_Ledger[[#This Row],[Account_Code]], tbl_Accounts[Account_Code], tbl_Accounts[PL_Bucket])</f>
        <v>Revenue</v>
      </c>
      <c r="T246" s="25">
        <f t="shared" si="3"/>
        <v>27000</v>
      </c>
    </row>
    <row r="247" spans="1:20">
      <c r="A247" t="s">
        <v>760</v>
      </c>
      <c r="B247" s="7">
        <v>45855</v>
      </c>
      <c r="C247" t="s">
        <v>93</v>
      </c>
      <c r="D247" t="s">
        <v>94</v>
      </c>
      <c r="E247" t="s">
        <v>103</v>
      </c>
      <c r="F247" s="12" t="s">
        <v>24</v>
      </c>
      <c r="G247" t="s">
        <v>25</v>
      </c>
      <c r="H247" t="s">
        <v>761</v>
      </c>
      <c r="I247" t="s">
        <v>71</v>
      </c>
      <c r="J247" s="6">
        <v>30500</v>
      </c>
      <c r="K247" t="s">
        <v>3</v>
      </c>
      <c r="L247" t="s">
        <v>762</v>
      </c>
      <c r="M247" t="s">
        <v>3</v>
      </c>
      <c r="N247" s="25" t="str">
        <f>TEXT(tbl_Ledger[[#This Row],[Date]],"yyyy-mm")</f>
        <v>2025-07</v>
      </c>
      <c r="O247" s="25" t="str">
        <f>TEXT(tbl_Ledger[[#This Row],[Date]],"yyyy-mm") &amp; TRIM(tbl_Ledger[[#This Row],[Currency]])</f>
        <v>2025-07NGN</v>
      </c>
      <c r="P247" s="25">
        <f>_xlfn.XLOOKUP(tbl_Ledger[[#This Row],[Key]], tbl_FX[Key], tbl_FX[Rate_to_NGN])</f>
        <v>1</v>
      </c>
      <c r="Q247" s="37">
        <f>IF(tbl_Ledger[[#This Row],[Account_Type]]="Expense",-ABS(tbl_Ledger[[#This Row],[Amount]]*tbl_Ledger[[#This Row],[Rate_to_NGN]]),tbl_Ledger[[#This Row],[Amount]]*tbl_Ledger[[#This Row],[Rate_to_NGN]])</f>
        <v>30500</v>
      </c>
      <c r="R247" s="25" t="str">
        <f>_xlfn.XLOOKUP(tbl_Ledger[[#This Row],[Account_Code]], tbl_Accounts[Account_Code], tbl_Accounts[Type])</f>
        <v>Revenue</v>
      </c>
      <c r="S247" s="25" t="str">
        <f>_xlfn.XLOOKUP(tbl_Ledger[[#This Row],[Account_Code]], tbl_Accounts[Account_Code], tbl_Accounts[PL_Bucket])</f>
        <v>Revenue</v>
      </c>
      <c r="T247" s="25">
        <f t="shared" si="3"/>
        <v>30500</v>
      </c>
    </row>
    <row r="248" spans="1:20">
      <c r="A248" t="s">
        <v>763</v>
      </c>
      <c r="B248" s="7">
        <v>45855</v>
      </c>
      <c r="C248" t="s">
        <v>93</v>
      </c>
      <c r="D248" t="s">
        <v>94</v>
      </c>
      <c r="E248" t="s">
        <v>160</v>
      </c>
      <c r="F248" s="12" t="s">
        <v>24</v>
      </c>
      <c r="G248" t="s">
        <v>25</v>
      </c>
      <c r="H248" t="s">
        <v>764</v>
      </c>
      <c r="I248" t="s">
        <v>71</v>
      </c>
      <c r="J248" s="6">
        <v>30200</v>
      </c>
      <c r="K248" t="s">
        <v>3</v>
      </c>
      <c r="L248" t="s">
        <v>762</v>
      </c>
      <c r="M248" t="s">
        <v>3</v>
      </c>
      <c r="N248" s="25" t="str">
        <f>TEXT(tbl_Ledger[[#This Row],[Date]],"yyyy-mm")</f>
        <v>2025-07</v>
      </c>
      <c r="O248" s="25" t="str">
        <f>TEXT(tbl_Ledger[[#This Row],[Date]],"yyyy-mm") &amp; TRIM(tbl_Ledger[[#This Row],[Currency]])</f>
        <v>2025-07NGN</v>
      </c>
      <c r="P248" s="25">
        <f>_xlfn.XLOOKUP(tbl_Ledger[[#This Row],[Key]], tbl_FX[Key], tbl_FX[Rate_to_NGN])</f>
        <v>1</v>
      </c>
      <c r="Q248" s="37">
        <f>IF(tbl_Ledger[[#This Row],[Account_Type]]="Expense",-ABS(tbl_Ledger[[#This Row],[Amount]]*tbl_Ledger[[#This Row],[Rate_to_NGN]]),tbl_Ledger[[#This Row],[Amount]]*tbl_Ledger[[#This Row],[Rate_to_NGN]])</f>
        <v>30200</v>
      </c>
      <c r="R248" s="25" t="str">
        <f>_xlfn.XLOOKUP(tbl_Ledger[[#This Row],[Account_Code]], tbl_Accounts[Account_Code], tbl_Accounts[Type])</f>
        <v>Revenue</v>
      </c>
      <c r="S248" s="25" t="str">
        <f>_xlfn.XLOOKUP(tbl_Ledger[[#This Row],[Account_Code]], tbl_Accounts[Account_Code], tbl_Accounts[PL_Bucket])</f>
        <v>Revenue</v>
      </c>
      <c r="T248" s="25">
        <f t="shared" si="3"/>
        <v>30200</v>
      </c>
    </row>
    <row r="249" spans="1:20">
      <c r="A249" t="s">
        <v>765</v>
      </c>
      <c r="B249" s="7">
        <v>45855</v>
      </c>
      <c r="C249" t="s">
        <v>93</v>
      </c>
      <c r="D249" t="s">
        <v>94</v>
      </c>
      <c r="E249" t="s">
        <v>107</v>
      </c>
      <c r="F249" s="12" t="s">
        <v>24</v>
      </c>
      <c r="G249" t="s">
        <v>25</v>
      </c>
      <c r="H249" t="s">
        <v>766</v>
      </c>
      <c r="I249" t="s">
        <v>71</v>
      </c>
      <c r="J249" s="6">
        <v>27200</v>
      </c>
      <c r="K249" t="s">
        <v>3</v>
      </c>
      <c r="L249" t="s">
        <v>767</v>
      </c>
      <c r="M249" t="s">
        <v>3</v>
      </c>
      <c r="N249" s="25" t="str">
        <f>TEXT(tbl_Ledger[[#This Row],[Date]],"yyyy-mm")</f>
        <v>2025-07</v>
      </c>
      <c r="O249" s="25" t="str">
        <f>TEXT(tbl_Ledger[[#This Row],[Date]],"yyyy-mm") &amp; TRIM(tbl_Ledger[[#This Row],[Currency]])</f>
        <v>2025-07NGN</v>
      </c>
      <c r="P249" s="25">
        <f>_xlfn.XLOOKUP(tbl_Ledger[[#This Row],[Key]], tbl_FX[Key], tbl_FX[Rate_to_NGN])</f>
        <v>1</v>
      </c>
      <c r="Q249" s="37">
        <f>IF(tbl_Ledger[[#This Row],[Account_Type]]="Expense",-ABS(tbl_Ledger[[#This Row],[Amount]]*tbl_Ledger[[#This Row],[Rate_to_NGN]]),tbl_Ledger[[#This Row],[Amount]]*tbl_Ledger[[#This Row],[Rate_to_NGN]])</f>
        <v>27200</v>
      </c>
      <c r="R249" s="25" t="str">
        <f>_xlfn.XLOOKUP(tbl_Ledger[[#This Row],[Account_Code]], tbl_Accounts[Account_Code], tbl_Accounts[Type])</f>
        <v>Revenue</v>
      </c>
      <c r="S249" s="25" t="str">
        <f>_xlfn.XLOOKUP(tbl_Ledger[[#This Row],[Account_Code]], tbl_Accounts[Account_Code], tbl_Accounts[PL_Bucket])</f>
        <v>Revenue</v>
      </c>
      <c r="T249" s="25">
        <f t="shared" si="3"/>
        <v>27200</v>
      </c>
    </row>
    <row r="250" spans="1:20">
      <c r="A250" t="s">
        <v>768</v>
      </c>
      <c r="B250" s="7">
        <v>45855</v>
      </c>
      <c r="C250" t="s">
        <v>93</v>
      </c>
      <c r="D250" t="s">
        <v>111</v>
      </c>
      <c r="E250" t="s">
        <v>112</v>
      </c>
      <c r="F250" s="12" t="s">
        <v>24</v>
      </c>
      <c r="G250" t="s">
        <v>25</v>
      </c>
      <c r="H250" t="s">
        <v>769</v>
      </c>
      <c r="I250" t="s">
        <v>71</v>
      </c>
      <c r="J250" s="6">
        <v>46400</v>
      </c>
      <c r="K250" t="s">
        <v>3</v>
      </c>
      <c r="L250" t="s">
        <v>770</v>
      </c>
      <c r="M250" t="s">
        <v>3</v>
      </c>
      <c r="N250" s="25" t="str">
        <f>TEXT(tbl_Ledger[[#This Row],[Date]],"yyyy-mm")</f>
        <v>2025-07</v>
      </c>
      <c r="O250" s="25" t="str">
        <f>TEXT(tbl_Ledger[[#This Row],[Date]],"yyyy-mm") &amp; TRIM(tbl_Ledger[[#This Row],[Currency]])</f>
        <v>2025-07NGN</v>
      </c>
      <c r="P250" s="25">
        <f>_xlfn.XLOOKUP(tbl_Ledger[[#This Row],[Key]], tbl_FX[Key], tbl_FX[Rate_to_NGN])</f>
        <v>1</v>
      </c>
      <c r="Q250" s="37">
        <f>IF(tbl_Ledger[[#This Row],[Account_Type]]="Expense",-ABS(tbl_Ledger[[#This Row],[Amount]]*tbl_Ledger[[#This Row],[Rate_to_NGN]]),tbl_Ledger[[#This Row],[Amount]]*tbl_Ledger[[#This Row],[Rate_to_NGN]])</f>
        <v>46400</v>
      </c>
      <c r="R250" s="25" t="str">
        <f>_xlfn.XLOOKUP(tbl_Ledger[[#This Row],[Account_Code]], tbl_Accounts[Account_Code], tbl_Accounts[Type])</f>
        <v>Revenue</v>
      </c>
      <c r="S250" s="25" t="str">
        <f>_xlfn.XLOOKUP(tbl_Ledger[[#This Row],[Account_Code]], tbl_Accounts[Account_Code], tbl_Accounts[PL_Bucket])</f>
        <v>Revenue</v>
      </c>
      <c r="T250" s="25">
        <f t="shared" si="3"/>
        <v>46400</v>
      </c>
    </row>
    <row r="251" spans="1:20">
      <c r="A251" t="s">
        <v>771</v>
      </c>
      <c r="B251" s="7">
        <v>45855</v>
      </c>
      <c r="C251" t="s">
        <v>93</v>
      </c>
      <c r="D251" t="s">
        <v>111</v>
      </c>
      <c r="E251" t="s">
        <v>116</v>
      </c>
      <c r="F251" s="12" t="s">
        <v>24</v>
      </c>
      <c r="G251" t="s">
        <v>25</v>
      </c>
      <c r="H251" t="s">
        <v>772</v>
      </c>
      <c r="I251" t="s">
        <v>71</v>
      </c>
      <c r="J251" s="6">
        <v>49100</v>
      </c>
      <c r="K251" t="s">
        <v>3</v>
      </c>
      <c r="L251" t="s">
        <v>770</v>
      </c>
      <c r="M251" t="s">
        <v>3</v>
      </c>
      <c r="N251" s="25" t="str">
        <f>TEXT(tbl_Ledger[[#This Row],[Date]],"yyyy-mm")</f>
        <v>2025-07</v>
      </c>
      <c r="O251" s="25" t="str">
        <f>TEXT(tbl_Ledger[[#This Row],[Date]],"yyyy-mm") &amp; TRIM(tbl_Ledger[[#This Row],[Currency]])</f>
        <v>2025-07NGN</v>
      </c>
      <c r="P251" s="25">
        <f>_xlfn.XLOOKUP(tbl_Ledger[[#This Row],[Key]], tbl_FX[Key], tbl_FX[Rate_to_NGN])</f>
        <v>1</v>
      </c>
      <c r="Q251" s="37">
        <f>IF(tbl_Ledger[[#This Row],[Account_Type]]="Expense",-ABS(tbl_Ledger[[#This Row],[Amount]]*tbl_Ledger[[#This Row],[Rate_to_NGN]]),tbl_Ledger[[#This Row],[Amount]]*tbl_Ledger[[#This Row],[Rate_to_NGN]])</f>
        <v>49100</v>
      </c>
      <c r="R251" s="25" t="str">
        <f>_xlfn.XLOOKUP(tbl_Ledger[[#This Row],[Account_Code]], tbl_Accounts[Account_Code], tbl_Accounts[Type])</f>
        <v>Revenue</v>
      </c>
      <c r="S251" s="25" t="str">
        <f>_xlfn.XLOOKUP(tbl_Ledger[[#This Row],[Account_Code]], tbl_Accounts[Account_Code], tbl_Accounts[PL_Bucket])</f>
        <v>Revenue</v>
      </c>
      <c r="T251" s="25">
        <f t="shared" si="3"/>
        <v>49100</v>
      </c>
    </row>
    <row r="252" spans="1:20">
      <c r="A252" t="s">
        <v>773</v>
      </c>
      <c r="B252" s="7">
        <v>45855</v>
      </c>
      <c r="C252" t="s">
        <v>93</v>
      </c>
      <c r="D252" t="s">
        <v>111</v>
      </c>
      <c r="E252" t="s">
        <v>119</v>
      </c>
      <c r="F252" s="12" t="s">
        <v>24</v>
      </c>
      <c r="G252" t="s">
        <v>25</v>
      </c>
      <c r="H252" t="s">
        <v>774</v>
      </c>
      <c r="I252" t="s">
        <v>71</v>
      </c>
      <c r="J252" s="6">
        <v>48600</v>
      </c>
      <c r="K252" t="s">
        <v>3</v>
      </c>
      <c r="L252" t="s">
        <v>770</v>
      </c>
      <c r="M252" t="s">
        <v>3</v>
      </c>
      <c r="N252" s="25" t="str">
        <f>TEXT(tbl_Ledger[[#This Row],[Date]],"yyyy-mm")</f>
        <v>2025-07</v>
      </c>
      <c r="O252" s="25" t="str">
        <f>TEXT(tbl_Ledger[[#This Row],[Date]],"yyyy-mm") &amp; TRIM(tbl_Ledger[[#This Row],[Currency]])</f>
        <v>2025-07NGN</v>
      </c>
      <c r="P252" s="25">
        <f>_xlfn.XLOOKUP(tbl_Ledger[[#This Row],[Key]], tbl_FX[Key], tbl_FX[Rate_to_NGN])</f>
        <v>1</v>
      </c>
      <c r="Q252" s="37">
        <f>IF(tbl_Ledger[[#This Row],[Account_Type]]="Expense",-ABS(tbl_Ledger[[#This Row],[Amount]]*tbl_Ledger[[#This Row],[Rate_to_NGN]]),tbl_Ledger[[#This Row],[Amount]]*tbl_Ledger[[#This Row],[Rate_to_NGN]])</f>
        <v>48600</v>
      </c>
      <c r="R252" s="25" t="str">
        <f>_xlfn.XLOOKUP(tbl_Ledger[[#This Row],[Account_Code]], tbl_Accounts[Account_Code], tbl_Accounts[Type])</f>
        <v>Revenue</v>
      </c>
      <c r="S252" s="25" t="str">
        <f>_xlfn.XLOOKUP(tbl_Ledger[[#This Row],[Account_Code]], tbl_Accounts[Account_Code], tbl_Accounts[PL_Bucket])</f>
        <v>Revenue</v>
      </c>
      <c r="T252" s="25">
        <f t="shared" si="3"/>
        <v>48600</v>
      </c>
    </row>
    <row r="253" spans="1:20">
      <c r="A253" t="s">
        <v>775</v>
      </c>
      <c r="B253" s="7">
        <v>45855</v>
      </c>
      <c r="C253" t="s">
        <v>93</v>
      </c>
      <c r="D253" t="s">
        <v>111</v>
      </c>
      <c r="E253" t="s">
        <v>170</v>
      </c>
      <c r="F253" s="12" t="s">
        <v>24</v>
      </c>
      <c r="G253" t="s">
        <v>25</v>
      </c>
      <c r="H253" t="s">
        <v>776</v>
      </c>
      <c r="I253" t="s">
        <v>71</v>
      </c>
      <c r="J253" s="6">
        <v>48200</v>
      </c>
      <c r="K253" t="s">
        <v>3</v>
      </c>
      <c r="L253" t="s">
        <v>770</v>
      </c>
      <c r="M253" t="s">
        <v>3</v>
      </c>
      <c r="N253" s="25" t="str">
        <f>TEXT(tbl_Ledger[[#This Row],[Date]],"yyyy-mm")</f>
        <v>2025-07</v>
      </c>
      <c r="O253" s="25" t="str">
        <f>TEXT(tbl_Ledger[[#This Row],[Date]],"yyyy-mm") &amp; TRIM(tbl_Ledger[[#This Row],[Currency]])</f>
        <v>2025-07NGN</v>
      </c>
      <c r="P253" s="25">
        <f>_xlfn.XLOOKUP(tbl_Ledger[[#This Row],[Key]], tbl_FX[Key], tbl_FX[Rate_to_NGN])</f>
        <v>1</v>
      </c>
      <c r="Q253" s="37">
        <f>IF(tbl_Ledger[[#This Row],[Account_Type]]="Expense",-ABS(tbl_Ledger[[#This Row],[Amount]]*tbl_Ledger[[#This Row],[Rate_to_NGN]]),tbl_Ledger[[#This Row],[Amount]]*tbl_Ledger[[#This Row],[Rate_to_NGN]])</f>
        <v>48200</v>
      </c>
      <c r="R253" s="25" t="str">
        <f>_xlfn.XLOOKUP(tbl_Ledger[[#This Row],[Account_Code]], tbl_Accounts[Account_Code], tbl_Accounts[Type])</f>
        <v>Revenue</v>
      </c>
      <c r="S253" s="25" t="str">
        <f>_xlfn.XLOOKUP(tbl_Ledger[[#This Row],[Account_Code]], tbl_Accounts[Account_Code], tbl_Accounts[PL_Bucket])</f>
        <v>Revenue</v>
      </c>
      <c r="T253" s="25">
        <f t="shared" si="3"/>
        <v>48200</v>
      </c>
    </row>
    <row r="254" spans="1:20">
      <c r="A254" t="s">
        <v>777</v>
      </c>
      <c r="B254" s="7">
        <v>45855</v>
      </c>
      <c r="C254" t="s">
        <v>93</v>
      </c>
      <c r="D254" t="s">
        <v>111</v>
      </c>
      <c r="E254" t="s">
        <v>122</v>
      </c>
      <c r="F254" s="12" t="s">
        <v>24</v>
      </c>
      <c r="G254" t="s">
        <v>25</v>
      </c>
      <c r="H254" t="s">
        <v>778</v>
      </c>
      <c r="I254" t="s">
        <v>73</v>
      </c>
      <c r="J254" s="6">
        <v>483.33</v>
      </c>
      <c r="K254" t="s">
        <v>3</v>
      </c>
      <c r="L254" t="s">
        <v>779</v>
      </c>
      <c r="M254" t="s">
        <v>3</v>
      </c>
      <c r="N254" s="25" t="str">
        <f>TEXT(tbl_Ledger[[#This Row],[Date]],"yyyy-mm")</f>
        <v>2025-07</v>
      </c>
      <c r="O254" s="25" t="str">
        <f>TEXT(tbl_Ledger[[#This Row],[Date]],"yyyy-mm") &amp; TRIM(tbl_Ledger[[#This Row],[Currency]])</f>
        <v>2025-07GHS</v>
      </c>
      <c r="P254" s="25">
        <f>_xlfn.XLOOKUP(tbl_Ledger[[#This Row],[Key]], tbl_FX[Key], tbl_FX[Rate_to_NGN])</f>
        <v>102</v>
      </c>
      <c r="Q254" s="37">
        <f>IF(tbl_Ledger[[#This Row],[Account_Type]]="Expense",-ABS(tbl_Ledger[[#This Row],[Amount]]*tbl_Ledger[[#This Row],[Rate_to_NGN]]),tbl_Ledger[[#This Row],[Amount]]*tbl_Ledger[[#This Row],[Rate_to_NGN]])</f>
        <v>49299.659999999996</v>
      </c>
      <c r="R254" s="25" t="str">
        <f>_xlfn.XLOOKUP(tbl_Ledger[[#This Row],[Account_Code]], tbl_Accounts[Account_Code], tbl_Accounts[Type])</f>
        <v>Revenue</v>
      </c>
      <c r="S254" s="25" t="str">
        <f>_xlfn.XLOOKUP(tbl_Ledger[[#This Row],[Account_Code]], tbl_Accounts[Account_Code], tbl_Accounts[PL_Bucket])</f>
        <v>Revenue</v>
      </c>
      <c r="T254" s="25">
        <f t="shared" si="3"/>
        <v>49299.659999999996</v>
      </c>
    </row>
    <row r="255" spans="1:20">
      <c r="A255" t="s">
        <v>780</v>
      </c>
      <c r="B255" s="7">
        <v>45855</v>
      </c>
      <c r="C255" t="s">
        <v>126</v>
      </c>
      <c r="D255" t="s">
        <v>88</v>
      </c>
      <c r="E255" t="s">
        <v>127</v>
      </c>
      <c r="F255" s="12" t="s">
        <v>29</v>
      </c>
      <c r="G255" t="s">
        <v>30</v>
      </c>
      <c r="H255" t="s">
        <v>781</v>
      </c>
      <c r="I255" t="s">
        <v>71</v>
      </c>
      <c r="J255" s="6">
        <v>49800</v>
      </c>
      <c r="K255" t="s">
        <v>129</v>
      </c>
      <c r="L255" t="s">
        <v>782</v>
      </c>
      <c r="M255" t="s">
        <v>3</v>
      </c>
      <c r="N255" s="25" t="str">
        <f>TEXT(tbl_Ledger[[#This Row],[Date]],"yyyy-mm")</f>
        <v>2025-07</v>
      </c>
      <c r="O255" s="25" t="str">
        <f>TEXT(tbl_Ledger[[#This Row],[Date]],"yyyy-mm") &amp; TRIM(tbl_Ledger[[#This Row],[Currency]])</f>
        <v>2025-07NGN</v>
      </c>
      <c r="P255" s="25">
        <f>_xlfn.XLOOKUP(tbl_Ledger[[#This Row],[Key]], tbl_FX[Key], tbl_FX[Rate_to_NGN])</f>
        <v>1</v>
      </c>
      <c r="Q255" s="37">
        <f>IF(tbl_Ledger[[#This Row],[Account_Type]]="Expense",-ABS(tbl_Ledger[[#This Row],[Amount]]*tbl_Ledger[[#This Row],[Rate_to_NGN]]),tbl_Ledger[[#This Row],[Amount]]*tbl_Ledger[[#This Row],[Rate_to_NGN]])</f>
        <v>49800</v>
      </c>
      <c r="R255" s="25" t="str">
        <f>_xlfn.XLOOKUP(tbl_Ledger[[#This Row],[Account_Code]], tbl_Accounts[Account_Code], tbl_Accounts[Type])</f>
        <v>Revenue</v>
      </c>
      <c r="S255" s="25" t="str">
        <f>_xlfn.XLOOKUP(tbl_Ledger[[#This Row],[Account_Code]], tbl_Accounts[Account_Code], tbl_Accounts[PL_Bucket])</f>
        <v>Revenue</v>
      </c>
      <c r="T255" s="25">
        <f t="shared" si="3"/>
        <v>49800</v>
      </c>
    </row>
    <row r="256" spans="1:20">
      <c r="A256" t="s">
        <v>783</v>
      </c>
      <c r="B256" s="7">
        <v>45855</v>
      </c>
      <c r="C256" t="s">
        <v>126</v>
      </c>
      <c r="D256" t="s">
        <v>88</v>
      </c>
      <c r="E256" t="s">
        <v>132</v>
      </c>
      <c r="F256" s="12" t="s">
        <v>29</v>
      </c>
      <c r="G256" t="s">
        <v>30</v>
      </c>
      <c r="H256" t="s">
        <v>784</v>
      </c>
      <c r="I256" t="s">
        <v>72</v>
      </c>
      <c r="J256" s="6">
        <v>28.37</v>
      </c>
      <c r="K256" t="s">
        <v>134</v>
      </c>
      <c r="L256" t="s">
        <v>782</v>
      </c>
      <c r="M256" t="s">
        <v>3</v>
      </c>
      <c r="N256" s="25" t="str">
        <f>TEXT(tbl_Ledger[[#This Row],[Date]],"yyyy-mm")</f>
        <v>2025-07</v>
      </c>
      <c r="O256" s="25" t="str">
        <f>TEXT(tbl_Ledger[[#This Row],[Date]],"yyyy-mm") &amp; TRIM(tbl_Ledger[[#This Row],[Currency]])</f>
        <v>2025-07USD</v>
      </c>
      <c r="P256" s="25">
        <f>_xlfn.XLOOKUP(tbl_Ledger[[#This Row],[Key]], tbl_FX[Key], tbl_FX[Rate_to_NGN])</f>
        <v>1530</v>
      </c>
      <c r="Q256" s="37">
        <f>IF(tbl_Ledger[[#This Row],[Account_Type]]="Expense",-ABS(tbl_Ledger[[#This Row],[Amount]]*tbl_Ledger[[#This Row],[Rate_to_NGN]]),tbl_Ledger[[#This Row],[Amount]]*tbl_Ledger[[#This Row],[Rate_to_NGN]])</f>
        <v>43406.1</v>
      </c>
      <c r="R256" s="25" t="str">
        <f>_xlfn.XLOOKUP(tbl_Ledger[[#This Row],[Account_Code]], tbl_Accounts[Account_Code], tbl_Accounts[Type])</f>
        <v>Revenue</v>
      </c>
      <c r="S256" s="25" t="str">
        <f>_xlfn.XLOOKUP(tbl_Ledger[[#This Row],[Account_Code]], tbl_Accounts[Account_Code], tbl_Accounts[PL_Bucket])</f>
        <v>Revenue</v>
      </c>
      <c r="T256" s="25">
        <f t="shared" si="3"/>
        <v>43406.1</v>
      </c>
    </row>
    <row r="257" spans="1:20">
      <c r="A257" t="s">
        <v>785</v>
      </c>
      <c r="B257" s="7">
        <v>45855</v>
      </c>
      <c r="C257" t="s">
        <v>126</v>
      </c>
      <c r="D257" t="s">
        <v>88</v>
      </c>
      <c r="E257" t="s">
        <v>136</v>
      </c>
      <c r="F257" s="12" t="s">
        <v>29</v>
      </c>
      <c r="G257" t="s">
        <v>30</v>
      </c>
      <c r="H257" t="s">
        <v>786</v>
      </c>
      <c r="I257" t="s">
        <v>71</v>
      </c>
      <c r="J257" s="6">
        <v>45000</v>
      </c>
      <c r="K257" t="s">
        <v>138</v>
      </c>
      <c r="L257" t="s">
        <v>782</v>
      </c>
      <c r="M257" t="s">
        <v>3</v>
      </c>
      <c r="N257" s="25" t="str">
        <f>TEXT(tbl_Ledger[[#This Row],[Date]],"yyyy-mm")</f>
        <v>2025-07</v>
      </c>
      <c r="O257" s="25" t="str">
        <f>TEXT(tbl_Ledger[[#This Row],[Date]],"yyyy-mm") &amp; TRIM(tbl_Ledger[[#This Row],[Currency]])</f>
        <v>2025-07NGN</v>
      </c>
      <c r="P257" s="25">
        <f>_xlfn.XLOOKUP(tbl_Ledger[[#This Row],[Key]], tbl_FX[Key], tbl_FX[Rate_to_NGN])</f>
        <v>1</v>
      </c>
      <c r="Q257" s="37">
        <f>IF(tbl_Ledger[[#This Row],[Account_Type]]="Expense",-ABS(tbl_Ledger[[#This Row],[Amount]]*tbl_Ledger[[#This Row],[Rate_to_NGN]]),tbl_Ledger[[#This Row],[Amount]]*tbl_Ledger[[#This Row],[Rate_to_NGN]])</f>
        <v>45000</v>
      </c>
      <c r="R257" s="25" t="str">
        <f>_xlfn.XLOOKUP(tbl_Ledger[[#This Row],[Account_Code]], tbl_Accounts[Account_Code], tbl_Accounts[Type])</f>
        <v>Revenue</v>
      </c>
      <c r="S257" s="25" t="str">
        <f>_xlfn.XLOOKUP(tbl_Ledger[[#This Row],[Account_Code]], tbl_Accounts[Account_Code], tbl_Accounts[PL_Bucket])</f>
        <v>Revenue</v>
      </c>
      <c r="T257" s="25">
        <f t="shared" si="3"/>
        <v>45000</v>
      </c>
    </row>
    <row r="258" spans="1:20">
      <c r="A258" t="s">
        <v>787</v>
      </c>
      <c r="B258" s="7">
        <v>45855</v>
      </c>
      <c r="C258" t="s">
        <v>126</v>
      </c>
      <c r="D258" t="s">
        <v>88</v>
      </c>
      <c r="E258" t="s">
        <v>140</v>
      </c>
      <c r="F258" s="12" t="s">
        <v>29</v>
      </c>
      <c r="G258" t="s">
        <v>30</v>
      </c>
      <c r="H258" t="s">
        <v>788</v>
      </c>
      <c r="I258" t="s">
        <v>71</v>
      </c>
      <c r="J258" s="6">
        <v>44000</v>
      </c>
      <c r="K258" t="s">
        <v>3</v>
      </c>
      <c r="L258" t="s">
        <v>789</v>
      </c>
      <c r="M258" t="s">
        <v>3</v>
      </c>
      <c r="N258" s="25" t="str">
        <f>TEXT(tbl_Ledger[[#This Row],[Date]],"yyyy-mm")</f>
        <v>2025-07</v>
      </c>
      <c r="O258" s="25" t="str">
        <f>TEXT(tbl_Ledger[[#This Row],[Date]],"yyyy-mm") &amp; TRIM(tbl_Ledger[[#This Row],[Currency]])</f>
        <v>2025-07NGN</v>
      </c>
      <c r="P258" s="25">
        <f>_xlfn.XLOOKUP(tbl_Ledger[[#This Row],[Key]], tbl_FX[Key], tbl_FX[Rate_to_NGN])</f>
        <v>1</v>
      </c>
      <c r="Q258" s="37">
        <f>IF(tbl_Ledger[[#This Row],[Account_Type]]="Expense",-ABS(tbl_Ledger[[#This Row],[Amount]]*tbl_Ledger[[#This Row],[Rate_to_NGN]]),tbl_Ledger[[#This Row],[Amount]]*tbl_Ledger[[#This Row],[Rate_to_NGN]])</f>
        <v>44000</v>
      </c>
      <c r="R258" s="25" t="str">
        <f>_xlfn.XLOOKUP(tbl_Ledger[[#This Row],[Account_Code]], tbl_Accounts[Account_Code], tbl_Accounts[Type])</f>
        <v>Revenue</v>
      </c>
      <c r="S258" s="25" t="str">
        <f>_xlfn.XLOOKUP(tbl_Ledger[[#This Row],[Account_Code]], tbl_Accounts[Account_Code], tbl_Accounts[PL_Bucket])</f>
        <v>Revenue</v>
      </c>
      <c r="T258" s="25">
        <f t="shared" ref="T258:T321" si="4">IF(AND(S258="Revenue",F258&lt;&gt;4900),ABS(Q258),-ABS(Q258))</f>
        <v>44000</v>
      </c>
    </row>
    <row r="259" spans="1:20">
      <c r="A259" t="s">
        <v>790</v>
      </c>
      <c r="B259" s="7">
        <v>45855</v>
      </c>
      <c r="C259" t="s">
        <v>87</v>
      </c>
      <c r="D259" t="s">
        <v>94</v>
      </c>
      <c r="E259" t="s">
        <v>3</v>
      </c>
      <c r="F259" s="12" t="s">
        <v>33</v>
      </c>
      <c r="G259" t="s">
        <v>34</v>
      </c>
      <c r="H259" t="s">
        <v>315</v>
      </c>
      <c r="I259" t="s">
        <v>71</v>
      </c>
      <c r="J259" s="6">
        <v>-596000</v>
      </c>
      <c r="K259" t="s">
        <v>316</v>
      </c>
      <c r="L259" t="s">
        <v>791</v>
      </c>
      <c r="M259" t="s">
        <v>3</v>
      </c>
      <c r="N259" s="25" t="str">
        <f>TEXT(tbl_Ledger[[#This Row],[Date]],"yyyy-mm")</f>
        <v>2025-07</v>
      </c>
      <c r="O259" s="25" t="str">
        <f>TEXT(tbl_Ledger[[#This Row],[Date]],"yyyy-mm") &amp; TRIM(tbl_Ledger[[#This Row],[Currency]])</f>
        <v>2025-07NGN</v>
      </c>
      <c r="P259" s="25">
        <f>_xlfn.XLOOKUP(tbl_Ledger[[#This Row],[Key]], tbl_FX[Key], tbl_FX[Rate_to_NGN])</f>
        <v>1</v>
      </c>
      <c r="Q259" s="37">
        <f>IF(tbl_Ledger[[#This Row],[Account_Type]]="Expense",-ABS(tbl_Ledger[[#This Row],[Amount]]*tbl_Ledger[[#This Row],[Rate_to_NGN]]),tbl_Ledger[[#This Row],[Amount]]*tbl_Ledger[[#This Row],[Rate_to_NGN]])</f>
        <v>-596000</v>
      </c>
      <c r="R259" s="25" t="str">
        <f>_xlfn.XLOOKUP(tbl_Ledger[[#This Row],[Account_Code]], tbl_Accounts[Account_Code], tbl_Accounts[Type])</f>
        <v>COGS</v>
      </c>
      <c r="S259" s="25" t="str">
        <f>_xlfn.XLOOKUP(tbl_Ledger[[#This Row],[Account_Code]], tbl_Accounts[Account_Code], tbl_Accounts[PL_Bucket])</f>
        <v>COGS</v>
      </c>
      <c r="T259" s="25">
        <f t="shared" si="4"/>
        <v>-596000</v>
      </c>
    </row>
    <row r="260" spans="1:20">
      <c r="A260" t="s">
        <v>792</v>
      </c>
      <c r="B260" s="7">
        <v>45855</v>
      </c>
      <c r="C260" t="s">
        <v>87</v>
      </c>
      <c r="D260" t="s">
        <v>94</v>
      </c>
      <c r="E260" t="s">
        <v>3</v>
      </c>
      <c r="F260" s="12" t="s">
        <v>44</v>
      </c>
      <c r="G260" t="s">
        <v>45</v>
      </c>
      <c r="H260" t="s">
        <v>190</v>
      </c>
      <c r="I260" t="s">
        <v>71</v>
      </c>
      <c r="J260" s="6">
        <v>-153000</v>
      </c>
      <c r="K260" t="s">
        <v>191</v>
      </c>
      <c r="L260" t="s">
        <v>793</v>
      </c>
      <c r="M260" t="s">
        <v>3</v>
      </c>
      <c r="N260" s="25" t="str">
        <f>TEXT(tbl_Ledger[[#This Row],[Date]],"yyyy-mm")</f>
        <v>2025-07</v>
      </c>
      <c r="O260" s="25" t="str">
        <f>TEXT(tbl_Ledger[[#This Row],[Date]],"yyyy-mm") &amp; TRIM(tbl_Ledger[[#This Row],[Currency]])</f>
        <v>2025-07NGN</v>
      </c>
      <c r="P260" s="25">
        <f>_xlfn.XLOOKUP(tbl_Ledger[[#This Row],[Key]], tbl_FX[Key], tbl_FX[Rate_to_NGN])</f>
        <v>1</v>
      </c>
      <c r="Q260" s="37">
        <f>IF(tbl_Ledger[[#This Row],[Account_Type]]="Expense",-ABS(tbl_Ledger[[#This Row],[Amount]]*tbl_Ledger[[#This Row],[Rate_to_NGN]]),tbl_Ledger[[#This Row],[Amount]]*tbl_Ledger[[#This Row],[Rate_to_NGN]])</f>
        <v>-153000</v>
      </c>
      <c r="R260" s="25" t="str">
        <f>_xlfn.XLOOKUP(tbl_Ledger[[#This Row],[Account_Code]], tbl_Accounts[Account_Code], tbl_Accounts[Type])</f>
        <v>COGS</v>
      </c>
      <c r="S260" s="25" t="str">
        <f>_xlfn.XLOOKUP(tbl_Ledger[[#This Row],[Account_Code]], tbl_Accounts[Account_Code], tbl_Accounts[PL_Bucket])</f>
        <v>COGS</v>
      </c>
      <c r="T260" s="25">
        <f t="shared" si="4"/>
        <v>-153000</v>
      </c>
    </row>
    <row r="261" spans="1:20">
      <c r="A261" t="s">
        <v>794</v>
      </c>
      <c r="B261" s="7">
        <v>45856</v>
      </c>
      <c r="C261" t="s">
        <v>93</v>
      </c>
      <c r="D261" t="s">
        <v>94</v>
      </c>
      <c r="E261" t="s">
        <v>95</v>
      </c>
      <c r="F261" s="12" t="s">
        <v>24</v>
      </c>
      <c r="G261" t="s">
        <v>25</v>
      </c>
      <c r="H261" t="s">
        <v>795</v>
      </c>
      <c r="I261" t="s">
        <v>71</v>
      </c>
      <c r="J261" s="6">
        <v>27300</v>
      </c>
      <c r="K261" t="s">
        <v>3</v>
      </c>
      <c r="L261" t="s">
        <v>796</v>
      </c>
      <c r="M261" t="s">
        <v>3</v>
      </c>
      <c r="N261" s="25" t="str">
        <f>TEXT(tbl_Ledger[[#This Row],[Date]],"yyyy-mm")</f>
        <v>2025-07</v>
      </c>
      <c r="O261" s="25" t="str">
        <f>TEXT(tbl_Ledger[[#This Row],[Date]],"yyyy-mm") &amp; TRIM(tbl_Ledger[[#This Row],[Currency]])</f>
        <v>2025-07NGN</v>
      </c>
      <c r="P261" s="25">
        <f>_xlfn.XLOOKUP(tbl_Ledger[[#This Row],[Key]], tbl_FX[Key], tbl_FX[Rate_to_NGN])</f>
        <v>1</v>
      </c>
      <c r="Q261" s="37">
        <f>IF(tbl_Ledger[[#This Row],[Account_Type]]="Expense",-ABS(tbl_Ledger[[#This Row],[Amount]]*tbl_Ledger[[#This Row],[Rate_to_NGN]]),tbl_Ledger[[#This Row],[Amount]]*tbl_Ledger[[#This Row],[Rate_to_NGN]])</f>
        <v>27300</v>
      </c>
      <c r="R261" s="25" t="str">
        <f>_xlfn.XLOOKUP(tbl_Ledger[[#This Row],[Account_Code]], tbl_Accounts[Account_Code], tbl_Accounts[Type])</f>
        <v>Revenue</v>
      </c>
      <c r="S261" s="25" t="str">
        <f>_xlfn.XLOOKUP(tbl_Ledger[[#This Row],[Account_Code]], tbl_Accounts[Account_Code], tbl_Accounts[PL_Bucket])</f>
        <v>Revenue</v>
      </c>
      <c r="T261" s="25">
        <f t="shared" si="4"/>
        <v>27300</v>
      </c>
    </row>
    <row r="262" spans="1:20">
      <c r="A262" t="s">
        <v>797</v>
      </c>
      <c r="B262" s="7">
        <v>45856</v>
      </c>
      <c r="C262" t="s">
        <v>93</v>
      </c>
      <c r="D262" t="s">
        <v>94</v>
      </c>
      <c r="E262" t="s">
        <v>99</v>
      </c>
      <c r="F262" s="12" t="s">
        <v>24</v>
      </c>
      <c r="G262" t="s">
        <v>25</v>
      </c>
      <c r="H262" t="s">
        <v>798</v>
      </c>
      <c r="I262" t="s">
        <v>71</v>
      </c>
      <c r="J262" s="6">
        <v>30400</v>
      </c>
      <c r="K262" t="s">
        <v>3</v>
      </c>
      <c r="L262" t="s">
        <v>799</v>
      </c>
      <c r="M262" t="s">
        <v>3</v>
      </c>
      <c r="N262" s="25" t="str">
        <f>TEXT(tbl_Ledger[[#This Row],[Date]],"yyyy-mm")</f>
        <v>2025-07</v>
      </c>
      <c r="O262" s="25" t="str">
        <f>TEXT(tbl_Ledger[[#This Row],[Date]],"yyyy-mm") &amp; TRIM(tbl_Ledger[[#This Row],[Currency]])</f>
        <v>2025-07NGN</v>
      </c>
      <c r="P262" s="25">
        <f>_xlfn.XLOOKUP(tbl_Ledger[[#This Row],[Key]], tbl_FX[Key], tbl_FX[Rate_to_NGN])</f>
        <v>1</v>
      </c>
      <c r="Q262" s="37">
        <f>IF(tbl_Ledger[[#This Row],[Account_Type]]="Expense",-ABS(tbl_Ledger[[#This Row],[Amount]]*tbl_Ledger[[#This Row],[Rate_to_NGN]]),tbl_Ledger[[#This Row],[Amount]]*tbl_Ledger[[#This Row],[Rate_to_NGN]])</f>
        <v>30400</v>
      </c>
      <c r="R262" s="25" t="str">
        <f>_xlfn.XLOOKUP(tbl_Ledger[[#This Row],[Account_Code]], tbl_Accounts[Account_Code], tbl_Accounts[Type])</f>
        <v>Revenue</v>
      </c>
      <c r="S262" s="25" t="str">
        <f>_xlfn.XLOOKUP(tbl_Ledger[[#This Row],[Account_Code]], tbl_Accounts[Account_Code], tbl_Accounts[PL_Bucket])</f>
        <v>Revenue</v>
      </c>
      <c r="T262" s="25">
        <f t="shared" si="4"/>
        <v>30400</v>
      </c>
    </row>
    <row r="263" spans="1:20">
      <c r="A263" t="s">
        <v>800</v>
      </c>
      <c r="B263" s="7">
        <v>45856</v>
      </c>
      <c r="C263" t="s">
        <v>93</v>
      </c>
      <c r="D263" t="s">
        <v>94</v>
      </c>
      <c r="E263" t="s">
        <v>103</v>
      </c>
      <c r="F263" s="12" t="s">
        <v>24</v>
      </c>
      <c r="G263" t="s">
        <v>25</v>
      </c>
      <c r="H263" t="s">
        <v>801</v>
      </c>
      <c r="I263" t="s">
        <v>71</v>
      </c>
      <c r="J263" s="6">
        <v>26700</v>
      </c>
      <c r="K263" t="s">
        <v>3</v>
      </c>
      <c r="L263" t="s">
        <v>802</v>
      </c>
      <c r="M263" t="s">
        <v>3</v>
      </c>
      <c r="N263" s="25" t="str">
        <f>TEXT(tbl_Ledger[[#This Row],[Date]],"yyyy-mm")</f>
        <v>2025-07</v>
      </c>
      <c r="O263" s="25" t="str">
        <f>TEXT(tbl_Ledger[[#This Row],[Date]],"yyyy-mm") &amp; TRIM(tbl_Ledger[[#This Row],[Currency]])</f>
        <v>2025-07NGN</v>
      </c>
      <c r="P263" s="25">
        <f>_xlfn.XLOOKUP(tbl_Ledger[[#This Row],[Key]], tbl_FX[Key], tbl_FX[Rate_to_NGN])</f>
        <v>1</v>
      </c>
      <c r="Q263" s="37">
        <f>IF(tbl_Ledger[[#This Row],[Account_Type]]="Expense",-ABS(tbl_Ledger[[#This Row],[Amount]]*tbl_Ledger[[#This Row],[Rate_to_NGN]]),tbl_Ledger[[#This Row],[Amount]]*tbl_Ledger[[#This Row],[Rate_to_NGN]])</f>
        <v>26700</v>
      </c>
      <c r="R263" s="25" t="str">
        <f>_xlfn.XLOOKUP(tbl_Ledger[[#This Row],[Account_Code]], tbl_Accounts[Account_Code], tbl_Accounts[Type])</f>
        <v>Revenue</v>
      </c>
      <c r="S263" s="25" t="str">
        <f>_xlfn.XLOOKUP(tbl_Ledger[[#This Row],[Account_Code]], tbl_Accounts[Account_Code], tbl_Accounts[PL_Bucket])</f>
        <v>Revenue</v>
      </c>
      <c r="T263" s="25">
        <f t="shared" si="4"/>
        <v>26700</v>
      </c>
    </row>
    <row r="264" spans="1:20">
      <c r="A264" t="s">
        <v>803</v>
      </c>
      <c r="B264" s="7">
        <v>45856</v>
      </c>
      <c r="C264" t="s">
        <v>93</v>
      </c>
      <c r="D264" t="s">
        <v>94</v>
      </c>
      <c r="E264" t="s">
        <v>160</v>
      </c>
      <c r="F264" s="12" t="s">
        <v>24</v>
      </c>
      <c r="G264" t="s">
        <v>25</v>
      </c>
      <c r="H264" t="s">
        <v>804</v>
      </c>
      <c r="I264" t="s">
        <v>71</v>
      </c>
      <c r="J264" s="6">
        <v>27100</v>
      </c>
      <c r="K264" t="s">
        <v>3</v>
      </c>
      <c r="L264" t="s">
        <v>802</v>
      </c>
      <c r="M264" t="s">
        <v>3</v>
      </c>
      <c r="N264" s="25" t="str">
        <f>TEXT(tbl_Ledger[[#This Row],[Date]],"yyyy-mm")</f>
        <v>2025-07</v>
      </c>
      <c r="O264" s="25" t="str">
        <f>TEXT(tbl_Ledger[[#This Row],[Date]],"yyyy-mm") &amp; TRIM(tbl_Ledger[[#This Row],[Currency]])</f>
        <v>2025-07NGN</v>
      </c>
      <c r="P264" s="25">
        <f>_xlfn.XLOOKUP(tbl_Ledger[[#This Row],[Key]], tbl_FX[Key], tbl_FX[Rate_to_NGN])</f>
        <v>1</v>
      </c>
      <c r="Q264" s="37">
        <f>IF(tbl_Ledger[[#This Row],[Account_Type]]="Expense",-ABS(tbl_Ledger[[#This Row],[Amount]]*tbl_Ledger[[#This Row],[Rate_to_NGN]]),tbl_Ledger[[#This Row],[Amount]]*tbl_Ledger[[#This Row],[Rate_to_NGN]])</f>
        <v>27100</v>
      </c>
      <c r="R264" s="25" t="str">
        <f>_xlfn.XLOOKUP(tbl_Ledger[[#This Row],[Account_Code]], tbl_Accounts[Account_Code], tbl_Accounts[Type])</f>
        <v>Revenue</v>
      </c>
      <c r="S264" s="25" t="str">
        <f>_xlfn.XLOOKUP(tbl_Ledger[[#This Row],[Account_Code]], tbl_Accounts[Account_Code], tbl_Accounts[PL_Bucket])</f>
        <v>Revenue</v>
      </c>
      <c r="T264" s="25">
        <f t="shared" si="4"/>
        <v>27100</v>
      </c>
    </row>
    <row r="265" spans="1:20">
      <c r="A265" t="s">
        <v>805</v>
      </c>
      <c r="B265" s="7">
        <v>45856</v>
      </c>
      <c r="C265" t="s">
        <v>93</v>
      </c>
      <c r="D265" t="s">
        <v>94</v>
      </c>
      <c r="E265" t="s">
        <v>107</v>
      </c>
      <c r="F265" s="12" t="s">
        <v>24</v>
      </c>
      <c r="G265" t="s">
        <v>25</v>
      </c>
      <c r="H265" t="s">
        <v>806</v>
      </c>
      <c r="I265" t="s">
        <v>71</v>
      </c>
      <c r="J265" s="6">
        <v>31400</v>
      </c>
      <c r="K265" t="s">
        <v>3</v>
      </c>
      <c r="L265" t="s">
        <v>807</v>
      </c>
      <c r="M265" t="s">
        <v>3</v>
      </c>
      <c r="N265" s="25" t="str">
        <f>TEXT(tbl_Ledger[[#This Row],[Date]],"yyyy-mm")</f>
        <v>2025-07</v>
      </c>
      <c r="O265" s="25" t="str">
        <f>TEXT(tbl_Ledger[[#This Row],[Date]],"yyyy-mm") &amp; TRIM(tbl_Ledger[[#This Row],[Currency]])</f>
        <v>2025-07NGN</v>
      </c>
      <c r="P265" s="25">
        <f>_xlfn.XLOOKUP(tbl_Ledger[[#This Row],[Key]], tbl_FX[Key], tbl_FX[Rate_to_NGN])</f>
        <v>1</v>
      </c>
      <c r="Q265" s="37">
        <f>IF(tbl_Ledger[[#This Row],[Account_Type]]="Expense",-ABS(tbl_Ledger[[#This Row],[Amount]]*tbl_Ledger[[#This Row],[Rate_to_NGN]]),tbl_Ledger[[#This Row],[Amount]]*tbl_Ledger[[#This Row],[Rate_to_NGN]])</f>
        <v>31400</v>
      </c>
      <c r="R265" s="25" t="str">
        <f>_xlfn.XLOOKUP(tbl_Ledger[[#This Row],[Account_Code]], tbl_Accounts[Account_Code], tbl_Accounts[Type])</f>
        <v>Revenue</v>
      </c>
      <c r="S265" s="25" t="str">
        <f>_xlfn.XLOOKUP(tbl_Ledger[[#This Row],[Account_Code]], tbl_Accounts[Account_Code], tbl_Accounts[PL_Bucket])</f>
        <v>Revenue</v>
      </c>
      <c r="T265" s="25">
        <f t="shared" si="4"/>
        <v>31400</v>
      </c>
    </row>
    <row r="266" spans="1:20">
      <c r="A266" t="s">
        <v>808</v>
      </c>
      <c r="B266" s="7">
        <v>45856</v>
      </c>
      <c r="C266" t="s">
        <v>93</v>
      </c>
      <c r="D266" t="s">
        <v>111</v>
      </c>
      <c r="E266" t="s">
        <v>112</v>
      </c>
      <c r="F266" s="12" t="s">
        <v>24</v>
      </c>
      <c r="G266" t="s">
        <v>25</v>
      </c>
      <c r="H266" t="s">
        <v>809</v>
      </c>
      <c r="I266" t="s">
        <v>71</v>
      </c>
      <c r="J266" s="6">
        <v>48800</v>
      </c>
      <c r="K266" t="s">
        <v>3</v>
      </c>
      <c r="L266" t="s">
        <v>810</v>
      </c>
      <c r="M266" t="s">
        <v>3</v>
      </c>
      <c r="N266" s="25" t="str">
        <f>TEXT(tbl_Ledger[[#This Row],[Date]],"yyyy-mm")</f>
        <v>2025-07</v>
      </c>
      <c r="O266" s="25" t="str">
        <f>TEXT(tbl_Ledger[[#This Row],[Date]],"yyyy-mm") &amp; TRIM(tbl_Ledger[[#This Row],[Currency]])</f>
        <v>2025-07NGN</v>
      </c>
      <c r="P266" s="25">
        <f>_xlfn.XLOOKUP(tbl_Ledger[[#This Row],[Key]], tbl_FX[Key], tbl_FX[Rate_to_NGN])</f>
        <v>1</v>
      </c>
      <c r="Q266" s="37">
        <f>IF(tbl_Ledger[[#This Row],[Account_Type]]="Expense",-ABS(tbl_Ledger[[#This Row],[Amount]]*tbl_Ledger[[#This Row],[Rate_to_NGN]]),tbl_Ledger[[#This Row],[Amount]]*tbl_Ledger[[#This Row],[Rate_to_NGN]])</f>
        <v>48800</v>
      </c>
      <c r="R266" s="25" t="str">
        <f>_xlfn.XLOOKUP(tbl_Ledger[[#This Row],[Account_Code]], tbl_Accounts[Account_Code], tbl_Accounts[Type])</f>
        <v>Revenue</v>
      </c>
      <c r="S266" s="25" t="str">
        <f>_xlfn.XLOOKUP(tbl_Ledger[[#This Row],[Account_Code]], tbl_Accounts[Account_Code], tbl_Accounts[PL_Bucket])</f>
        <v>Revenue</v>
      </c>
      <c r="T266" s="25">
        <f t="shared" si="4"/>
        <v>48800</v>
      </c>
    </row>
    <row r="267" spans="1:20">
      <c r="A267" t="s">
        <v>811</v>
      </c>
      <c r="B267" s="7">
        <v>45856</v>
      </c>
      <c r="C267" t="s">
        <v>93</v>
      </c>
      <c r="D267" t="s">
        <v>111</v>
      </c>
      <c r="E267" t="s">
        <v>170</v>
      </c>
      <c r="F267" s="12" t="s">
        <v>24</v>
      </c>
      <c r="G267" t="s">
        <v>25</v>
      </c>
      <c r="H267" t="s">
        <v>812</v>
      </c>
      <c r="I267" t="s">
        <v>71</v>
      </c>
      <c r="J267" s="6">
        <v>49300</v>
      </c>
      <c r="K267" t="s">
        <v>3</v>
      </c>
      <c r="L267" t="s">
        <v>810</v>
      </c>
      <c r="M267" t="s">
        <v>3</v>
      </c>
      <c r="N267" s="25" t="str">
        <f>TEXT(tbl_Ledger[[#This Row],[Date]],"yyyy-mm")</f>
        <v>2025-07</v>
      </c>
      <c r="O267" s="25" t="str">
        <f>TEXT(tbl_Ledger[[#This Row],[Date]],"yyyy-mm") &amp; TRIM(tbl_Ledger[[#This Row],[Currency]])</f>
        <v>2025-07NGN</v>
      </c>
      <c r="P267" s="25">
        <f>_xlfn.XLOOKUP(tbl_Ledger[[#This Row],[Key]], tbl_FX[Key], tbl_FX[Rate_to_NGN])</f>
        <v>1</v>
      </c>
      <c r="Q267" s="37">
        <f>IF(tbl_Ledger[[#This Row],[Account_Type]]="Expense",-ABS(tbl_Ledger[[#This Row],[Amount]]*tbl_Ledger[[#This Row],[Rate_to_NGN]]),tbl_Ledger[[#This Row],[Amount]]*tbl_Ledger[[#This Row],[Rate_to_NGN]])</f>
        <v>49300</v>
      </c>
      <c r="R267" s="25" t="str">
        <f>_xlfn.XLOOKUP(tbl_Ledger[[#This Row],[Account_Code]], tbl_Accounts[Account_Code], tbl_Accounts[Type])</f>
        <v>Revenue</v>
      </c>
      <c r="S267" s="25" t="str">
        <f>_xlfn.XLOOKUP(tbl_Ledger[[#This Row],[Account_Code]], tbl_Accounts[Account_Code], tbl_Accounts[PL_Bucket])</f>
        <v>Revenue</v>
      </c>
      <c r="T267" s="25">
        <f t="shared" si="4"/>
        <v>49300</v>
      </c>
    </row>
    <row r="268" spans="1:20">
      <c r="A268" t="s">
        <v>813</v>
      </c>
      <c r="B268" s="7">
        <v>45856</v>
      </c>
      <c r="C268" t="s">
        <v>93</v>
      </c>
      <c r="D268" t="s">
        <v>111</v>
      </c>
      <c r="E268" t="s">
        <v>122</v>
      </c>
      <c r="F268" s="12" t="s">
        <v>24</v>
      </c>
      <c r="G268" t="s">
        <v>25</v>
      </c>
      <c r="H268" t="s">
        <v>814</v>
      </c>
      <c r="I268" t="s">
        <v>71</v>
      </c>
      <c r="J268" s="6">
        <v>50100</v>
      </c>
      <c r="K268" t="s">
        <v>3</v>
      </c>
      <c r="L268" t="s">
        <v>815</v>
      </c>
      <c r="M268" t="s">
        <v>3</v>
      </c>
      <c r="N268" s="25" t="str">
        <f>TEXT(tbl_Ledger[[#This Row],[Date]],"yyyy-mm")</f>
        <v>2025-07</v>
      </c>
      <c r="O268" s="25" t="str">
        <f>TEXT(tbl_Ledger[[#This Row],[Date]],"yyyy-mm") &amp; TRIM(tbl_Ledger[[#This Row],[Currency]])</f>
        <v>2025-07NGN</v>
      </c>
      <c r="P268" s="25">
        <f>_xlfn.XLOOKUP(tbl_Ledger[[#This Row],[Key]], tbl_FX[Key], tbl_FX[Rate_to_NGN])</f>
        <v>1</v>
      </c>
      <c r="Q268" s="37">
        <f>IF(tbl_Ledger[[#This Row],[Account_Type]]="Expense",-ABS(tbl_Ledger[[#This Row],[Amount]]*tbl_Ledger[[#This Row],[Rate_to_NGN]]),tbl_Ledger[[#This Row],[Amount]]*tbl_Ledger[[#This Row],[Rate_to_NGN]])</f>
        <v>50100</v>
      </c>
      <c r="R268" s="25" t="str">
        <f>_xlfn.XLOOKUP(tbl_Ledger[[#This Row],[Account_Code]], tbl_Accounts[Account_Code], tbl_Accounts[Type])</f>
        <v>Revenue</v>
      </c>
      <c r="S268" s="25" t="str">
        <f>_xlfn.XLOOKUP(tbl_Ledger[[#This Row],[Account_Code]], tbl_Accounts[Account_Code], tbl_Accounts[PL_Bucket])</f>
        <v>Revenue</v>
      </c>
      <c r="T268" s="25">
        <f t="shared" si="4"/>
        <v>50100</v>
      </c>
    </row>
    <row r="269" spans="1:20">
      <c r="A269" t="s">
        <v>816</v>
      </c>
      <c r="B269" s="7">
        <v>45856</v>
      </c>
      <c r="C269" t="s">
        <v>126</v>
      </c>
      <c r="D269" t="s">
        <v>88</v>
      </c>
      <c r="E269" t="s">
        <v>127</v>
      </c>
      <c r="F269" s="12" t="s">
        <v>29</v>
      </c>
      <c r="G269" t="s">
        <v>30</v>
      </c>
      <c r="H269" t="s">
        <v>817</v>
      </c>
      <c r="I269" t="s">
        <v>72</v>
      </c>
      <c r="J269" s="6">
        <v>27.97</v>
      </c>
      <c r="K269" t="s">
        <v>129</v>
      </c>
      <c r="L269" t="s">
        <v>818</v>
      </c>
      <c r="M269" t="s">
        <v>3</v>
      </c>
      <c r="N269" s="25" t="str">
        <f>TEXT(tbl_Ledger[[#This Row],[Date]],"yyyy-mm")</f>
        <v>2025-07</v>
      </c>
      <c r="O269" s="25" t="str">
        <f>TEXT(tbl_Ledger[[#This Row],[Date]],"yyyy-mm") &amp; TRIM(tbl_Ledger[[#This Row],[Currency]])</f>
        <v>2025-07USD</v>
      </c>
      <c r="P269" s="25">
        <f>_xlfn.XLOOKUP(tbl_Ledger[[#This Row],[Key]], tbl_FX[Key], tbl_FX[Rate_to_NGN])</f>
        <v>1530</v>
      </c>
      <c r="Q269" s="37">
        <f>IF(tbl_Ledger[[#This Row],[Account_Type]]="Expense",-ABS(tbl_Ledger[[#This Row],[Amount]]*tbl_Ledger[[#This Row],[Rate_to_NGN]]),tbl_Ledger[[#This Row],[Amount]]*tbl_Ledger[[#This Row],[Rate_to_NGN]])</f>
        <v>42794.1</v>
      </c>
      <c r="R269" s="25" t="str">
        <f>_xlfn.XLOOKUP(tbl_Ledger[[#This Row],[Account_Code]], tbl_Accounts[Account_Code], tbl_Accounts[Type])</f>
        <v>Revenue</v>
      </c>
      <c r="S269" s="25" t="str">
        <f>_xlfn.XLOOKUP(tbl_Ledger[[#This Row],[Account_Code]], tbl_Accounts[Account_Code], tbl_Accounts[PL_Bucket])</f>
        <v>Revenue</v>
      </c>
      <c r="T269" s="25">
        <f t="shared" si="4"/>
        <v>42794.1</v>
      </c>
    </row>
    <row r="270" spans="1:20">
      <c r="A270" t="s">
        <v>819</v>
      </c>
      <c r="B270" s="7">
        <v>45856</v>
      </c>
      <c r="C270" t="s">
        <v>126</v>
      </c>
      <c r="D270" t="s">
        <v>88</v>
      </c>
      <c r="E270" t="s">
        <v>136</v>
      </c>
      <c r="F270" s="12" t="s">
        <v>29</v>
      </c>
      <c r="G270" t="s">
        <v>30</v>
      </c>
      <c r="H270" t="s">
        <v>820</v>
      </c>
      <c r="I270" t="s">
        <v>71</v>
      </c>
      <c r="J270" s="6">
        <v>43600</v>
      </c>
      <c r="K270" t="s">
        <v>138</v>
      </c>
      <c r="L270" t="s">
        <v>818</v>
      </c>
      <c r="M270" t="s">
        <v>3</v>
      </c>
      <c r="N270" s="25" t="str">
        <f>TEXT(tbl_Ledger[[#This Row],[Date]],"yyyy-mm")</f>
        <v>2025-07</v>
      </c>
      <c r="O270" s="25" t="str">
        <f>TEXT(tbl_Ledger[[#This Row],[Date]],"yyyy-mm") &amp; TRIM(tbl_Ledger[[#This Row],[Currency]])</f>
        <v>2025-07NGN</v>
      </c>
      <c r="P270" s="25">
        <f>_xlfn.XLOOKUP(tbl_Ledger[[#This Row],[Key]], tbl_FX[Key], tbl_FX[Rate_to_NGN])</f>
        <v>1</v>
      </c>
      <c r="Q270" s="37">
        <f>IF(tbl_Ledger[[#This Row],[Account_Type]]="Expense",-ABS(tbl_Ledger[[#This Row],[Amount]]*tbl_Ledger[[#This Row],[Rate_to_NGN]]),tbl_Ledger[[#This Row],[Amount]]*tbl_Ledger[[#This Row],[Rate_to_NGN]])</f>
        <v>43600</v>
      </c>
      <c r="R270" s="25" t="str">
        <f>_xlfn.XLOOKUP(tbl_Ledger[[#This Row],[Account_Code]], tbl_Accounts[Account_Code], tbl_Accounts[Type])</f>
        <v>Revenue</v>
      </c>
      <c r="S270" s="25" t="str">
        <f>_xlfn.XLOOKUP(tbl_Ledger[[#This Row],[Account_Code]], tbl_Accounts[Account_Code], tbl_Accounts[PL_Bucket])</f>
        <v>Revenue</v>
      </c>
      <c r="T270" s="25">
        <f t="shared" si="4"/>
        <v>43600</v>
      </c>
    </row>
    <row r="271" spans="1:20">
      <c r="A271" t="s">
        <v>821</v>
      </c>
      <c r="B271" s="7">
        <v>45856</v>
      </c>
      <c r="C271" t="s">
        <v>126</v>
      </c>
      <c r="D271" t="s">
        <v>88</v>
      </c>
      <c r="E271" t="s">
        <v>140</v>
      </c>
      <c r="F271" s="12" t="s">
        <v>29</v>
      </c>
      <c r="G271" t="s">
        <v>30</v>
      </c>
      <c r="H271" t="s">
        <v>822</v>
      </c>
      <c r="I271" t="s">
        <v>71</v>
      </c>
      <c r="J271" s="6">
        <v>45300</v>
      </c>
      <c r="K271" t="s">
        <v>3</v>
      </c>
      <c r="L271" t="s">
        <v>823</v>
      </c>
      <c r="M271" t="s">
        <v>3</v>
      </c>
      <c r="N271" s="25" t="str">
        <f>TEXT(tbl_Ledger[[#This Row],[Date]],"yyyy-mm")</f>
        <v>2025-07</v>
      </c>
      <c r="O271" s="25" t="str">
        <f>TEXT(tbl_Ledger[[#This Row],[Date]],"yyyy-mm") &amp; TRIM(tbl_Ledger[[#This Row],[Currency]])</f>
        <v>2025-07NGN</v>
      </c>
      <c r="P271" s="25">
        <f>_xlfn.XLOOKUP(tbl_Ledger[[#This Row],[Key]], tbl_FX[Key], tbl_FX[Rate_to_NGN])</f>
        <v>1</v>
      </c>
      <c r="Q271" s="37">
        <f>IF(tbl_Ledger[[#This Row],[Account_Type]]="Expense",-ABS(tbl_Ledger[[#This Row],[Amount]]*tbl_Ledger[[#This Row],[Rate_to_NGN]]),tbl_Ledger[[#This Row],[Amount]]*tbl_Ledger[[#This Row],[Rate_to_NGN]])</f>
        <v>45300</v>
      </c>
      <c r="R271" s="25" t="str">
        <f>_xlfn.XLOOKUP(tbl_Ledger[[#This Row],[Account_Code]], tbl_Accounts[Account_Code], tbl_Accounts[Type])</f>
        <v>Revenue</v>
      </c>
      <c r="S271" s="25" t="str">
        <f>_xlfn.XLOOKUP(tbl_Ledger[[#This Row],[Account_Code]], tbl_Accounts[Account_Code], tbl_Accounts[PL_Bucket])</f>
        <v>Revenue</v>
      </c>
      <c r="T271" s="25">
        <f t="shared" si="4"/>
        <v>45300</v>
      </c>
    </row>
    <row r="272" spans="1:20">
      <c r="A272" t="s">
        <v>824</v>
      </c>
      <c r="B272" s="7">
        <v>45856</v>
      </c>
      <c r="C272" t="s">
        <v>87</v>
      </c>
      <c r="D272" t="s">
        <v>94</v>
      </c>
      <c r="E272" t="s">
        <v>3</v>
      </c>
      <c r="F272" s="12" t="s">
        <v>38</v>
      </c>
      <c r="G272" t="s">
        <v>39</v>
      </c>
      <c r="H272" t="s">
        <v>275</v>
      </c>
      <c r="I272" t="s">
        <v>71</v>
      </c>
      <c r="J272" s="6">
        <v>-116000</v>
      </c>
      <c r="K272" t="s">
        <v>276</v>
      </c>
      <c r="L272" t="s">
        <v>825</v>
      </c>
      <c r="M272" t="s">
        <v>3</v>
      </c>
      <c r="N272" s="25" t="str">
        <f>TEXT(tbl_Ledger[[#This Row],[Date]],"yyyy-mm")</f>
        <v>2025-07</v>
      </c>
      <c r="O272" s="25" t="str">
        <f>TEXT(tbl_Ledger[[#This Row],[Date]],"yyyy-mm") &amp; TRIM(tbl_Ledger[[#This Row],[Currency]])</f>
        <v>2025-07NGN</v>
      </c>
      <c r="P272" s="25">
        <f>_xlfn.XLOOKUP(tbl_Ledger[[#This Row],[Key]], tbl_FX[Key], tbl_FX[Rate_to_NGN])</f>
        <v>1</v>
      </c>
      <c r="Q272" s="37">
        <f>IF(tbl_Ledger[[#This Row],[Account_Type]]="Expense",-ABS(tbl_Ledger[[#This Row],[Amount]]*tbl_Ledger[[#This Row],[Rate_to_NGN]]),tbl_Ledger[[#This Row],[Amount]]*tbl_Ledger[[#This Row],[Rate_to_NGN]])</f>
        <v>-116000</v>
      </c>
      <c r="R272" s="25" t="str">
        <f>_xlfn.XLOOKUP(tbl_Ledger[[#This Row],[Account_Code]], tbl_Accounts[Account_Code], tbl_Accounts[Type])</f>
        <v>COGS</v>
      </c>
      <c r="S272" s="25" t="str">
        <f>_xlfn.XLOOKUP(tbl_Ledger[[#This Row],[Account_Code]], tbl_Accounts[Account_Code], tbl_Accounts[PL_Bucket])</f>
        <v>COGS</v>
      </c>
      <c r="T272" s="25">
        <f t="shared" si="4"/>
        <v>-116000</v>
      </c>
    </row>
    <row r="273" spans="1:20">
      <c r="A273" t="s">
        <v>826</v>
      </c>
      <c r="B273" s="7">
        <v>45856</v>
      </c>
      <c r="C273" t="s">
        <v>87</v>
      </c>
      <c r="D273" t="s">
        <v>94</v>
      </c>
      <c r="E273" t="s">
        <v>3</v>
      </c>
      <c r="F273" s="12" t="s">
        <v>44</v>
      </c>
      <c r="G273" t="s">
        <v>45</v>
      </c>
      <c r="H273" t="s">
        <v>667</v>
      </c>
      <c r="I273" t="s">
        <v>71</v>
      </c>
      <c r="J273" s="6">
        <v>-225000</v>
      </c>
      <c r="K273" t="s">
        <v>668</v>
      </c>
      <c r="L273" t="s">
        <v>827</v>
      </c>
      <c r="M273" t="s">
        <v>3</v>
      </c>
      <c r="N273" s="25" t="str">
        <f>TEXT(tbl_Ledger[[#This Row],[Date]],"yyyy-mm")</f>
        <v>2025-07</v>
      </c>
      <c r="O273" s="25" t="str">
        <f>TEXT(tbl_Ledger[[#This Row],[Date]],"yyyy-mm") &amp; TRIM(tbl_Ledger[[#This Row],[Currency]])</f>
        <v>2025-07NGN</v>
      </c>
      <c r="P273" s="25">
        <f>_xlfn.XLOOKUP(tbl_Ledger[[#This Row],[Key]], tbl_FX[Key], tbl_FX[Rate_to_NGN])</f>
        <v>1</v>
      </c>
      <c r="Q273" s="37">
        <f>IF(tbl_Ledger[[#This Row],[Account_Type]]="Expense",-ABS(tbl_Ledger[[#This Row],[Amount]]*tbl_Ledger[[#This Row],[Rate_to_NGN]]),tbl_Ledger[[#This Row],[Amount]]*tbl_Ledger[[#This Row],[Rate_to_NGN]])</f>
        <v>-225000</v>
      </c>
      <c r="R273" s="25" t="str">
        <f>_xlfn.XLOOKUP(tbl_Ledger[[#This Row],[Account_Code]], tbl_Accounts[Account_Code], tbl_Accounts[Type])</f>
        <v>COGS</v>
      </c>
      <c r="S273" s="25" t="str">
        <f>_xlfn.XLOOKUP(tbl_Ledger[[#This Row],[Account_Code]], tbl_Accounts[Account_Code], tbl_Accounts[PL_Bucket])</f>
        <v>COGS</v>
      </c>
      <c r="T273" s="25">
        <f t="shared" si="4"/>
        <v>-225000</v>
      </c>
    </row>
    <row r="274" spans="1:20">
      <c r="A274" t="s">
        <v>828</v>
      </c>
      <c r="B274" s="7">
        <v>45857</v>
      </c>
      <c r="C274" t="s">
        <v>93</v>
      </c>
      <c r="D274" t="s">
        <v>94</v>
      </c>
      <c r="E274" t="s">
        <v>95</v>
      </c>
      <c r="F274" s="12" t="s">
        <v>24</v>
      </c>
      <c r="G274" t="s">
        <v>25</v>
      </c>
      <c r="H274" t="s">
        <v>829</v>
      </c>
      <c r="I274" t="s">
        <v>71</v>
      </c>
      <c r="J274" s="6">
        <v>39000</v>
      </c>
      <c r="K274" t="s">
        <v>3</v>
      </c>
      <c r="L274" t="s">
        <v>830</v>
      </c>
      <c r="M274" t="s">
        <v>3</v>
      </c>
      <c r="N274" s="25" t="str">
        <f>TEXT(tbl_Ledger[[#This Row],[Date]],"yyyy-mm")</f>
        <v>2025-07</v>
      </c>
      <c r="O274" s="25" t="str">
        <f>TEXT(tbl_Ledger[[#This Row],[Date]],"yyyy-mm") &amp; TRIM(tbl_Ledger[[#This Row],[Currency]])</f>
        <v>2025-07NGN</v>
      </c>
      <c r="P274" s="25">
        <f>_xlfn.XLOOKUP(tbl_Ledger[[#This Row],[Key]], tbl_FX[Key], tbl_FX[Rate_to_NGN])</f>
        <v>1</v>
      </c>
      <c r="Q274" s="37">
        <f>IF(tbl_Ledger[[#This Row],[Account_Type]]="Expense",-ABS(tbl_Ledger[[#This Row],[Amount]]*tbl_Ledger[[#This Row],[Rate_to_NGN]]),tbl_Ledger[[#This Row],[Amount]]*tbl_Ledger[[#This Row],[Rate_to_NGN]])</f>
        <v>39000</v>
      </c>
      <c r="R274" s="25" t="str">
        <f>_xlfn.XLOOKUP(tbl_Ledger[[#This Row],[Account_Code]], tbl_Accounts[Account_Code], tbl_Accounts[Type])</f>
        <v>Revenue</v>
      </c>
      <c r="S274" s="25" t="str">
        <f>_xlfn.XLOOKUP(tbl_Ledger[[#This Row],[Account_Code]], tbl_Accounts[Account_Code], tbl_Accounts[PL_Bucket])</f>
        <v>Revenue</v>
      </c>
      <c r="T274" s="25">
        <f t="shared" si="4"/>
        <v>39000</v>
      </c>
    </row>
    <row r="275" spans="1:20">
      <c r="A275" t="s">
        <v>831</v>
      </c>
      <c r="B275" s="7">
        <v>45857</v>
      </c>
      <c r="C275" t="s">
        <v>93</v>
      </c>
      <c r="D275" t="s">
        <v>94</v>
      </c>
      <c r="E275" t="s">
        <v>99</v>
      </c>
      <c r="F275" s="12" t="s">
        <v>24</v>
      </c>
      <c r="G275" t="s">
        <v>25</v>
      </c>
      <c r="H275" t="s">
        <v>832</v>
      </c>
      <c r="I275" t="s">
        <v>71</v>
      </c>
      <c r="J275" s="6">
        <v>37100</v>
      </c>
      <c r="K275" t="s">
        <v>3</v>
      </c>
      <c r="L275" t="s">
        <v>833</v>
      </c>
      <c r="M275" t="s">
        <v>3</v>
      </c>
      <c r="N275" s="25" t="str">
        <f>TEXT(tbl_Ledger[[#This Row],[Date]],"yyyy-mm")</f>
        <v>2025-07</v>
      </c>
      <c r="O275" s="25" t="str">
        <f>TEXT(tbl_Ledger[[#This Row],[Date]],"yyyy-mm") &amp; TRIM(tbl_Ledger[[#This Row],[Currency]])</f>
        <v>2025-07NGN</v>
      </c>
      <c r="P275" s="25">
        <f>_xlfn.XLOOKUP(tbl_Ledger[[#This Row],[Key]], tbl_FX[Key], tbl_FX[Rate_to_NGN])</f>
        <v>1</v>
      </c>
      <c r="Q275" s="37">
        <f>IF(tbl_Ledger[[#This Row],[Account_Type]]="Expense",-ABS(tbl_Ledger[[#This Row],[Amount]]*tbl_Ledger[[#This Row],[Rate_to_NGN]]),tbl_Ledger[[#This Row],[Amount]]*tbl_Ledger[[#This Row],[Rate_to_NGN]])</f>
        <v>37100</v>
      </c>
      <c r="R275" s="25" t="str">
        <f>_xlfn.XLOOKUP(tbl_Ledger[[#This Row],[Account_Code]], tbl_Accounts[Account_Code], tbl_Accounts[Type])</f>
        <v>Revenue</v>
      </c>
      <c r="S275" s="25" t="str">
        <f>_xlfn.XLOOKUP(tbl_Ledger[[#This Row],[Account_Code]], tbl_Accounts[Account_Code], tbl_Accounts[PL_Bucket])</f>
        <v>Revenue</v>
      </c>
      <c r="T275" s="25">
        <f t="shared" si="4"/>
        <v>37100</v>
      </c>
    </row>
    <row r="276" spans="1:20">
      <c r="A276" t="s">
        <v>834</v>
      </c>
      <c r="B276" s="7">
        <v>45857</v>
      </c>
      <c r="C276" t="s">
        <v>93</v>
      </c>
      <c r="D276" t="s">
        <v>94</v>
      </c>
      <c r="E276" t="s">
        <v>103</v>
      </c>
      <c r="F276" s="12" t="s">
        <v>24</v>
      </c>
      <c r="G276" t="s">
        <v>25</v>
      </c>
      <c r="H276" t="s">
        <v>835</v>
      </c>
      <c r="I276" t="s">
        <v>71</v>
      </c>
      <c r="J276" s="6">
        <v>37000</v>
      </c>
      <c r="K276" t="s">
        <v>3</v>
      </c>
      <c r="L276" t="s">
        <v>836</v>
      </c>
      <c r="M276" t="s">
        <v>3</v>
      </c>
      <c r="N276" s="25" t="str">
        <f>TEXT(tbl_Ledger[[#This Row],[Date]],"yyyy-mm")</f>
        <v>2025-07</v>
      </c>
      <c r="O276" s="25" t="str">
        <f>TEXT(tbl_Ledger[[#This Row],[Date]],"yyyy-mm") &amp; TRIM(tbl_Ledger[[#This Row],[Currency]])</f>
        <v>2025-07NGN</v>
      </c>
      <c r="P276" s="25">
        <f>_xlfn.XLOOKUP(tbl_Ledger[[#This Row],[Key]], tbl_FX[Key], tbl_FX[Rate_to_NGN])</f>
        <v>1</v>
      </c>
      <c r="Q276" s="37">
        <f>IF(tbl_Ledger[[#This Row],[Account_Type]]="Expense",-ABS(tbl_Ledger[[#This Row],[Amount]]*tbl_Ledger[[#This Row],[Rate_to_NGN]]),tbl_Ledger[[#This Row],[Amount]]*tbl_Ledger[[#This Row],[Rate_to_NGN]])</f>
        <v>37000</v>
      </c>
      <c r="R276" s="25" t="str">
        <f>_xlfn.XLOOKUP(tbl_Ledger[[#This Row],[Account_Code]], tbl_Accounts[Account_Code], tbl_Accounts[Type])</f>
        <v>Revenue</v>
      </c>
      <c r="S276" s="25" t="str">
        <f>_xlfn.XLOOKUP(tbl_Ledger[[#This Row],[Account_Code]], tbl_Accounts[Account_Code], tbl_Accounts[PL_Bucket])</f>
        <v>Revenue</v>
      </c>
      <c r="T276" s="25">
        <f t="shared" si="4"/>
        <v>37000</v>
      </c>
    </row>
    <row r="277" spans="1:20">
      <c r="A277" t="s">
        <v>837</v>
      </c>
      <c r="B277" s="7">
        <v>45857</v>
      </c>
      <c r="C277" t="s">
        <v>93</v>
      </c>
      <c r="D277" t="s">
        <v>94</v>
      </c>
      <c r="E277" t="s">
        <v>160</v>
      </c>
      <c r="F277" s="12" t="s">
        <v>24</v>
      </c>
      <c r="G277" t="s">
        <v>25</v>
      </c>
      <c r="H277" t="s">
        <v>838</v>
      </c>
      <c r="I277" t="s">
        <v>71</v>
      </c>
      <c r="J277" s="6">
        <v>36100</v>
      </c>
      <c r="K277" t="s">
        <v>3</v>
      </c>
      <c r="L277" t="s">
        <v>836</v>
      </c>
      <c r="M277" t="s">
        <v>3</v>
      </c>
      <c r="N277" s="25" t="str">
        <f>TEXT(tbl_Ledger[[#This Row],[Date]],"yyyy-mm")</f>
        <v>2025-07</v>
      </c>
      <c r="O277" s="25" t="str">
        <f>TEXT(tbl_Ledger[[#This Row],[Date]],"yyyy-mm") &amp; TRIM(tbl_Ledger[[#This Row],[Currency]])</f>
        <v>2025-07NGN</v>
      </c>
      <c r="P277" s="25">
        <f>_xlfn.XLOOKUP(tbl_Ledger[[#This Row],[Key]], tbl_FX[Key], tbl_FX[Rate_to_NGN])</f>
        <v>1</v>
      </c>
      <c r="Q277" s="37">
        <f>IF(tbl_Ledger[[#This Row],[Account_Type]]="Expense",-ABS(tbl_Ledger[[#This Row],[Amount]]*tbl_Ledger[[#This Row],[Rate_to_NGN]]),tbl_Ledger[[#This Row],[Amount]]*tbl_Ledger[[#This Row],[Rate_to_NGN]])</f>
        <v>36100</v>
      </c>
      <c r="R277" s="25" t="str">
        <f>_xlfn.XLOOKUP(tbl_Ledger[[#This Row],[Account_Code]], tbl_Accounts[Account_Code], tbl_Accounts[Type])</f>
        <v>Revenue</v>
      </c>
      <c r="S277" s="25" t="str">
        <f>_xlfn.XLOOKUP(tbl_Ledger[[#This Row],[Account_Code]], tbl_Accounts[Account_Code], tbl_Accounts[PL_Bucket])</f>
        <v>Revenue</v>
      </c>
      <c r="T277" s="25">
        <f t="shared" si="4"/>
        <v>36100</v>
      </c>
    </row>
    <row r="278" spans="1:20">
      <c r="A278" t="s">
        <v>839</v>
      </c>
      <c r="B278" s="7">
        <v>45857</v>
      </c>
      <c r="C278" t="s">
        <v>93</v>
      </c>
      <c r="D278" t="s">
        <v>94</v>
      </c>
      <c r="E278" t="s">
        <v>107</v>
      </c>
      <c r="F278" s="12" t="s">
        <v>24</v>
      </c>
      <c r="G278" t="s">
        <v>25</v>
      </c>
      <c r="H278" t="s">
        <v>840</v>
      </c>
      <c r="I278" t="s">
        <v>71</v>
      </c>
      <c r="J278" s="6">
        <v>38200</v>
      </c>
      <c r="K278" t="s">
        <v>3</v>
      </c>
      <c r="L278" t="s">
        <v>841</v>
      </c>
      <c r="M278" t="s">
        <v>3</v>
      </c>
      <c r="N278" s="25" t="str">
        <f>TEXT(tbl_Ledger[[#This Row],[Date]],"yyyy-mm")</f>
        <v>2025-07</v>
      </c>
      <c r="O278" s="25" t="str">
        <f>TEXT(tbl_Ledger[[#This Row],[Date]],"yyyy-mm") &amp; TRIM(tbl_Ledger[[#This Row],[Currency]])</f>
        <v>2025-07NGN</v>
      </c>
      <c r="P278" s="25">
        <f>_xlfn.XLOOKUP(tbl_Ledger[[#This Row],[Key]], tbl_FX[Key], tbl_FX[Rate_to_NGN])</f>
        <v>1</v>
      </c>
      <c r="Q278" s="37">
        <f>IF(tbl_Ledger[[#This Row],[Account_Type]]="Expense",-ABS(tbl_Ledger[[#This Row],[Amount]]*tbl_Ledger[[#This Row],[Rate_to_NGN]]),tbl_Ledger[[#This Row],[Amount]]*tbl_Ledger[[#This Row],[Rate_to_NGN]])</f>
        <v>38200</v>
      </c>
      <c r="R278" s="25" t="str">
        <f>_xlfn.XLOOKUP(tbl_Ledger[[#This Row],[Account_Code]], tbl_Accounts[Account_Code], tbl_Accounts[Type])</f>
        <v>Revenue</v>
      </c>
      <c r="S278" s="25" t="str">
        <f>_xlfn.XLOOKUP(tbl_Ledger[[#This Row],[Account_Code]], tbl_Accounts[Account_Code], tbl_Accounts[PL_Bucket])</f>
        <v>Revenue</v>
      </c>
      <c r="T278" s="25">
        <f t="shared" si="4"/>
        <v>38200</v>
      </c>
    </row>
    <row r="279" spans="1:20">
      <c r="A279" t="s">
        <v>842</v>
      </c>
      <c r="B279" s="7">
        <v>45857</v>
      </c>
      <c r="C279" t="s">
        <v>93</v>
      </c>
      <c r="D279" t="s">
        <v>111</v>
      </c>
      <c r="E279" t="s">
        <v>112</v>
      </c>
      <c r="F279" s="12" t="s">
        <v>24</v>
      </c>
      <c r="G279" t="s">
        <v>25</v>
      </c>
      <c r="H279" t="s">
        <v>843</v>
      </c>
      <c r="I279" t="s">
        <v>71</v>
      </c>
      <c r="J279" s="6">
        <v>60700</v>
      </c>
      <c r="K279" t="s">
        <v>3</v>
      </c>
      <c r="L279" t="s">
        <v>844</v>
      </c>
      <c r="M279" t="s">
        <v>3</v>
      </c>
      <c r="N279" s="25" t="str">
        <f>TEXT(tbl_Ledger[[#This Row],[Date]],"yyyy-mm")</f>
        <v>2025-07</v>
      </c>
      <c r="O279" s="25" t="str">
        <f>TEXT(tbl_Ledger[[#This Row],[Date]],"yyyy-mm") &amp; TRIM(tbl_Ledger[[#This Row],[Currency]])</f>
        <v>2025-07NGN</v>
      </c>
      <c r="P279" s="25">
        <f>_xlfn.XLOOKUP(tbl_Ledger[[#This Row],[Key]], tbl_FX[Key], tbl_FX[Rate_to_NGN])</f>
        <v>1</v>
      </c>
      <c r="Q279" s="37">
        <f>IF(tbl_Ledger[[#This Row],[Account_Type]]="Expense",-ABS(tbl_Ledger[[#This Row],[Amount]]*tbl_Ledger[[#This Row],[Rate_to_NGN]]),tbl_Ledger[[#This Row],[Amount]]*tbl_Ledger[[#This Row],[Rate_to_NGN]])</f>
        <v>60700</v>
      </c>
      <c r="R279" s="25" t="str">
        <f>_xlfn.XLOOKUP(tbl_Ledger[[#This Row],[Account_Code]], tbl_Accounts[Account_Code], tbl_Accounts[Type])</f>
        <v>Revenue</v>
      </c>
      <c r="S279" s="25" t="str">
        <f>_xlfn.XLOOKUP(tbl_Ledger[[#This Row],[Account_Code]], tbl_Accounts[Account_Code], tbl_Accounts[PL_Bucket])</f>
        <v>Revenue</v>
      </c>
      <c r="T279" s="25">
        <f t="shared" si="4"/>
        <v>60700</v>
      </c>
    </row>
    <row r="280" spans="1:20">
      <c r="A280" t="s">
        <v>845</v>
      </c>
      <c r="B280" s="7">
        <v>45857</v>
      </c>
      <c r="C280" t="s">
        <v>93</v>
      </c>
      <c r="D280" t="s">
        <v>111</v>
      </c>
      <c r="E280" t="s">
        <v>119</v>
      </c>
      <c r="F280" s="12" t="s">
        <v>24</v>
      </c>
      <c r="G280" t="s">
        <v>25</v>
      </c>
      <c r="H280" t="s">
        <v>846</v>
      </c>
      <c r="I280" t="s">
        <v>71</v>
      </c>
      <c r="J280" s="6">
        <v>60100</v>
      </c>
      <c r="K280" t="s">
        <v>3</v>
      </c>
      <c r="L280" t="s">
        <v>844</v>
      </c>
      <c r="M280" t="s">
        <v>3</v>
      </c>
      <c r="N280" s="25" t="str">
        <f>TEXT(tbl_Ledger[[#This Row],[Date]],"yyyy-mm")</f>
        <v>2025-07</v>
      </c>
      <c r="O280" s="25" t="str">
        <f>TEXT(tbl_Ledger[[#This Row],[Date]],"yyyy-mm") &amp; TRIM(tbl_Ledger[[#This Row],[Currency]])</f>
        <v>2025-07NGN</v>
      </c>
      <c r="P280" s="25">
        <f>_xlfn.XLOOKUP(tbl_Ledger[[#This Row],[Key]], tbl_FX[Key], tbl_FX[Rate_to_NGN])</f>
        <v>1</v>
      </c>
      <c r="Q280" s="37">
        <f>IF(tbl_Ledger[[#This Row],[Account_Type]]="Expense",-ABS(tbl_Ledger[[#This Row],[Amount]]*tbl_Ledger[[#This Row],[Rate_to_NGN]]),tbl_Ledger[[#This Row],[Amount]]*tbl_Ledger[[#This Row],[Rate_to_NGN]])</f>
        <v>60100</v>
      </c>
      <c r="R280" s="25" t="str">
        <f>_xlfn.XLOOKUP(tbl_Ledger[[#This Row],[Account_Code]], tbl_Accounts[Account_Code], tbl_Accounts[Type])</f>
        <v>Revenue</v>
      </c>
      <c r="S280" s="25" t="str">
        <f>_xlfn.XLOOKUP(tbl_Ledger[[#This Row],[Account_Code]], tbl_Accounts[Account_Code], tbl_Accounts[PL_Bucket])</f>
        <v>Revenue</v>
      </c>
      <c r="T280" s="25">
        <f t="shared" si="4"/>
        <v>60100</v>
      </c>
    </row>
    <row r="281" spans="1:20">
      <c r="A281" t="s">
        <v>847</v>
      </c>
      <c r="B281" s="7">
        <v>45857</v>
      </c>
      <c r="C281" t="s">
        <v>93</v>
      </c>
      <c r="D281" t="s">
        <v>111</v>
      </c>
      <c r="E281" t="s">
        <v>170</v>
      </c>
      <c r="F281" s="12" t="s">
        <v>24</v>
      </c>
      <c r="G281" t="s">
        <v>25</v>
      </c>
      <c r="H281" t="s">
        <v>848</v>
      </c>
      <c r="I281" t="s">
        <v>71</v>
      </c>
      <c r="J281" s="6">
        <v>59600</v>
      </c>
      <c r="K281" t="s">
        <v>3</v>
      </c>
      <c r="L281" t="s">
        <v>844</v>
      </c>
      <c r="M281" t="s">
        <v>3</v>
      </c>
      <c r="N281" s="25" t="str">
        <f>TEXT(tbl_Ledger[[#This Row],[Date]],"yyyy-mm")</f>
        <v>2025-07</v>
      </c>
      <c r="O281" s="25" t="str">
        <f>TEXT(tbl_Ledger[[#This Row],[Date]],"yyyy-mm") &amp; TRIM(tbl_Ledger[[#This Row],[Currency]])</f>
        <v>2025-07NGN</v>
      </c>
      <c r="P281" s="25">
        <f>_xlfn.XLOOKUP(tbl_Ledger[[#This Row],[Key]], tbl_FX[Key], tbl_FX[Rate_to_NGN])</f>
        <v>1</v>
      </c>
      <c r="Q281" s="37">
        <f>IF(tbl_Ledger[[#This Row],[Account_Type]]="Expense",-ABS(tbl_Ledger[[#This Row],[Amount]]*tbl_Ledger[[#This Row],[Rate_to_NGN]]),tbl_Ledger[[#This Row],[Amount]]*tbl_Ledger[[#This Row],[Rate_to_NGN]])</f>
        <v>59600</v>
      </c>
      <c r="R281" s="25" t="str">
        <f>_xlfn.XLOOKUP(tbl_Ledger[[#This Row],[Account_Code]], tbl_Accounts[Account_Code], tbl_Accounts[Type])</f>
        <v>Revenue</v>
      </c>
      <c r="S281" s="25" t="str">
        <f>_xlfn.XLOOKUP(tbl_Ledger[[#This Row],[Account_Code]], tbl_Accounts[Account_Code], tbl_Accounts[PL_Bucket])</f>
        <v>Revenue</v>
      </c>
      <c r="T281" s="25">
        <f t="shared" si="4"/>
        <v>59600</v>
      </c>
    </row>
    <row r="282" spans="1:20">
      <c r="A282" t="s">
        <v>849</v>
      </c>
      <c r="B282" s="7">
        <v>45857</v>
      </c>
      <c r="C282" t="s">
        <v>93</v>
      </c>
      <c r="D282" t="s">
        <v>111</v>
      </c>
      <c r="E282" t="s">
        <v>122</v>
      </c>
      <c r="F282" s="12" t="s">
        <v>24</v>
      </c>
      <c r="G282" t="s">
        <v>25</v>
      </c>
      <c r="H282" t="s">
        <v>850</v>
      </c>
      <c r="I282" t="s">
        <v>71</v>
      </c>
      <c r="J282" s="6">
        <v>62300</v>
      </c>
      <c r="K282" t="s">
        <v>3</v>
      </c>
      <c r="L282" t="s">
        <v>851</v>
      </c>
      <c r="M282" t="s">
        <v>3</v>
      </c>
      <c r="N282" s="25" t="str">
        <f>TEXT(tbl_Ledger[[#This Row],[Date]],"yyyy-mm")</f>
        <v>2025-07</v>
      </c>
      <c r="O282" s="25" t="str">
        <f>TEXT(tbl_Ledger[[#This Row],[Date]],"yyyy-mm") &amp; TRIM(tbl_Ledger[[#This Row],[Currency]])</f>
        <v>2025-07NGN</v>
      </c>
      <c r="P282" s="25">
        <f>_xlfn.XLOOKUP(tbl_Ledger[[#This Row],[Key]], tbl_FX[Key], tbl_FX[Rate_to_NGN])</f>
        <v>1</v>
      </c>
      <c r="Q282" s="37">
        <f>IF(tbl_Ledger[[#This Row],[Account_Type]]="Expense",-ABS(tbl_Ledger[[#This Row],[Amount]]*tbl_Ledger[[#This Row],[Rate_to_NGN]]),tbl_Ledger[[#This Row],[Amount]]*tbl_Ledger[[#This Row],[Rate_to_NGN]])</f>
        <v>62300</v>
      </c>
      <c r="R282" s="25" t="str">
        <f>_xlfn.XLOOKUP(tbl_Ledger[[#This Row],[Account_Code]], tbl_Accounts[Account_Code], tbl_Accounts[Type])</f>
        <v>Revenue</v>
      </c>
      <c r="S282" s="25" t="str">
        <f>_xlfn.XLOOKUP(tbl_Ledger[[#This Row],[Account_Code]], tbl_Accounts[Account_Code], tbl_Accounts[PL_Bucket])</f>
        <v>Revenue</v>
      </c>
      <c r="T282" s="25">
        <f t="shared" si="4"/>
        <v>62300</v>
      </c>
    </row>
    <row r="283" spans="1:20">
      <c r="A283" t="s">
        <v>852</v>
      </c>
      <c r="B283" s="7">
        <v>45857</v>
      </c>
      <c r="C283" t="s">
        <v>126</v>
      </c>
      <c r="D283" t="s">
        <v>88</v>
      </c>
      <c r="E283" t="s">
        <v>127</v>
      </c>
      <c r="F283" s="12" t="s">
        <v>29</v>
      </c>
      <c r="G283" t="s">
        <v>30</v>
      </c>
      <c r="H283" t="s">
        <v>853</v>
      </c>
      <c r="I283" t="s">
        <v>72</v>
      </c>
      <c r="J283" s="6">
        <v>28.1</v>
      </c>
      <c r="K283" t="s">
        <v>129</v>
      </c>
      <c r="L283" t="s">
        <v>854</v>
      </c>
      <c r="M283" t="s">
        <v>3</v>
      </c>
      <c r="N283" s="25" t="str">
        <f>TEXT(tbl_Ledger[[#This Row],[Date]],"yyyy-mm")</f>
        <v>2025-07</v>
      </c>
      <c r="O283" s="25" t="str">
        <f>TEXT(tbl_Ledger[[#This Row],[Date]],"yyyy-mm") &amp; TRIM(tbl_Ledger[[#This Row],[Currency]])</f>
        <v>2025-07USD</v>
      </c>
      <c r="P283" s="25">
        <f>_xlfn.XLOOKUP(tbl_Ledger[[#This Row],[Key]], tbl_FX[Key], tbl_FX[Rate_to_NGN])</f>
        <v>1530</v>
      </c>
      <c r="Q283" s="37">
        <f>IF(tbl_Ledger[[#This Row],[Account_Type]]="Expense",-ABS(tbl_Ledger[[#This Row],[Amount]]*tbl_Ledger[[#This Row],[Rate_to_NGN]]),tbl_Ledger[[#This Row],[Amount]]*tbl_Ledger[[#This Row],[Rate_to_NGN]])</f>
        <v>42993</v>
      </c>
      <c r="R283" s="25" t="str">
        <f>_xlfn.XLOOKUP(tbl_Ledger[[#This Row],[Account_Code]], tbl_Accounts[Account_Code], tbl_Accounts[Type])</f>
        <v>Revenue</v>
      </c>
      <c r="S283" s="25" t="str">
        <f>_xlfn.XLOOKUP(tbl_Ledger[[#This Row],[Account_Code]], tbl_Accounts[Account_Code], tbl_Accounts[PL_Bucket])</f>
        <v>Revenue</v>
      </c>
      <c r="T283" s="25">
        <f t="shared" si="4"/>
        <v>42993</v>
      </c>
    </row>
    <row r="284" spans="1:20">
      <c r="A284" t="s">
        <v>855</v>
      </c>
      <c r="B284" s="7">
        <v>45857</v>
      </c>
      <c r="C284" t="s">
        <v>126</v>
      </c>
      <c r="D284" t="s">
        <v>88</v>
      </c>
      <c r="E284" t="s">
        <v>132</v>
      </c>
      <c r="F284" s="12" t="s">
        <v>29</v>
      </c>
      <c r="G284" t="s">
        <v>30</v>
      </c>
      <c r="H284" t="s">
        <v>856</v>
      </c>
      <c r="I284" t="s">
        <v>71</v>
      </c>
      <c r="J284" s="6">
        <v>48500</v>
      </c>
      <c r="K284" t="s">
        <v>134</v>
      </c>
      <c r="L284" t="s">
        <v>854</v>
      </c>
      <c r="M284" t="s">
        <v>3</v>
      </c>
      <c r="N284" s="25" t="str">
        <f>TEXT(tbl_Ledger[[#This Row],[Date]],"yyyy-mm")</f>
        <v>2025-07</v>
      </c>
      <c r="O284" s="25" t="str">
        <f>TEXT(tbl_Ledger[[#This Row],[Date]],"yyyy-mm") &amp; TRIM(tbl_Ledger[[#This Row],[Currency]])</f>
        <v>2025-07NGN</v>
      </c>
      <c r="P284" s="25">
        <f>_xlfn.XLOOKUP(tbl_Ledger[[#This Row],[Key]], tbl_FX[Key], tbl_FX[Rate_to_NGN])</f>
        <v>1</v>
      </c>
      <c r="Q284" s="37">
        <f>IF(tbl_Ledger[[#This Row],[Account_Type]]="Expense",-ABS(tbl_Ledger[[#This Row],[Amount]]*tbl_Ledger[[#This Row],[Rate_to_NGN]]),tbl_Ledger[[#This Row],[Amount]]*tbl_Ledger[[#This Row],[Rate_to_NGN]])</f>
        <v>48500</v>
      </c>
      <c r="R284" s="25" t="str">
        <f>_xlfn.XLOOKUP(tbl_Ledger[[#This Row],[Account_Code]], tbl_Accounts[Account_Code], tbl_Accounts[Type])</f>
        <v>Revenue</v>
      </c>
      <c r="S284" s="25" t="str">
        <f>_xlfn.XLOOKUP(tbl_Ledger[[#This Row],[Account_Code]], tbl_Accounts[Account_Code], tbl_Accounts[PL_Bucket])</f>
        <v>Revenue</v>
      </c>
      <c r="T284" s="25">
        <f t="shared" si="4"/>
        <v>48500</v>
      </c>
    </row>
    <row r="285" spans="1:20">
      <c r="A285" t="s">
        <v>857</v>
      </c>
      <c r="B285" s="7">
        <v>45857</v>
      </c>
      <c r="C285" t="s">
        <v>126</v>
      </c>
      <c r="D285" t="s">
        <v>88</v>
      </c>
      <c r="E285" t="s">
        <v>136</v>
      </c>
      <c r="F285" s="12" t="s">
        <v>29</v>
      </c>
      <c r="G285" t="s">
        <v>30</v>
      </c>
      <c r="H285" t="s">
        <v>858</v>
      </c>
      <c r="I285" t="s">
        <v>71</v>
      </c>
      <c r="J285" s="6">
        <v>39700</v>
      </c>
      <c r="K285" t="s">
        <v>138</v>
      </c>
      <c r="L285" t="s">
        <v>854</v>
      </c>
      <c r="M285" t="s">
        <v>3</v>
      </c>
      <c r="N285" s="25" t="str">
        <f>TEXT(tbl_Ledger[[#This Row],[Date]],"yyyy-mm")</f>
        <v>2025-07</v>
      </c>
      <c r="O285" s="25" t="str">
        <f>TEXT(tbl_Ledger[[#This Row],[Date]],"yyyy-mm") &amp; TRIM(tbl_Ledger[[#This Row],[Currency]])</f>
        <v>2025-07NGN</v>
      </c>
      <c r="P285" s="25">
        <f>_xlfn.XLOOKUP(tbl_Ledger[[#This Row],[Key]], tbl_FX[Key], tbl_FX[Rate_to_NGN])</f>
        <v>1</v>
      </c>
      <c r="Q285" s="37">
        <f>IF(tbl_Ledger[[#This Row],[Account_Type]]="Expense",-ABS(tbl_Ledger[[#This Row],[Amount]]*tbl_Ledger[[#This Row],[Rate_to_NGN]]),tbl_Ledger[[#This Row],[Amount]]*tbl_Ledger[[#This Row],[Rate_to_NGN]])</f>
        <v>39700</v>
      </c>
      <c r="R285" s="25" t="str">
        <f>_xlfn.XLOOKUP(tbl_Ledger[[#This Row],[Account_Code]], tbl_Accounts[Account_Code], tbl_Accounts[Type])</f>
        <v>Revenue</v>
      </c>
      <c r="S285" s="25" t="str">
        <f>_xlfn.XLOOKUP(tbl_Ledger[[#This Row],[Account_Code]], tbl_Accounts[Account_Code], tbl_Accounts[PL_Bucket])</f>
        <v>Revenue</v>
      </c>
      <c r="T285" s="25">
        <f t="shared" si="4"/>
        <v>39700</v>
      </c>
    </row>
    <row r="286" spans="1:20">
      <c r="A286" t="s">
        <v>859</v>
      </c>
      <c r="B286" s="7">
        <v>45857</v>
      </c>
      <c r="C286" t="s">
        <v>126</v>
      </c>
      <c r="D286" t="s">
        <v>88</v>
      </c>
      <c r="E286" t="s">
        <v>140</v>
      </c>
      <c r="F286" s="12" t="s">
        <v>29</v>
      </c>
      <c r="G286" t="s">
        <v>30</v>
      </c>
      <c r="H286" t="s">
        <v>860</v>
      </c>
      <c r="I286" t="s">
        <v>71</v>
      </c>
      <c r="J286" s="6">
        <v>49800</v>
      </c>
      <c r="K286" t="s">
        <v>3</v>
      </c>
      <c r="L286" t="s">
        <v>861</v>
      </c>
      <c r="M286" t="s">
        <v>3</v>
      </c>
      <c r="N286" s="25" t="str">
        <f>TEXT(tbl_Ledger[[#This Row],[Date]],"yyyy-mm")</f>
        <v>2025-07</v>
      </c>
      <c r="O286" s="25" t="str">
        <f>TEXT(tbl_Ledger[[#This Row],[Date]],"yyyy-mm") &amp; TRIM(tbl_Ledger[[#This Row],[Currency]])</f>
        <v>2025-07NGN</v>
      </c>
      <c r="P286" s="25">
        <f>_xlfn.XLOOKUP(tbl_Ledger[[#This Row],[Key]], tbl_FX[Key], tbl_FX[Rate_to_NGN])</f>
        <v>1</v>
      </c>
      <c r="Q286" s="37">
        <f>IF(tbl_Ledger[[#This Row],[Account_Type]]="Expense",-ABS(tbl_Ledger[[#This Row],[Amount]]*tbl_Ledger[[#This Row],[Rate_to_NGN]]),tbl_Ledger[[#This Row],[Amount]]*tbl_Ledger[[#This Row],[Rate_to_NGN]])</f>
        <v>49800</v>
      </c>
      <c r="R286" s="25" t="str">
        <f>_xlfn.XLOOKUP(tbl_Ledger[[#This Row],[Account_Code]], tbl_Accounts[Account_Code], tbl_Accounts[Type])</f>
        <v>Revenue</v>
      </c>
      <c r="S286" s="25" t="str">
        <f>_xlfn.XLOOKUP(tbl_Ledger[[#This Row],[Account_Code]], tbl_Accounts[Account_Code], tbl_Accounts[PL_Bucket])</f>
        <v>Revenue</v>
      </c>
      <c r="T286" s="25">
        <f t="shared" si="4"/>
        <v>49800</v>
      </c>
    </row>
    <row r="287" spans="1:20">
      <c r="A287" t="s">
        <v>862</v>
      </c>
      <c r="B287" s="7">
        <v>45857</v>
      </c>
      <c r="C287" t="s">
        <v>87</v>
      </c>
      <c r="D287" t="s">
        <v>94</v>
      </c>
      <c r="E287" t="s">
        <v>3</v>
      </c>
      <c r="F287" s="12" t="s">
        <v>42</v>
      </c>
      <c r="G287" t="s">
        <v>43</v>
      </c>
      <c r="H287" t="s">
        <v>186</v>
      </c>
      <c r="I287" t="s">
        <v>71</v>
      </c>
      <c r="J287" s="6">
        <v>-504000</v>
      </c>
      <c r="K287" t="s">
        <v>187</v>
      </c>
      <c r="L287" t="s">
        <v>863</v>
      </c>
      <c r="M287" t="s">
        <v>3</v>
      </c>
      <c r="N287" s="25" t="str">
        <f>TEXT(tbl_Ledger[[#This Row],[Date]],"yyyy-mm")</f>
        <v>2025-07</v>
      </c>
      <c r="O287" s="25" t="str">
        <f>TEXT(tbl_Ledger[[#This Row],[Date]],"yyyy-mm") &amp; TRIM(tbl_Ledger[[#This Row],[Currency]])</f>
        <v>2025-07NGN</v>
      </c>
      <c r="P287" s="25">
        <f>_xlfn.XLOOKUP(tbl_Ledger[[#This Row],[Key]], tbl_FX[Key], tbl_FX[Rate_to_NGN])</f>
        <v>1</v>
      </c>
      <c r="Q287" s="37">
        <f>IF(tbl_Ledger[[#This Row],[Account_Type]]="Expense",-ABS(tbl_Ledger[[#This Row],[Amount]]*tbl_Ledger[[#This Row],[Rate_to_NGN]]),tbl_Ledger[[#This Row],[Amount]]*tbl_Ledger[[#This Row],[Rate_to_NGN]])</f>
        <v>-504000</v>
      </c>
      <c r="R287" s="25" t="str">
        <f>_xlfn.XLOOKUP(tbl_Ledger[[#This Row],[Account_Code]], tbl_Accounts[Account_Code], tbl_Accounts[Type])</f>
        <v>COGS</v>
      </c>
      <c r="S287" s="25" t="str">
        <f>_xlfn.XLOOKUP(tbl_Ledger[[#This Row],[Account_Code]], tbl_Accounts[Account_Code], tbl_Accounts[PL_Bucket])</f>
        <v>COGS</v>
      </c>
      <c r="T287" s="25">
        <f t="shared" si="4"/>
        <v>-504000</v>
      </c>
    </row>
    <row r="288" spans="1:20">
      <c r="A288" t="s">
        <v>864</v>
      </c>
      <c r="B288" s="7">
        <v>45857</v>
      </c>
      <c r="C288" t="s">
        <v>87</v>
      </c>
      <c r="D288" t="s">
        <v>111</v>
      </c>
      <c r="E288" t="s">
        <v>3</v>
      </c>
      <c r="F288" s="12" t="s">
        <v>36</v>
      </c>
      <c r="G288" t="s">
        <v>37</v>
      </c>
      <c r="H288" t="s">
        <v>144</v>
      </c>
      <c r="I288" t="s">
        <v>71</v>
      </c>
      <c r="J288" s="6">
        <v>-2216000</v>
      </c>
      <c r="K288" t="s">
        <v>145</v>
      </c>
      <c r="L288" t="s">
        <v>865</v>
      </c>
      <c r="M288" t="s">
        <v>3</v>
      </c>
      <c r="N288" s="25" t="str">
        <f>TEXT(tbl_Ledger[[#This Row],[Date]],"yyyy-mm")</f>
        <v>2025-07</v>
      </c>
      <c r="O288" s="25" t="str">
        <f>TEXT(tbl_Ledger[[#This Row],[Date]],"yyyy-mm") &amp; TRIM(tbl_Ledger[[#This Row],[Currency]])</f>
        <v>2025-07NGN</v>
      </c>
      <c r="P288" s="25">
        <f>_xlfn.XLOOKUP(tbl_Ledger[[#This Row],[Key]], tbl_FX[Key], tbl_FX[Rate_to_NGN])</f>
        <v>1</v>
      </c>
      <c r="Q288" s="37">
        <f>IF(tbl_Ledger[[#This Row],[Account_Type]]="Expense",-ABS(tbl_Ledger[[#This Row],[Amount]]*tbl_Ledger[[#This Row],[Rate_to_NGN]]),tbl_Ledger[[#This Row],[Amount]]*tbl_Ledger[[#This Row],[Rate_to_NGN]])</f>
        <v>-2216000</v>
      </c>
      <c r="R288" s="25" t="str">
        <f>_xlfn.XLOOKUP(tbl_Ledger[[#This Row],[Account_Code]], tbl_Accounts[Account_Code], tbl_Accounts[Type])</f>
        <v>COGS</v>
      </c>
      <c r="S288" s="25" t="str">
        <f>_xlfn.XLOOKUP(tbl_Ledger[[#This Row],[Account_Code]], tbl_Accounts[Account_Code], tbl_Accounts[PL_Bucket])</f>
        <v>COGS</v>
      </c>
      <c r="T288" s="25">
        <f t="shared" si="4"/>
        <v>-2216000</v>
      </c>
    </row>
    <row r="289" spans="1:20">
      <c r="A289" t="s">
        <v>866</v>
      </c>
      <c r="B289" s="7">
        <v>45857</v>
      </c>
      <c r="C289" t="s">
        <v>87</v>
      </c>
      <c r="D289" t="s">
        <v>88</v>
      </c>
      <c r="E289" t="s">
        <v>3</v>
      </c>
      <c r="F289" s="12" t="s">
        <v>40</v>
      </c>
      <c r="G289" t="s">
        <v>41</v>
      </c>
      <c r="H289" t="s">
        <v>148</v>
      </c>
      <c r="I289" t="s">
        <v>71</v>
      </c>
      <c r="J289" s="6">
        <v>-529000</v>
      </c>
      <c r="K289" t="s">
        <v>90</v>
      </c>
      <c r="L289" t="s">
        <v>867</v>
      </c>
      <c r="M289" t="s">
        <v>3</v>
      </c>
      <c r="N289" s="25" t="str">
        <f>TEXT(tbl_Ledger[[#This Row],[Date]],"yyyy-mm")</f>
        <v>2025-07</v>
      </c>
      <c r="O289" s="25" t="str">
        <f>TEXT(tbl_Ledger[[#This Row],[Date]],"yyyy-mm") &amp; TRIM(tbl_Ledger[[#This Row],[Currency]])</f>
        <v>2025-07NGN</v>
      </c>
      <c r="P289" s="25">
        <f>_xlfn.XLOOKUP(tbl_Ledger[[#This Row],[Key]], tbl_FX[Key], tbl_FX[Rate_to_NGN])</f>
        <v>1</v>
      </c>
      <c r="Q289" s="37">
        <f>IF(tbl_Ledger[[#This Row],[Account_Type]]="Expense",-ABS(tbl_Ledger[[#This Row],[Amount]]*tbl_Ledger[[#This Row],[Rate_to_NGN]]),tbl_Ledger[[#This Row],[Amount]]*tbl_Ledger[[#This Row],[Rate_to_NGN]])</f>
        <v>-529000</v>
      </c>
      <c r="R289" s="25" t="str">
        <f>_xlfn.XLOOKUP(tbl_Ledger[[#This Row],[Account_Code]], tbl_Accounts[Account_Code], tbl_Accounts[Type])</f>
        <v>COGS</v>
      </c>
      <c r="S289" s="25" t="str">
        <f>_xlfn.XLOOKUP(tbl_Ledger[[#This Row],[Account_Code]], tbl_Accounts[Account_Code], tbl_Accounts[PL_Bucket])</f>
        <v>COGS</v>
      </c>
      <c r="T289" s="25">
        <f t="shared" si="4"/>
        <v>-529000</v>
      </c>
    </row>
    <row r="290" spans="1:20">
      <c r="A290" t="s">
        <v>868</v>
      </c>
      <c r="B290" s="7">
        <v>45857</v>
      </c>
      <c r="C290" t="s">
        <v>87</v>
      </c>
      <c r="D290" t="s">
        <v>111</v>
      </c>
      <c r="E290" t="s">
        <v>3</v>
      </c>
      <c r="F290" s="12" t="s">
        <v>53</v>
      </c>
      <c r="G290" t="s">
        <v>54</v>
      </c>
      <c r="H290" t="s">
        <v>869</v>
      </c>
      <c r="I290" t="s">
        <v>71</v>
      </c>
      <c r="J290" s="6">
        <v>-484662</v>
      </c>
      <c r="K290" t="s">
        <v>870</v>
      </c>
      <c r="L290" t="s">
        <v>871</v>
      </c>
      <c r="M290" t="s">
        <v>3</v>
      </c>
      <c r="N290" s="25" t="str">
        <f>TEXT(tbl_Ledger[[#This Row],[Date]],"yyyy-mm")</f>
        <v>2025-07</v>
      </c>
      <c r="O290" s="25" t="str">
        <f>TEXT(tbl_Ledger[[#This Row],[Date]],"yyyy-mm") &amp; TRIM(tbl_Ledger[[#This Row],[Currency]])</f>
        <v>2025-07NGN</v>
      </c>
      <c r="P290" s="25">
        <f>_xlfn.XLOOKUP(tbl_Ledger[[#This Row],[Key]], tbl_FX[Key], tbl_FX[Rate_to_NGN])</f>
        <v>1</v>
      </c>
      <c r="Q290" s="37">
        <f>IF(tbl_Ledger[[#This Row],[Account_Type]]="Expense",-ABS(tbl_Ledger[[#This Row],[Amount]]*tbl_Ledger[[#This Row],[Rate_to_NGN]]),tbl_Ledger[[#This Row],[Amount]]*tbl_Ledger[[#This Row],[Rate_to_NGN]])</f>
        <v>-484662</v>
      </c>
      <c r="R290" s="25" t="str">
        <f>_xlfn.XLOOKUP(tbl_Ledger[[#This Row],[Account_Code]], tbl_Accounts[Account_Code], tbl_Accounts[Type])</f>
        <v>Opex</v>
      </c>
      <c r="S290" s="25" t="str">
        <f>_xlfn.XLOOKUP(tbl_Ledger[[#This Row],[Account_Code]], tbl_Accounts[Account_Code], tbl_Accounts[PL_Bucket])</f>
        <v>Opex</v>
      </c>
      <c r="T290" s="25">
        <f t="shared" si="4"/>
        <v>-484662</v>
      </c>
    </row>
    <row r="291" spans="1:20">
      <c r="A291" t="s">
        <v>872</v>
      </c>
      <c r="B291" s="7">
        <v>45858</v>
      </c>
      <c r="C291" t="s">
        <v>93</v>
      </c>
      <c r="D291" t="s">
        <v>94</v>
      </c>
      <c r="E291" t="s">
        <v>95</v>
      </c>
      <c r="F291" s="12" t="s">
        <v>24</v>
      </c>
      <c r="G291" t="s">
        <v>25</v>
      </c>
      <c r="H291" t="s">
        <v>873</v>
      </c>
      <c r="I291" t="s">
        <v>71</v>
      </c>
      <c r="J291" s="6">
        <v>34200</v>
      </c>
      <c r="K291" t="s">
        <v>3</v>
      </c>
      <c r="L291" t="s">
        <v>874</v>
      </c>
      <c r="M291" t="s">
        <v>3</v>
      </c>
      <c r="N291" s="25" t="str">
        <f>TEXT(tbl_Ledger[[#This Row],[Date]],"yyyy-mm")</f>
        <v>2025-07</v>
      </c>
      <c r="O291" s="25" t="str">
        <f>TEXT(tbl_Ledger[[#This Row],[Date]],"yyyy-mm") &amp; TRIM(tbl_Ledger[[#This Row],[Currency]])</f>
        <v>2025-07NGN</v>
      </c>
      <c r="P291" s="25">
        <f>_xlfn.XLOOKUP(tbl_Ledger[[#This Row],[Key]], tbl_FX[Key], tbl_FX[Rate_to_NGN])</f>
        <v>1</v>
      </c>
      <c r="Q291" s="37">
        <f>IF(tbl_Ledger[[#This Row],[Account_Type]]="Expense",-ABS(tbl_Ledger[[#This Row],[Amount]]*tbl_Ledger[[#This Row],[Rate_to_NGN]]),tbl_Ledger[[#This Row],[Amount]]*tbl_Ledger[[#This Row],[Rate_to_NGN]])</f>
        <v>34200</v>
      </c>
      <c r="R291" s="25" t="str">
        <f>_xlfn.XLOOKUP(tbl_Ledger[[#This Row],[Account_Code]], tbl_Accounts[Account_Code], tbl_Accounts[Type])</f>
        <v>Revenue</v>
      </c>
      <c r="S291" s="25" t="str">
        <f>_xlfn.XLOOKUP(tbl_Ledger[[#This Row],[Account_Code]], tbl_Accounts[Account_Code], tbl_Accounts[PL_Bucket])</f>
        <v>Revenue</v>
      </c>
      <c r="T291" s="25">
        <f t="shared" si="4"/>
        <v>34200</v>
      </c>
    </row>
    <row r="292" spans="1:20">
      <c r="A292" t="s">
        <v>875</v>
      </c>
      <c r="B292" s="7">
        <v>45858</v>
      </c>
      <c r="C292" t="s">
        <v>93</v>
      </c>
      <c r="D292" t="s">
        <v>94</v>
      </c>
      <c r="E292" t="s">
        <v>99</v>
      </c>
      <c r="F292" s="12" t="s">
        <v>24</v>
      </c>
      <c r="G292" t="s">
        <v>25</v>
      </c>
      <c r="H292" t="s">
        <v>876</v>
      </c>
      <c r="I292" t="s">
        <v>71</v>
      </c>
      <c r="J292" s="6">
        <v>36600</v>
      </c>
      <c r="K292" t="s">
        <v>3</v>
      </c>
      <c r="L292" t="s">
        <v>877</v>
      </c>
      <c r="M292" t="s">
        <v>3</v>
      </c>
      <c r="N292" s="25" t="str">
        <f>TEXT(tbl_Ledger[[#This Row],[Date]],"yyyy-mm")</f>
        <v>2025-07</v>
      </c>
      <c r="O292" s="25" t="str">
        <f>TEXT(tbl_Ledger[[#This Row],[Date]],"yyyy-mm") &amp; TRIM(tbl_Ledger[[#This Row],[Currency]])</f>
        <v>2025-07NGN</v>
      </c>
      <c r="P292" s="25">
        <f>_xlfn.XLOOKUP(tbl_Ledger[[#This Row],[Key]], tbl_FX[Key], tbl_FX[Rate_to_NGN])</f>
        <v>1</v>
      </c>
      <c r="Q292" s="37">
        <f>IF(tbl_Ledger[[#This Row],[Account_Type]]="Expense",-ABS(tbl_Ledger[[#This Row],[Amount]]*tbl_Ledger[[#This Row],[Rate_to_NGN]]),tbl_Ledger[[#This Row],[Amount]]*tbl_Ledger[[#This Row],[Rate_to_NGN]])</f>
        <v>36600</v>
      </c>
      <c r="R292" s="25" t="str">
        <f>_xlfn.XLOOKUP(tbl_Ledger[[#This Row],[Account_Code]], tbl_Accounts[Account_Code], tbl_Accounts[Type])</f>
        <v>Revenue</v>
      </c>
      <c r="S292" s="25" t="str">
        <f>_xlfn.XLOOKUP(tbl_Ledger[[#This Row],[Account_Code]], tbl_Accounts[Account_Code], tbl_Accounts[PL_Bucket])</f>
        <v>Revenue</v>
      </c>
      <c r="T292" s="25">
        <f t="shared" si="4"/>
        <v>36600</v>
      </c>
    </row>
    <row r="293" spans="1:20">
      <c r="A293" t="s">
        <v>878</v>
      </c>
      <c r="B293" s="7">
        <v>45858</v>
      </c>
      <c r="C293" t="s">
        <v>93</v>
      </c>
      <c r="D293" t="s">
        <v>94</v>
      </c>
      <c r="E293" t="s">
        <v>103</v>
      </c>
      <c r="F293" s="12" t="s">
        <v>24</v>
      </c>
      <c r="G293" t="s">
        <v>25</v>
      </c>
      <c r="H293" t="s">
        <v>879</v>
      </c>
      <c r="I293" t="s">
        <v>71</v>
      </c>
      <c r="J293" s="6">
        <v>37400</v>
      </c>
      <c r="K293" t="s">
        <v>3</v>
      </c>
      <c r="L293" t="s">
        <v>880</v>
      </c>
      <c r="M293" t="s">
        <v>3</v>
      </c>
      <c r="N293" s="25" t="str">
        <f>TEXT(tbl_Ledger[[#This Row],[Date]],"yyyy-mm")</f>
        <v>2025-07</v>
      </c>
      <c r="O293" s="25" t="str">
        <f>TEXT(tbl_Ledger[[#This Row],[Date]],"yyyy-mm") &amp; TRIM(tbl_Ledger[[#This Row],[Currency]])</f>
        <v>2025-07NGN</v>
      </c>
      <c r="P293" s="25">
        <f>_xlfn.XLOOKUP(tbl_Ledger[[#This Row],[Key]], tbl_FX[Key], tbl_FX[Rate_to_NGN])</f>
        <v>1</v>
      </c>
      <c r="Q293" s="37">
        <f>IF(tbl_Ledger[[#This Row],[Account_Type]]="Expense",-ABS(tbl_Ledger[[#This Row],[Amount]]*tbl_Ledger[[#This Row],[Rate_to_NGN]]),tbl_Ledger[[#This Row],[Amount]]*tbl_Ledger[[#This Row],[Rate_to_NGN]])</f>
        <v>37400</v>
      </c>
      <c r="R293" s="25" t="str">
        <f>_xlfn.XLOOKUP(tbl_Ledger[[#This Row],[Account_Code]], tbl_Accounts[Account_Code], tbl_Accounts[Type])</f>
        <v>Revenue</v>
      </c>
      <c r="S293" s="25" t="str">
        <f>_xlfn.XLOOKUP(tbl_Ledger[[#This Row],[Account_Code]], tbl_Accounts[Account_Code], tbl_Accounts[PL_Bucket])</f>
        <v>Revenue</v>
      </c>
      <c r="T293" s="25">
        <f t="shared" si="4"/>
        <v>37400</v>
      </c>
    </row>
    <row r="294" spans="1:20">
      <c r="A294" t="s">
        <v>881</v>
      </c>
      <c r="B294" s="7">
        <v>45858</v>
      </c>
      <c r="C294" t="s">
        <v>93</v>
      </c>
      <c r="D294" t="s">
        <v>94</v>
      </c>
      <c r="E294" t="s">
        <v>160</v>
      </c>
      <c r="F294" s="12" t="s">
        <v>24</v>
      </c>
      <c r="G294" t="s">
        <v>25</v>
      </c>
      <c r="H294" t="s">
        <v>882</v>
      </c>
      <c r="I294" t="s">
        <v>71</v>
      </c>
      <c r="J294" s="6">
        <v>34800</v>
      </c>
      <c r="K294" t="s">
        <v>3</v>
      </c>
      <c r="L294" t="s">
        <v>880</v>
      </c>
      <c r="M294" t="s">
        <v>3</v>
      </c>
      <c r="N294" s="25" t="str">
        <f>TEXT(tbl_Ledger[[#This Row],[Date]],"yyyy-mm")</f>
        <v>2025-07</v>
      </c>
      <c r="O294" s="25" t="str">
        <f>TEXT(tbl_Ledger[[#This Row],[Date]],"yyyy-mm") &amp; TRIM(tbl_Ledger[[#This Row],[Currency]])</f>
        <v>2025-07NGN</v>
      </c>
      <c r="P294" s="25">
        <f>_xlfn.XLOOKUP(tbl_Ledger[[#This Row],[Key]], tbl_FX[Key], tbl_FX[Rate_to_NGN])</f>
        <v>1</v>
      </c>
      <c r="Q294" s="37">
        <f>IF(tbl_Ledger[[#This Row],[Account_Type]]="Expense",-ABS(tbl_Ledger[[#This Row],[Amount]]*tbl_Ledger[[#This Row],[Rate_to_NGN]]),tbl_Ledger[[#This Row],[Amount]]*tbl_Ledger[[#This Row],[Rate_to_NGN]])</f>
        <v>34800</v>
      </c>
      <c r="R294" s="25" t="str">
        <f>_xlfn.XLOOKUP(tbl_Ledger[[#This Row],[Account_Code]], tbl_Accounts[Account_Code], tbl_Accounts[Type])</f>
        <v>Revenue</v>
      </c>
      <c r="S294" s="25" t="str">
        <f>_xlfn.XLOOKUP(tbl_Ledger[[#This Row],[Account_Code]], tbl_Accounts[Account_Code], tbl_Accounts[PL_Bucket])</f>
        <v>Revenue</v>
      </c>
      <c r="T294" s="25">
        <f t="shared" si="4"/>
        <v>34800</v>
      </c>
    </row>
    <row r="295" spans="1:20">
      <c r="A295" t="s">
        <v>883</v>
      </c>
      <c r="B295" s="7">
        <v>45858</v>
      </c>
      <c r="C295" t="s">
        <v>93</v>
      </c>
      <c r="D295" t="s">
        <v>94</v>
      </c>
      <c r="E295" t="s">
        <v>107</v>
      </c>
      <c r="F295" s="12" t="s">
        <v>24</v>
      </c>
      <c r="G295" t="s">
        <v>25</v>
      </c>
      <c r="H295" t="s">
        <v>884</v>
      </c>
      <c r="I295" t="s">
        <v>71</v>
      </c>
      <c r="J295" s="6">
        <v>34400</v>
      </c>
      <c r="K295" t="s">
        <v>3</v>
      </c>
      <c r="L295" t="s">
        <v>885</v>
      </c>
      <c r="M295" t="s">
        <v>3</v>
      </c>
      <c r="N295" s="25" t="str">
        <f>TEXT(tbl_Ledger[[#This Row],[Date]],"yyyy-mm")</f>
        <v>2025-07</v>
      </c>
      <c r="O295" s="25" t="str">
        <f>TEXT(tbl_Ledger[[#This Row],[Date]],"yyyy-mm") &amp; TRIM(tbl_Ledger[[#This Row],[Currency]])</f>
        <v>2025-07NGN</v>
      </c>
      <c r="P295" s="25">
        <f>_xlfn.XLOOKUP(tbl_Ledger[[#This Row],[Key]], tbl_FX[Key], tbl_FX[Rate_to_NGN])</f>
        <v>1</v>
      </c>
      <c r="Q295" s="37">
        <f>IF(tbl_Ledger[[#This Row],[Account_Type]]="Expense",-ABS(tbl_Ledger[[#This Row],[Amount]]*tbl_Ledger[[#This Row],[Rate_to_NGN]]),tbl_Ledger[[#This Row],[Amount]]*tbl_Ledger[[#This Row],[Rate_to_NGN]])</f>
        <v>34400</v>
      </c>
      <c r="R295" s="25" t="str">
        <f>_xlfn.XLOOKUP(tbl_Ledger[[#This Row],[Account_Code]], tbl_Accounts[Account_Code], tbl_Accounts[Type])</f>
        <v>Revenue</v>
      </c>
      <c r="S295" s="25" t="str">
        <f>_xlfn.XLOOKUP(tbl_Ledger[[#This Row],[Account_Code]], tbl_Accounts[Account_Code], tbl_Accounts[PL_Bucket])</f>
        <v>Revenue</v>
      </c>
      <c r="T295" s="25">
        <f t="shared" si="4"/>
        <v>34400</v>
      </c>
    </row>
    <row r="296" spans="1:20">
      <c r="A296" t="s">
        <v>886</v>
      </c>
      <c r="B296" s="7">
        <v>45858</v>
      </c>
      <c r="C296" t="s">
        <v>93</v>
      </c>
      <c r="D296" t="s">
        <v>111</v>
      </c>
      <c r="E296" t="s">
        <v>112</v>
      </c>
      <c r="F296" s="12" t="s">
        <v>24</v>
      </c>
      <c r="G296" t="s">
        <v>25</v>
      </c>
      <c r="H296" t="s">
        <v>887</v>
      </c>
      <c r="I296" t="s">
        <v>71</v>
      </c>
      <c r="J296" s="6">
        <v>61100</v>
      </c>
      <c r="K296" t="s">
        <v>3</v>
      </c>
      <c r="L296" t="s">
        <v>888</v>
      </c>
      <c r="M296" t="s">
        <v>3</v>
      </c>
      <c r="N296" s="25" t="str">
        <f>TEXT(tbl_Ledger[[#This Row],[Date]],"yyyy-mm")</f>
        <v>2025-07</v>
      </c>
      <c r="O296" s="25" t="str">
        <f>TEXT(tbl_Ledger[[#This Row],[Date]],"yyyy-mm") &amp; TRIM(tbl_Ledger[[#This Row],[Currency]])</f>
        <v>2025-07NGN</v>
      </c>
      <c r="P296" s="25">
        <f>_xlfn.XLOOKUP(tbl_Ledger[[#This Row],[Key]], tbl_FX[Key], tbl_FX[Rate_to_NGN])</f>
        <v>1</v>
      </c>
      <c r="Q296" s="37">
        <f>IF(tbl_Ledger[[#This Row],[Account_Type]]="Expense",-ABS(tbl_Ledger[[#This Row],[Amount]]*tbl_Ledger[[#This Row],[Rate_to_NGN]]),tbl_Ledger[[#This Row],[Amount]]*tbl_Ledger[[#This Row],[Rate_to_NGN]])</f>
        <v>61100</v>
      </c>
      <c r="R296" s="25" t="str">
        <f>_xlfn.XLOOKUP(tbl_Ledger[[#This Row],[Account_Code]], tbl_Accounts[Account_Code], tbl_Accounts[Type])</f>
        <v>Revenue</v>
      </c>
      <c r="S296" s="25" t="str">
        <f>_xlfn.XLOOKUP(tbl_Ledger[[#This Row],[Account_Code]], tbl_Accounts[Account_Code], tbl_Accounts[PL_Bucket])</f>
        <v>Revenue</v>
      </c>
      <c r="T296" s="25">
        <f t="shared" si="4"/>
        <v>61100</v>
      </c>
    </row>
    <row r="297" spans="1:20">
      <c r="A297" t="s">
        <v>889</v>
      </c>
      <c r="B297" s="7">
        <v>45858</v>
      </c>
      <c r="C297" t="s">
        <v>93</v>
      </c>
      <c r="D297" t="s">
        <v>111</v>
      </c>
      <c r="E297" t="s">
        <v>116</v>
      </c>
      <c r="F297" s="12" t="s">
        <v>24</v>
      </c>
      <c r="G297" t="s">
        <v>25</v>
      </c>
      <c r="H297" t="s">
        <v>890</v>
      </c>
      <c r="I297" t="s">
        <v>71</v>
      </c>
      <c r="J297" s="6">
        <v>58200</v>
      </c>
      <c r="K297" t="s">
        <v>3</v>
      </c>
      <c r="L297" t="s">
        <v>888</v>
      </c>
      <c r="M297" t="s">
        <v>3</v>
      </c>
      <c r="N297" s="25" t="str">
        <f>TEXT(tbl_Ledger[[#This Row],[Date]],"yyyy-mm")</f>
        <v>2025-07</v>
      </c>
      <c r="O297" s="25" t="str">
        <f>TEXT(tbl_Ledger[[#This Row],[Date]],"yyyy-mm") &amp; TRIM(tbl_Ledger[[#This Row],[Currency]])</f>
        <v>2025-07NGN</v>
      </c>
      <c r="P297" s="25">
        <f>_xlfn.XLOOKUP(tbl_Ledger[[#This Row],[Key]], tbl_FX[Key], tbl_FX[Rate_to_NGN])</f>
        <v>1</v>
      </c>
      <c r="Q297" s="37">
        <f>IF(tbl_Ledger[[#This Row],[Account_Type]]="Expense",-ABS(tbl_Ledger[[#This Row],[Amount]]*tbl_Ledger[[#This Row],[Rate_to_NGN]]),tbl_Ledger[[#This Row],[Amount]]*tbl_Ledger[[#This Row],[Rate_to_NGN]])</f>
        <v>58200</v>
      </c>
      <c r="R297" s="25" t="str">
        <f>_xlfn.XLOOKUP(tbl_Ledger[[#This Row],[Account_Code]], tbl_Accounts[Account_Code], tbl_Accounts[Type])</f>
        <v>Revenue</v>
      </c>
      <c r="S297" s="25" t="str">
        <f>_xlfn.XLOOKUP(tbl_Ledger[[#This Row],[Account_Code]], tbl_Accounts[Account_Code], tbl_Accounts[PL_Bucket])</f>
        <v>Revenue</v>
      </c>
      <c r="T297" s="25">
        <f t="shared" si="4"/>
        <v>58200</v>
      </c>
    </row>
    <row r="298" spans="1:20">
      <c r="A298" t="s">
        <v>891</v>
      </c>
      <c r="B298" s="7">
        <v>45858</v>
      </c>
      <c r="C298" t="s">
        <v>93</v>
      </c>
      <c r="D298" t="s">
        <v>111</v>
      </c>
      <c r="E298" t="s">
        <v>119</v>
      </c>
      <c r="F298" s="12" t="s">
        <v>24</v>
      </c>
      <c r="G298" t="s">
        <v>25</v>
      </c>
      <c r="H298" t="s">
        <v>892</v>
      </c>
      <c r="I298" t="s">
        <v>71</v>
      </c>
      <c r="J298" s="6">
        <v>63400</v>
      </c>
      <c r="K298" t="s">
        <v>3</v>
      </c>
      <c r="L298" t="s">
        <v>888</v>
      </c>
      <c r="M298" t="s">
        <v>3</v>
      </c>
      <c r="N298" s="25" t="str">
        <f>TEXT(tbl_Ledger[[#This Row],[Date]],"yyyy-mm")</f>
        <v>2025-07</v>
      </c>
      <c r="O298" s="25" t="str">
        <f>TEXT(tbl_Ledger[[#This Row],[Date]],"yyyy-mm") &amp; TRIM(tbl_Ledger[[#This Row],[Currency]])</f>
        <v>2025-07NGN</v>
      </c>
      <c r="P298" s="25">
        <f>_xlfn.XLOOKUP(tbl_Ledger[[#This Row],[Key]], tbl_FX[Key], tbl_FX[Rate_to_NGN])</f>
        <v>1</v>
      </c>
      <c r="Q298" s="37">
        <f>IF(tbl_Ledger[[#This Row],[Account_Type]]="Expense",-ABS(tbl_Ledger[[#This Row],[Amount]]*tbl_Ledger[[#This Row],[Rate_to_NGN]]),tbl_Ledger[[#This Row],[Amount]]*tbl_Ledger[[#This Row],[Rate_to_NGN]])</f>
        <v>63400</v>
      </c>
      <c r="R298" s="25" t="str">
        <f>_xlfn.XLOOKUP(tbl_Ledger[[#This Row],[Account_Code]], tbl_Accounts[Account_Code], tbl_Accounts[Type])</f>
        <v>Revenue</v>
      </c>
      <c r="S298" s="25" t="str">
        <f>_xlfn.XLOOKUP(tbl_Ledger[[#This Row],[Account_Code]], tbl_Accounts[Account_Code], tbl_Accounts[PL_Bucket])</f>
        <v>Revenue</v>
      </c>
      <c r="T298" s="25">
        <f t="shared" si="4"/>
        <v>63400</v>
      </c>
    </row>
    <row r="299" spans="1:20">
      <c r="A299" t="s">
        <v>893</v>
      </c>
      <c r="B299" s="7">
        <v>45858</v>
      </c>
      <c r="C299" t="s">
        <v>93</v>
      </c>
      <c r="D299" t="s">
        <v>111</v>
      </c>
      <c r="E299" t="s">
        <v>122</v>
      </c>
      <c r="F299" s="12" t="s">
        <v>24</v>
      </c>
      <c r="G299" t="s">
        <v>25</v>
      </c>
      <c r="H299" t="s">
        <v>894</v>
      </c>
      <c r="I299" t="s">
        <v>71</v>
      </c>
      <c r="J299" s="6">
        <v>62800</v>
      </c>
      <c r="K299" t="s">
        <v>3</v>
      </c>
      <c r="L299" t="s">
        <v>895</v>
      </c>
      <c r="M299" t="s">
        <v>3</v>
      </c>
      <c r="N299" s="25" t="str">
        <f>TEXT(tbl_Ledger[[#This Row],[Date]],"yyyy-mm")</f>
        <v>2025-07</v>
      </c>
      <c r="O299" s="25" t="str">
        <f>TEXT(tbl_Ledger[[#This Row],[Date]],"yyyy-mm") &amp; TRIM(tbl_Ledger[[#This Row],[Currency]])</f>
        <v>2025-07NGN</v>
      </c>
      <c r="P299" s="25">
        <f>_xlfn.XLOOKUP(tbl_Ledger[[#This Row],[Key]], tbl_FX[Key], tbl_FX[Rate_to_NGN])</f>
        <v>1</v>
      </c>
      <c r="Q299" s="37">
        <f>IF(tbl_Ledger[[#This Row],[Account_Type]]="Expense",-ABS(tbl_Ledger[[#This Row],[Amount]]*tbl_Ledger[[#This Row],[Rate_to_NGN]]),tbl_Ledger[[#This Row],[Amount]]*tbl_Ledger[[#This Row],[Rate_to_NGN]])</f>
        <v>62800</v>
      </c>
      <c r="R299" s="25" t="str">
        <f>_xlfn.XLOOKUP(tbl_Ledger[[#This Row],[Account_Code]], tbl_Accounts[Account_Code], tbl_Accounts[Type])</f>
        <v>Revenue</v>
      </c>
      <c r="S299" s="25" t="str">
        <f>_xlfn.XLOOKUP(tbl_Ledger[[#This Row],[Account_Code]], tbl_Accounts[Account_Code], tbl_Accounts[PL_Bucket])</f>
        <v>Revenue</v>
      </c>
      <c r="T299" s="25">
        <f t="shared" si="4"/>
        <v>62800</v>
      </c>
    </row>
    <row r="300" spans="1:20">
      <c r="A300" t="s">
        <v>896</v>
      </c>
      <c r="B300" s="7">
        <v>45858</v>
      </c>
      <c r="C300" t="s">
        <v>126</v>
      </c>
      <c r="D300" t="s">
        <v>88</v>
      </c>
      <c r="E300" t="s">
        <v>127</v>
      </c>
      <c r="F300" s="12" t="s">
        <v>29</v>
      </c>
      <c r="G300" t="s">
        <v>30</v>
      </c>
      <c r="H300" t="s">
        <v>897</v>
      </c>
      <c r="I300" t="s">
        <v>71</v>
      </c>
      <c r="J300" s="6">
        <v>45400</v>
      </c>
      <c r="K300" t="s">
        <v>129</v>
      </c>
      <c r="L300" t="s">
        <v>898</v>
      </c>
      <c r="M300" t="s">
        <v>3</v>
      </c>
      <c r="N300" s="25" t="str">
        <f>TEXT(tbl_Ledger[[#This Row],[Date]],"yyyy-mm")</f>
        <v>2025-07</v>
      </c>
      <c r="O300" s="25" t="str">
        <f>TEXT(tbl_Ledger[[#This Row],[Date]],"yyyy-mm") &amp; TRIM(tbl_Ledger[[#This Row],[Currency]])</f>
        <v>2025-07NGN</v>
      </c>
      <c r="P300" s="25">
        <f>_xlfn.XLOOKUP(tbl_Ledger[[#This Row],[Key]], tbl_FX[Key], tbl_FX[Rate_to_NGN])</f>
        <v>1</v>
      </c>
      <c r="Q300" s="37">
        <f>IF(tbl_Ledger[[#This Row],[Account_Type]]="Expense",-ABS(tbl_Ledger[[#This Row],[Amount]]*tbl_Ledger[[#This Row],[Rate_to_NGN]]),tbl_Ledger[[#This Row],[Amount]]*tbl_Ledger[[#This Row],[Rate_to_NGN]])</f>
        <v>45400</v>
      </c>
      <c r="R300" s="25" t="str">
        <f>_xlfn.XLOOKUP(tbl_Ledger[[#This Row],[Account_Code]], tbl_Accounts[Account_Code], tbl_Accounts[Type])</f>
        <v>Revenue</v>
      </c>
      <c r="S300" s="25" t="str">
        <f>_xlfn.XLOOKUP(tbl_Ledger[[#This Row],[Account_Code]], tbl_Accounts[Account_Code], tbl_Accounts[PL_Bucket])</f>
        <v>Revenue</v>
      </c>
      <c r="T300" s="25">
        <f t="shared" si="4"/>
        <v>45400</v>
      </c>
    </row>
    <row r="301" spans="1:20">
      <c r="A301" t="s">
        <v>899</v>
      </c>
      <c r="B301" s="7">
        <v>45858</v>
      </c>
      <c r="C301" t="s">
        <v>126</v>
      </c>
      <c r="D301" t="s">
        <v>88</v>
      </c>
      <c r="E301" t="s">
        <v>132</v>
      </c>
      <c r="F301" s="12" t="s">
        <v>29</v>
      </c>
      <c r="G301" t="s">
        <v>30</v>
      </c>
      <c r="H301" t="s">
        <v>900</v>
      </c>
      <c r="I301" t="s">
        <v>72</v>
      </c>
      <c r="J301" s="6">
        <v>29.28</v>
      </c>
      <c r="K301" t="s">
        <v>134</v>
      </c>
      <c r="L301" t="s">
        <v>898</v>
      </c>
      <c r="M301" t="s">
        <v>3</v>
      </c>
      <c r="N301" s="25" t="str">
        <f>TEXT(tbl_Ledger[[#This Row],[Date]],"yyyy-mm")</f>
        <v>2025-07</v>
      </c>
      <c r="O301" s="25" t="str">
        <f>TEXT(tbl_Ledger[[#This Row],[Date]],"yyyy-mm") &amp; TRIM(tbl_Ledger[[#This Row],[Currency]])</f>
        <v>2025-07USD</v>
      </c>
      <c r="P301" s="25">
        <f>_xlfn.XLOOKUP(tbl_Ledger[[#This Row],[Key]], tbl_FX[Key], tbl_FX[Rate_to_NGN])</f>
        <v>1530</v>
      </c>
      <c r="Q301" s="37">
        <f>IF(tbl_Ledger[[#This Row],[Account_Type]]="Expense",-ABS(tbl_Ledger[[#This Row],[Amount]]*tbl_Ledger[[#This Row],[Rate_to_NGN]]),tbl_Ledger[[#This Row],[Amount]]*tbl_Ledger[[#This Row],[Rate_to_NGN]])</f>
        <v>44798.400000000001</v>
      </c>
      <c r="R301" s="25" t="str">
        <f>_xlfn.XLOOKUP(tbl_Ledger[[#This Row],[Account_Code]], tbl_Accounts[Account_Code], tbl_Accounts[Type])</f>
        <v>Revenue</v>
      </c>
      <c r="S301" s="25" t="str">
        <f>_xlfn.XLOOKUP(tbl_Ledger[[#This Row],[Account_Code]], tbl_Accounts[Account_Code], tbl_Accounts[PL_Bucket])</f>
        <v>Revenue</v>
      </c>
      <c r="T301" s="25">
        <f t="shared" si="4"/>
        <v>44798.400000000001</v>
      </c>
    </row>
    <row r="302" spans="1:20">
      <c r="A302" t="s">
        <v>901</v>
      </c>
      <c r="B302" s="7">
        <v>45858</v>
      </c>
      <c r="C302" t="s">
        <v>126</v>
      </c>
      <c r="D302" t="s">
        <v>88</v>
      </c>
      <c r="E302" t="s">
        <v>136</v>
      </c>
      <c r="F302" s="12" t="s">
        <v>29</v>
      </c>
      <c r="G302" t="s">
        <v>30</v>
      </c>
      <c r="H302" t="s">
        <v>902</v>
      </c>
      <c r="I302" t="s">
        <v>71</v>
      </c>
      <c r="J302" s="6">
        <v>40600</v>
      </c>
      <c r="K302" t="s">
        <v>138</v>
      </c>
      <c r="L302" t="s">
        <v>898</v>
      </c>
      <c r="M302" t="s">
        <v>3</v>
      </c>
      <c r="N302" s="25" t="str">
        <f>TEXT(tbl_Ledger[[#This Row],[Date]],"yyyy-mm")</f>
        <v>2025-07</v>
      </c>
      <c r="O302" s="25" t="str">
        <f>TEXT(tbl_Ledger[[#This Row],[Date]],"yyyy-mm") &amp; TRIM(tbl_Ledger[[#This Row],[Currency]])</f>
        <v>2025-07NGN</v>
      </c>
      <c r="P302" s="25">
        <f>_xlfn.XLOOKUP(tbl_Ledger[[#This Row],[Key]], tbl_FX[Key], tbl_FX[Rate_to_NGN])</f>
        <v>1</v>
      </c>
      <c r="Q302" s="37">
        <f>IF(tbl_Ledger[[#This Row],[Account_Type]]="Expense",-ABS(tbl_Ledger[[#This Row],[Amount]]*tbl_Ledger[[#This Row],[Rate_to_NGN]]),tbl_Ledger[[#This Row],[Amount]]*tbl_Ledger[[#This Row],[Rate_to_NGN]])</f>
        <v>40600</v>
      </c>
      <c r="R302" s="25" t="str">
        <f>_xlfn.XLOOKUP(tbl_Ledger[[#This Row],[Account_Code]], tbl_Accounts[Account_Code], tbl_Accounts[Type])</f>
        <v>Revenue</v>
      </c>
      <c r="S302" s="25" t="str">
        <f>_xlfn.XLOOKUP(tbl_Ledger[[#This Row],[Account_Code]], tbl_Accounts[Account_Code], tbl_Accounts[PL_Bucket])</f>
        <v>Revenue</v>
      </c>
      <c r="T302" s="25">
        <f t="shared" si="4"/>
        <v>40600</v>
      </c>
    </row>
    <row r="303" spans="1:20">
      <c r="A303" t="s">
        <v>903</v>
      </c>
      <c r="B303" s="7">
        <v>45858</v>
      </c>
      <c r="C303" t="s">
        <v>126</v>
      </c>
      <c r="D303" t="s">
        <v>88</v>
      </c>
      <c r="E303" t="s">
        <v>140</v>
      </c>
      <c r="F303" s="12" t="s">
        <v>29</v>
      </c>
      <c r="G303" t="s">
        <v>30</v>
      </c>
      <c r="H303" t="s">
        <v>904</v>
      </c>
      <c r="I303" t="s">
        <v>71</v>
      </c>
      <c r="J303" s="6">
        <v>41200</v>
      </c>
      <c r="K303" t="s">
        <v>3</v>
      </c>
      <c r="L303" t="s">
        <v>905</v>
      </c>
      <c r="M303" t="s">
        <v>3</v>
      </c>
      <c r="N303" s="25" t="str">
        <f>TEXT(tbl_Ledger[[#This Row],[Date]],"yyyy-mm")</f>
        <v>2025-07</v>
      </c>
      <c r="O303" s="25" t="str">
        <f>TEXT(tbl_Ledger[[#This Row],[Date]],"yyyy-mm") &amp; TRIM(tbl_Ledger[[#This Row],[Currency]])</f>
        <v>2025-07NGN</v>
      </c>
      <c r="P303" s="25">
        <f>_xlfn.XLOOKUP(tbl_Ledger[[#This Row],[Key]], tbl_FX[Key], tbl_FX[Rate_to_NGN])</f>
        <v>1</v>
      </c>
      <c r="Q303" s="37">
        <f>IF(tbl_Ledger[[#This Row],[Account_Type]]="Expense",-ABS(tbl_Ledger[[#This Row],[Amount]]*tbl_Ledger[[#This Row],[Rate_to_NGN]]),tbl_Ledger[[#This Row],[Amount]]*tbl_Ledger[[#This Row],[Rate_to_NGN]])</f>
        <v>41200</v>
      </c>
      <c r="R303" s="25" t="str">
        <f>_xlfn.XLOOKUP(tbl_Ledger[[#This Row],[Account_Code]], tbl_Accounts[Account_Code], tbl_Accounts[Type])</f>
        <v>Revenue</v>
      </c>
      <c r="S303" s="25" t="str">
        <f>_xlfn.XLOOKUP(tbl_Ledger[[#This Row],[Account_Code]], tbl_Accounts[Account_Code], tbl_Accounts[PL_Bucket])</f>
        <v>Revenue</v>
      </c>
      <c r="T303" s="25">
        <f t="shared" si="4"/>
        <v>41200</v>
      </c>
    </row>
    <row r="304" spans="1:20">
      <c r="A304" t="s">
        <v>906</v>
      </c>
      <c r="B304" s="7">
        <v>45859</v>
      </c>
      <c r="C304" t="s">
        <v>93</v>
      </c>
      <c r="D304" t="s">
        <v>94</v>
      </c>
      <c r="E304" t="s">
        <v>95</v>
      </c>
      <c r="F304" s="12" t="s">
        <v>24</v>
      </c>
      <c r="G304" t="s">
        <v>25</v>
      </c>
      <c r="H304" t="s">
        <v>907</v>
      </c>
      <c r="I304" t="s">
        <v>71</v>
      </c>
      <c r="J304" s="6">
        <v>27700</v>
      </c>
      <c r="K304" t="s">
        <v>3</v>
      </c>
      <c r="L304" t="s">
        <v>908</v>
      </c>
      <c r="M304" t="s">
        <v>3</v>
      </c>
      <c r="N304" s="25" t="str">
        <f>TEXT(tbl_Ledger[[#This Row],[Date]],"yyyy-mm")</f>
        <v>2025-07</v>
      </c>
      <c r="O304" s="25" t="str">
        <f>TEXT(tbl_Ledger[[#This Row],[Date]],"yyyy-mm") &amp; TRIM(tbl_Ledger[[#This Row],[Currency]])</f>
        <v>2025-07NGN</v>
      </c>
      <c r="P304" s="25">
        <f>_xlfn.XLOOKUP(tbl_Ledger[[#This Row],[Key]], tbl_FX[Key], tbl_FX[Rate_to_NGN])</f>
        <v>1</v>
      </c>
      <c r="Q304" s="37">
        <f>IF(tbl_Ledger[[#This Row],[Account_Type]]="Expense",-ABS(tbl_Ledger[[#This Row],[Amount]]*tbl_Ledger[[#This Row],[Rate_to_NGN]]),tbl_Ledger[[#This Row],[Amount]]*tbl_Ledger[[#This Row],[Rate_to_NGN]])</f>
        <v>27700</v>
      </c>
      <c r="R304" s="25" t="str">
        <f>_xlfn.XLOOKUP(tbl_Ledger[[#This Row],[Account_Code]], tbl_Accounts[Account_Code], tbl_Accounts[Type])</f>
        <v>Revenue</v>
      </c>
      <c r="S304" s="25" t="str">
        <f>_xlfn.XLOOKUP(tbl_Ledger[[#This Row],[Account_Code]], tbl_Accounts[Account_Code], tbl_Accounts[PL_Bucket])</f>
        <v>Revenue</v>
      </c>
      <c r="T304" s="25">
        <f t="shared" si="4"/>
        <v>27700</v>
      </c>
    </row>
    <row r="305" spans="1:20">
      <c r="A305" t="s">
        <v>909</v>
      </c>
      <c r="B305" s="7">
        <v>45859</v>
      </c>
      <c r="C305" t="s">
        <v>93</v>
      </c>
      <c r="D305" t="s">
        <v>94</v>
      </c>
      <c r="E305" t="s">
        <v>99</v>
      </c>
      <c r="F305" s="12" t="s">
        <v>24</v>
      </c>
      <c r="G305" t="s">
        <v>25</v>
      </c>
      <c r="H305" t="s">
        <v>910</v>
      </c>
      <c r="I305" t="s">
        <v>71</v>
      </c>
      <c r="J305" s="6">
        <v>30000</v>
      </c>
      <c r="K305" t="s">
        <v>3</v>
      </c>
      <c r="L305" t="s">
        <v>911</v>
      </c>
      <c r="M305" t="s">
        <v>3</v>
      </c>
      <c r="N305" s="25" t="str">
        <f>TEXT(tbl_Ledger[[#This Row],[Date]],"yyyy-mm")</f>
        <v>2025-07</v>
      </c>
      <c r="O305" s="25" t="str">
        <f>TEXT(tbl_Ledger[[#This Row],[Date]],"yyyy-mm") &amp; TRIM(tbl_Ledger[[#This Row],[Currency]])</f>
        <v>2025-07NGN</v>
      </c>
      <c r="P305" s="25">
        <f>_xlfn.XLOOKUP(tbl_Ledger[[#This Row],[Key]], tbl_FX[Key], tbl_FX[Rate_to_NGN])</f>
        <v>1</v>
      </c>
      <c r="Q305" s="37">
        <f>IF(tbl_Ledger[[#This Row],[Account_Type]]="Expense",-ABS(tbl_Ledger[[#This Row],[Amount]]*tbl_Ledger[[#This Row],[Rate_to_NGN]]),tbl_Ledger[[#This Row],[Amount]]*tbl_Ledger[[#This Row],[Rate_to_NGN]])</f>
        <v>30000</v>
      </c>
      <c r="R305" s="25" t="str">
        <f>_xlfn.XLOOKUP(tbl_Ledger[[#This Row],[Account_Code]], tbl_Accounts[Account_Code], tbl_Accounts[Type])</f>
        <v>Revenue</v>
      </c>
      <c r="S305" s="25" t="str">
        <f>_xlfn.XLOOKUP(tbl_Ledger[[#This Row],[Account_Code]], tbl_Accounts[Account_Code], tbl_Accounts[PL_Bucket])</f>
        <v>Revenue</v>
      </c>
      <c r="T305" s="25">
        <f t="shared" si="4"/>
        <v>30000</v>
      </c>
    </row>
    <row r="306" spans="1:20">
      <c r="A306" t="s">
        <v>912</v>
      </c>
      <c r="B306" s="7">
        <v>45859</v>
      </c>
      <c r="C306" t="s">
        <v>93</v>
      </c>
      <c r="D306" t="s">
        <v>94</v>
      </c>
      <c r="E306" t="s">
        <v>103</v>
      </c>
      <c r="F306" s="12" t="s">
        <v>24</v>
      </c>
      <c r="G306" t="s">
        <v>25</v>
      </c>
      <c r="H306" t="s">
        <v>913</v>
      </c>
      <c r="I306" t="s">
        <v>71</v>
      </c>
      <c r="J306" s="6">
        <v>30700</v>
      </c>
      <c r="K306" t="s">
        <v>3</v>
      </c>
      <c r="L306" t="s">
        <v>914</v>
      </c>
      <c r="M306" t="s">
        <v>3</v>
      </c>
      <c r="N306" s="25" t="str">
        <f>TEXT(tbl_Ledger[[#This Row],[Date]],"yyyy-mm")</f>
        <v>2025-07</v>
      </c>
      <c r="O306" s="25" t="str">
        <f>TEXT(tbl_Ledger[[#This Row],[Date]],"yyyy-mm") &amp; TRIM(tbl_Ledger[[#This Row],[Currency]])</f>
        <v>2025-07NGN</v>
      </c>
      <c r="P306" s="25">
        <f>_xlfn.XLOOKUP(tbl_Ledger[[#This Row],[Key]], tbl_FX[Key], tbl_FX[Rate_to_NGN])</f>
        <v>1</v>
      </c>
      <c r="Q306" s="37">
        <f>IF(tbl_Ledger[[#This Row],[Account_Type]]="Expense",-ABS(tbl_Ledger[[#This Row],[Amount]]*tbl_Ledger[[#This Row],[Rate_to_NGN]]),tbl_Ledger[[#This Row],[Amount]]*tbl_Ledger[[#This Row],[Rate_to_NGN]])</f>
        <v>30700</v>
      </c>
      <c r="R306" s="25" t="str">
        <f>_xlfn.XLOOKUP(tbl_Ledger[[#This Row],[Account_Code]], tbl_Accounts[Account_Code], tbl_Accounts[Type])</f>
        <v>Revenue</v>
      </c>
      <c r="S306" s="25" t="str">
        <f>_xlfn.XLOOKUP(tbl_Ledger[[#This Row],[Account_Code]], tbl_Accounts[Account_Code], tbl_Accounts[PL_Bucket])</f>
        <v>Revenue</v>
      </c>
      <c r="T306" s="25">
        <f t="shared" si="4"/>
        <v>30700</v>
      </c>
    </row>
    <row r="307" spans="1:20">
      <c r="A307" t="s">
        <v>915</v>
      </c>
      <c r="B307" s="7">
        <v>45859</v>
      </c>
      <c r="C307" t="s">
        <v>93</v>
      </c>
      <c r="D307" t="s">
        <v>94</v>
      </c>
      <c r="E307" t="s">
        <v>160</v>
      </c>
      <c r="F307" s="12" t="s">
        <v>24</v>
      </c>
      <c r="G307" t="s">
        <v>25</v>
      </c>
      <c r="H307" t="s">
        <v>916</v>
      </c>
      <c r="I307" t="s">
        <v>71</v>
      </c>
      <c r="J307" s="6">
        <v>27900</v>
      </c>
      <c r="K307" t="s">
        <v>3</v>
      </c>
      <c r="L307" t="s">
        <v>914</v>
      </c>
      <c r="M307" t="s">
        <v>3</v>
      </c>
      <c r="N307" s="25" t="str">
        <f>TEXT(tbl_Ledger[[#This Row],[Date]],"yyyy-mm")</f>
        <v>2025-07</v>
      </c>
      <c r="O307" s="25" t="str">
        <f>TEXT(tbl_Ledger[[#This Row],[Date]],"yyyy-mm") &amp; TRIM(tbl_Ledger[[#This Row],[Currency]])</f>
        <v>2025-07NGN</v>
      </c>
      <c r="P307" s="25">
        <f>_xlfn.XLOOKUP(tbl_Ledger[[#This Row],[Key]], tbl_FX[Key], tbl_FX[Rate_to_NGN])</f>
        <v>1</v>
      </c>
      <c r="Q307" s="37">
        <f>IF(tbl_Ledger[[#This Row],[Account_Type]]="Expense",-ABS(tbl_Ledger[[#This Row],[Amount]]*tbl_Ledger[[#This Row],[Rate_to_NGN]]),tbl_Ledger[[#This Row],[Amount]]*tbl_Ledger[[#This Row],[Rate_to_NGN]])</f>
        <v>27900</v>
      </c>
      <c r="R307" s="25" t="str">
        <f>_xlfn.XLOOKUP(tbl_Ledger[[#This Row],[Account_Code]], tbl_Accounts[Account_Code], tbl_Accounts[Type])</f>
        <v>Revenue</v>
      </c>
      <c r="S307" s="25" t="str">
        <f>_xlfn.XLOOKUP(tbl_Ledger[[#This Row],[Account_Code]], tbl_Accounts[Account_Code], tbl_Accounts[PL_Bucket])</f>
        <v>Revenue</v>
      </c>
      <c r="T307" s="25">
        <f t="shared" si="4"/>
        <v>27900</v>
      </c>
    </row>
    <row r="308" spans="1:20">
      <c r="A308" t="s">
        <v>917</v>
      </c>
      <c r="B308" s="7">
        <v>45859</v>
      </c>
      <c r="C308" t="s">
        <v>93</v>
      </c>
      <c r="D308" t="s">
        <v>94</v>
      </c>
      <c r="E308" t="s">
        <v>107</v>
      </c>
      <c r="F308" s="12" t="s">
        <v>24</v>
      </c>
      <c r="G308" t="s">
        <v>25</v>
      </c>
      <c r="H308" t="s">
        <v>918</v>
      </c>
      <c r="I308" t="s">
        <v>71</v>
      </c>
      <c r="J308" s="6">
        <v>29500</v>
      </c>
      <c r="K308" t="s">
        <v>3</v>
      </c>
      <c r="L308" t="s">
        <v>919</v>
      </c>
      <c r="M308" t="s">
        <v>3</v>
      </c>
      <c r="N308" s="25" t="str">
        <f>TEXT(tbl_Ledger[[#This Row],[Date]],"yyyy-mm")</f>
        <v>2025-07</v>
      </c>
      <c r="O308" s="25" t="str">
        <f>TEXT(tbl_Ledger[[#This Row],[Date]],"yyyy-mm") &amp; TRIM(tbl_Ledger[[#This Row],[Currency]])</f>
        <v>2025-07NGN</v>
      </c>
      <c r="P308" s="25">
        <f>_xlfn.XLOOKUP(tbl_Ledger[[#This Row],[Key]], tbl_FX[Key], tbl_FX[Rate_to_NGN])</f>
        <v>1</v>
      </c>
      <c r="Q308" s="37">
        <f>IF(tbl_Ledger[[#This Row],[Account_Type]]="Expense",-ABS(tbl_Ledger[[#This Row],[Amount]]*tbl_Ledger[[#This Row],[Rate_to_NGN]]),tbl_Ledger[[#This Row],[Amount]]*tbl_Ledger[[#This Row],[Rate_to_NGN]])</f>
        <v>29500</v>
      </c>
      <c r="R308" s="25" t="str">
        <f>_xlfn.XLOOKUP(tbl_Ledger[[#This Row],[Account_Code]], tbl_Accounts[Account_Code], tbl_Accounts[Type])</f>
        <v>Revenue</v>
      </c>
      <c r="S308" s="25" t="str">
        <f>_xlfn.XLOOKUP(tbl_Ledger[[#This Row],[Account_Code]], tbl_Accounts[Account_Code], tbl_Accounts[PL_Bucket])</f>
        <v>Revenue</v>
      </c>
      <c r="T308" s="25">
        <f t="shared" si="4"/>
        <v>29500</v>
      </c>
    </row>
    <row r="309" spans="1:20">
      <c r="A309" t="s">
        <v>920</v>
      </c>
      <c r="B309" s="7">
        <v>45859</v>
      </c>
      <c r="C309" t="s">
        <v>93</v>
      </c>
      <c r="D309" t="s">
        <v>111</v>
      </c>
      <c r="E309" t="s">
        <v>112</v>
      </c>
      <c r="F309" s="12" t="s">
        <v>24</v>
      </c>
      <c r="G309" t="s">
        <v>25</v>
      </c>
      <c r="H309" t="s">
        <v>921</v>
      </c>
      <c r="I309" t="s">
        <v>71</v>
      </c>
      <c r="J309" s="6">
        <v>46800</v>
      </c>
      <c r="K309" t="s">
        <v>3</v>
      </c>
      <c r="L309" t="s">
        <v>922</v>
      </c>
      <c r="M309" t="s">
        <v>3</v>
      </c>
      <c r="N309" s="25" t="str">
        <f>TEXT(tbl_Ledger[[#This Row],[Date]],"yyyy-mm")</f>
        <v>2025-07</v>
      </c>
      <c r="O309" s="25" t="str">
        <f>TEXT(tbl_Ledger[[#This Row],[Date]],"yyyy-mm") &amp; TRIM(tbl_Ledger[[#This Row],[Currency]])</f>
        <v>2025-07NGN</v>
      </c>
      <c r="P309" s="25">
        <f>_xlfn.XLOOKUP(tbl_Ledger[[#This Row],[Key]], tbl_FX[Key], tbl_FX[Rate_to_NGN])</f>
        <v>1</v>
      </c>
      <c r="Q309" s="37">
        <f>IF(tbl_Ledger[[#This Row],[Account_Type]]="Expense",-ABS(tbl_Ledger[[#This Row],[Amount]]*tbl_Ledger[[#This Row],[Rate_to_NGN]]),tbl_Ledger[[#This Row],[Amount]]*tbl_Ledger[[#This Row],[Rate_to_NGN]])</f>
        <v>46800</v>
      </c>
      <c r="R309" s="25" t="str">
        <f>_xlfn.XLOOKUP(tbl_Ledger[[#This Row],[Account_Code]], tbl_Accounts[Account_Code], tbl_Accounts[Type])</f>
        <v>Revenue</v>
      </c>
      <c r="S309" s="25" t="str">
        <f>_xlfn.XLOOKUP(tbl_Ledger[[#This Row],[Account_Code]], tbl_Accounts[Account_Code], tbl_Accounts[PL_Bucket])</f>
        <v>Revenue</v>
      </c>
      <c r="T309" s="25">
        <f t="shared" si="4"/>
        <v>46800</v>
      </c>
    </row>
    <row r="310" spans="1:20">
      <c r="A310" t="s">
        <v>923</v>
      </c>
      <c r="B310" s="7">
        <v>45859</v>
      </c>
      <c r="C310" t="s">
        <v>93</v>
      </c>
      <c r="D310" t="s">
        <v>111</v>
      </c>
      <c r="E310" t="s">
        <v>116</v>
      </c>
      <c r="F310" s="12" t="s">
        <v>24</v>
      </c>
      <c r="G310" t="s">
        <v>25</v>
      </c>
      <c r="H310" t="s">
        <v>924</v>
      </c>
      <c r="I310" t="s">
        <v>71</v>
      </c>
      <c r="J310" s="6">
        <v>46700</v>
      </c>
      <c r="K310" t="s">
        <v>3</v>
      </c>
      <c r="L310" t="s">
        <v>922</v>
      </c>
      <c r="M310" t="s">
        <v>3</v>
      </c>
      <c r="N310" s="25" t="str">
        <f>TEXT(tbl_Ledger[[#This Row],[Date]],"yyyy-mm")</f>
        <v>2025-07</v>
      </c>
      <c r="O310" s="25" t="str">
        <f>TEXT(tbl_Ledger[[#This Row],[Date]],"yyyy-mm") &amp; TRIM(tbl_Ledger[[#This Row],[Currency]])</f>
        <v>2025-07NGN</v>
      </c>
      <c r="P310" s="25">
        <f>_xlfn.XLOOKUP(tbl_Ledger[[#This Row],[Key]], tbl_FX[Key], tbl_FX[Rate_to_NGN])</f>
        <v>1</v>
      </c>
      <c r="Q310" s="37">
        <f>IF(tbl_Ledger[[#This Row],[Account_Type]]="Expense",-ABS(tbl_Ledger[[#This Row],[Amount]]*tbl_Ledger[[#This Row],[Rate_to_NGN]]),tbl_Ledger[[#This Row],[Amount]]*tbl_Ledger[[#This Row],[Rate_to_NGN]])</f>
        <v>46700</v>
      </c>
      <c r="R310" s="25" t="str">
        <f>_xlfn.XLOOKUP(tbl_Ledger[[#This Row],[Account_Code]], tbl_Accounts[Account_Code], tbl_Accounts[Type])</f>
        <v>Revenue</v>
      </c>
      <c r="S310" s="25" t="str">
        <f>_xlfn.XLOOKUP(tbl_Ledger[[#This Row],[Account_Code]], tbl_Accounts[Account_Code], tbl_Accounts[PL_Bucket])</f>
        <v>Revenue</v>
      </c>
      <c r="T310" s="25">
        <f t="shared" si="4"/>
        <v>46700</v>
      </c>
    </row>
    <row r="311" spans="1:20">
      <c r="A311" t="s">
        <v>925</v>
      </c>
      <c r="B311" s="7">
        <v>45859</v>
      </c>
      <c r="C311" t="s">
        <v>93</v>
      </c>
      <c r="D311" t="s">
        <v>111</v>
      </c>
      <c r="E311" t="s">
        <v>119</v>
      </c>
      <c r="F311" s="12" t="s">
        <v>24</v>
      </c>
      <c r="G311" t="s">
        <v>25</v>
      </c>
      <c r="H311" t="s">
        <v>926</v>
      </c>
      <c r="I311" t="s">
        <v>71</v>
      </c>
      <c r="J311" s="6">
        <v>47200</v>
      </c>
      <c r="K311" t="s">
        <v>3</v>
      </c>
      <c r="L311" t="s">
        <v>922</v>
      </c>
      <c r="M311" t="s">
        <v>3</v>
      </c>
      <c r="N311" s="25" t="str">
        <f>TEXT(tbl_Ledger[[#This Row],[Date]],"yyyy-mm")</f>
        <v>2025-07</v>
      </c>
      <c r="O311" s="25" t="str">
        <f>TEXT(tbl_Ledger[[#This Row],[Date]],"yyyy-mm") &amp; TRIM(tbl_Ledger[[#This Row],[Currency]])</f>
        <v>2025-07NGN</v>
      </c>
      <c r="P311" s="25">
        <f>_xlfn.XLOOKUP(tbl_Ledger[[#This Row],[Key]], tbl_FX[Key], tbl_FX[Rate_to_NGN])</f>
        <v>1</v>
      </c>
      <c r="Q311" s="37">
        <f>IF(tbl_Ledger[[#This Row],[Account_Type]]="Expense",-ABS(tbl_Ledger[[#This Row],[Amount]]*tbl_Ledger[[#This Row],[Rate_to_NGN]]),tbl_Ledger[[#This Row],[Amount]]*tbl_Ledger[[#This Row],[Rate_to_NGN]])</f>
        <v>47200</v>
      </c>
      <c r="R311" s="25" t="str">
        <f>_xlfn.XLOOKUP(tbl_Ledger[[#This Row],[Account_Code]], tbl_Accounts[Account_Code], tbl_Accounts[Type])</f>
        <v>Revenue</v>
      </c>
      <c r="S311" s="25" t="str">
        <f>_xlfn.XLOOKUP(tbl_Ledger[[#This Row],[Account_Code]], tbl_Accounts[Account_Code], tbl_Accounts[PL_Bucket])</f>
        <v>Revenue</v>
      </c>
      <c r="T311" s="25">
        <f t="shared" si="4"/>
        <v>47200</v>
      </c>
    </row>
    <row r="312" spans="1:20">
      <c r="A312" t="s">
        <v>927</v>
      </c>
      <c r="B312" s="7">
        <v>45859</v>
      </c>
      <c r="C312" t="s">
        <v>93</v>
      </c>
      <c r="D312" t="s">
        <v>111</v>
      </c>
      <c r="E312" t="s">
        <v>170</v>
      </c>
      <c r="F312" s="12" t="s">
        <v>24</v>
      </c>
      <c r="G312" t="s">
        <v>25</v>
      </c>
      <c r="H312" t="s">
        <v>928</v>
      </c>
      <c r="I312" t="s">
        <v>71</v>
      </c>
      <c r="J312" s="6">
        <v>49200</v>
      </c>
      <c r="K312" t="s">
        <v>3</v>
      </c>
      <c r="L312" t="s">
        <v>922</v>
      </c>
      <c r="M312" t="s">
        <v>3</v>
      </c>
      <c r="N312" s="25" t="str">
        <f>TEXT(tbl_Ledger[[#This Row],[Date]],"yyyy-mm")</f>
        <v>2025-07</v>
      </c>
      <c r="O312" s="25" t="str">
        <f>TEXT(tbl_Ledger[[#This Row],[Date]],"yyyy-mm") &amp; TRIM(tbl_Ledger[[#This Row],[Currency]])</f>
        <v>2025-07NGN</v>
      </c>
      <c r="P312" s="25">
        <f>_xlfn.XLOOKUP(tbl_Ledger[[#This Row],[Key]], tbl_FX[Key], tbl_FX[Rate_to_NGN])</f>
        <v>1</v>
      </c>
      <c r="Q312" s="37">
        <f>IF(tbl_Ledger[[#This Row],[Account_Type]]="Expense",-ABS(tbl_Ledger[[#This Row],[Amount]]*tbl_Ledger[[#This Row],[Rate_to_NGN]]),tbl_Ledger[[#This Row],[Amount]]*tbl_Ledger[[#This Row],[Rate_to_NGN]])</f>
        <v>49200</v>
      </c>
      <c r="R312" s="25" t="str">
        <f>_xlfn.XLOOKUP(tbl_Ledger[[#This Row],[Account_Code]], tbl_Accounts[Account_Code], tbl_Accounts[Type])</f>
        <v>Revenue</v>
      </c>
      <c r="S312" s="25" t="str">
        <f>_xlfn.XLOOKUP(tbl_Ledger[[#This Row],[Account_Code]], tbl_Accounts[Account_Code], tbl_Accounts[PL_Bucket])</f>
        <v>Revenue</v>
      </c>
      <c r="T312" s="25">
        <f t="shared" si="4"/>
        <v>49200</v>
      </c>
    </row>
    <row r="313" spans="1:20">
      <c r="A313" t="s">
        <v>929</v>
      </c>
      <c r="B313" s="7">
        <v>45859</v>
      </c>
      <c r="C313" t="s">
        <v>93</v>
      </c>
      <c r="D313" t="s">
        <v>111</v>
      </c>
      <c r="E313" t="s">
        <v>122</v>
      </c>
      <c r="F313" s="12" t="s">
        <v>24</v>
      </c>
      <c r="G313" t="s">
        <v>25</v>
      </c>
      <c r="H313" t="s">
        <v>930</v>
      </c>
      <c r="I313" t="s">
        <v>71</v>
      </c>
      <c r="J313" s="6">
        <v>46800</v>
      </c>
      <c r="K313" t="s">
        <v>3</v>
      </c>
      <c r="L313" t="s">
        <v>931</v>
      </c>
      <c r="M313" t="s">
        <v>3</v>
      </c>
      <c r="N313" s="25" t="str">
        <f>TEXT(tbl_Ledger[[#This Row],[Date]],"yyyy-mm")</f>
        <v>2025-07</v>
      </c>
      <c r="O313" s="25" t="str">
        <f>TEXT(tbl_Ledger[[#This Row],[Date]],"yyyy-mm") &amp; TRIM(tbl_Ledger[[#This Row],[Currency]])</f>
        <v>2025-07NGN</v>
      </c>
      <c r="P313" s="25">
        <f>_xlfn.XLOOKUP(tbl_Ledger[[#This Row],[Key]], tbl_FX[Key], tbl_FX[Rate_to_NGN])</f>
        <v>1</v>
      </c>
      <c r="Q313" s="37">
        <f>IF(tbl_Ledger[[#This Row],[Account_Type]]="Expense",-ABS(tbl_Ledger[[#This Row],[Amount]]*tbl_Ledger[[#This Row],[Rate_to_NGN]]),tbl_Ledger[[#This Row],[Amount]]*tbl_Ledger[[#This Row],[Rate_to_NGN]])</f>
        <v>46800</v>
      </c>
      <c r="R313" s="25" t="str">
        <f>_xlfn.XLOOKUP(tbl_Ledger[[#This Row],[Account_Code]], tbl_Accounts[Account_Code], tbl_Accounts[Type])</f>
        <v>Revenue</v>
      </c>
      <c r="S313" s="25" t="str">
        <f>_xlfn.XLOOKUP(tbl_Ledger[[#This Row],[Account_Code]], tbl_Accounts[Account_Code], tbl_Accounts[PL_Bucket])</f>
        <v>Revenue</v>
      </c>
      <c r="T313" s="25">
        <f t="shared" si="4"/>
        <v>46800</v>
      </c>
    </row>
    <row r="314" spans="1:20">
      <c r="A314" t="s">
        <v>932</v>
      </c>
      <c r="B314" s="7">
        <v>45859</v>
      </c>
      <c r="C314" t="s">
        <v>126</v>
      </c>
      <c r="D314" t="s">
        <v>88</v>
      </c>
      <c r="E314" t="s">
        <v>127</v>
      </c>
      <c r="F314" s="12" t="s">
        <v>29</v>
      </c>
      <c r="G314" t="s">
        <v>30</v>
      </c>
      <c r="H314" t="s">
        <v>933</v>
      </c>
      <c r="I314" t="s">
        <v>72</v>
      </c>
      <c r="J314" s="6">
        <v>26.6</v>
      </c>
      <c r="K314" t="s">
        <v>129</v>
      </c>
      <c r="L314" t="s">
        <v>934</v>
      </c>
      <c r="M314" t="s">
        <v>3</v>
      </c>
      <c r="N314" s="25" t="str">
        <f>TEXT(tbl_Ledger[[#This Row],[Date]],"yyyy-mm")</f>
        <v>2025-07</v>
      </c>
      <c r="O314" s="25" t="str">
        <f>TEXT(tbl_Ledger[[#This Row],[Date]],"yyyy-mm") &amp; TRIM(tbl_Ledger[[#This Row],[Currency]])</f>
        <v>2025-07USD</v>
      </c>
      <c r="P314" s="25">
        <f>_xlfn.XLOOKUP(tbl_Ledger[[#This Row],[Key]], tbl_FX[Key], tbl_FX[Rate_to_NGN])</f>
        <v>1530</v>
      </c>
      <c r="Q314" s="37">
        <f>IF(tbl_Ledger[[#This Row],[Account_Type]]="Expense",-ABS(tbl_Ledger[[#This Row],[Amount]]*tbl_Ledger[[#This Row],[Rate_to_NGN]]),tbl_Ledger[[#This Row],[Amount]]*tbl_Ledger[[#This Row],[Rate_to_NGN]])</f>
        <v>40698</v>
      </c>
      <c r="R314" s="25" t="str">
        <f>_xlfn.XLOOKUP(tbl_Ledger[[#This Row],[Account_Code]], tbl_Accounts[Account_Code], tbl_Accounts[Type])</f>
        <v>Revenue</v>
      </c>
      <c r="S314" s="25" t="str">
        <f>_xlfn.XLOOKUP(tbl_Ledger[[#This Row],[Account_Code]], tbl_Accounts[Account_Code], tbl_Accounts[PL_Bucket])</f>
        <v>Revenue</v>
      </c>
      <c r="T314" s="25">
        <f t="shared" si="4"/>
        <v>40698</v>
      </c>
    </row>
    <row r="315" spans="1:20">
      <c r="A315" t="s">
        <v>935</v>
      </c>
      <c r="B315" s="7">
        <v>45859</v>
      </c>
      <c r="C315" t="s">
        <v>126</v>
      </c>
      <c r="D315" t="s">
        <v>88</v>
      </c>
      <c r="E315" t="s">
        <v>132</v>
      </c>
      <c r="F315" s="12" t="s">
        <v>29</v>
      </c>
      <c r="G315" t="s">
        <v>30</v>
      </c>
      <c r="H315" t="s">
        <v>936</v>
      </c>
      <c r="I315" t="s">
        <v>72</v>
      </c>
      <c r="J315" s="6">
        <v>31.83</v>
      </c>
      <c r="K315" t="s">
        <v>134</v>
      </c>
      <c r="L315" t="s">
        <v>934</v>
      </c>
      <c r="M315" t="s">
        <v>3</v>
      </c>
      <c r="N315" s="25" t="str">
        <f>TEXT(tbl_Ledger[[#This Row],[Date]],"yyyy-mm")</f>
        <v>2025-07</v>
      </c>
      <c r="O315" s="25" t="str">
        <f>TEXT(tbl_Ledger[[#This Row],[Date]],"yyyy-mm") &amp; TRIM(tbl_Ledger[[#This Row],[Currency]])</f>
        <v>2025-07USD</v>
      </c>
      <c r="P315" s="25">
        <f>_xlfn.XLOOKUP(tbl_Ledger[[#This Row],[Key]], tbl_FX[Key], tbl_FX[Rate_to_NGN])</f>
        <v>1530</v>
      </c>
      <c r="Q315" s="37">
        <f>IF(tbl_Ledger[[#This Row],[Account_Type]]="Expense",-ABS(tbl_Ledger[[#This Row],[Amount]]*tbl_Ledger[[#This Row],[Rate_to_NGN]]),tbl_Ledger[[#This Row],[Amount]]*tbl_Ledger[[#This Row],[Rate_to_NGN]])</f>
        <v>48699.899999999994</v>
      </c>
      <c r="R315" s="25" t="str">
        <f>_xlfn.XLOOKUP(tbl_Ledger[[#This Row],[Account_Code]], tbl_Accounts[Account_Code], tbl_Accounts[Type])</f>
        <v>Revenue</v>
      </c>
      <c r="S315" s="25" t="str">
        <f>_xlfn.XLOOKUP(tbl_Ledger[[#This Row],[Account_Code]], tbl_Accounts[Account_Code], tbl_Accounts[PL_Bucket])</f>
        <v>Revenue</v>
      </c>
      <c r="T315" s="25">
        <f t="shared" si="4"/>
        <v>48699.899999999994</v>
      </c>
    </row>
    <row r="316" spans="1:20">
      <c r="A316" t="s">
        <v>937</v>
      </c>
      <c r="B316" s="7">
        <v>45859</v>
      </c>
      <c r="C316" t="s">
        <v>126</v>
      </c>
      <c r="D316" t="s">
        <v>88</v>
      </c>
      <c r="E316" t="s">
        <v>136</v>
      </c>
      <c r="F316" s="12" t="s">
        <v>29</v>
      </c>
      <c r="G316" t="s">
        <v>30</v>
      </c>
      <c r="H316" t="s">
        <v>938</v>
      </c>
      <c r="I316" t="s">
        <v>72</v>
      </c>
      <c r="J316" s="6">
        <v>26.34</v>
      </c>
      <c r="K316" t="s">
        <v>138</v>
      </c>
      <c r="L316" t="s">
        <v>934</v>
      </c>
      <c r="M316" t="s">
        <v>3</v>
      </c>
      <c r="N316" s="25" t="str">
        <f>TEXT(tbl_Ledger[[#This Row],[Date]],"yyyy-mm")</f>
        <v>2025-07</v>
      </c>
      <c r="O316" s="25" t="str">
        <f>TEXT(tbl_Ledger[[#This Row],[Date]],"yyyy-mm") &amp; TRIM(tbl_Ledger[[#This Row],[Currency]])</f>
        <v>2025-07USD</v>
      </c>
      <c r="P316" s="25">
        <f>_xlfn.XLOOKUP(tbl_Ledger[[#This Row],[Key]], tbl_FX[Key], tbl_FX[Rate_to_NGN])</f>
        <v>1530</v>
      </c>
      <c r="Q316" s="37">
        <f>IF(tbl_Ledger[[#This Row],[Account_Type]]="Expense",-ABS(tbl_Ledger[[#This Row],[Amount]]*tbl_Ledger[[#This Row],[Rate_to_NGN]]),tbl_Ledger[[#This Row],[Amount]]*tbl_Ledger[[#This Row],[Rate_to_NGN]])</f>
        <v>40300.199999999997</v>
      </c>
      <c r="R316" s="25" t="str">
        <f>_xlfn.XLOOKUP(tbl_Ledger[[#This Row],[Account_Code]], tbl_Accounts[Account_Code], tbl_Accounts[Type])</f>
        <v>Revenue</v>
      </c>
      <c r="S316" s="25" t="str">
        <f>_xlfn.XLOOKUP(tbl_Ledger[[#This Row],[Account_Code]], tbl_Accounts[Account_Code], tbl_Accounts[PL_Bucket])</f>
        <v>Revenue</v>
      </c>
      <c r="T316" s="25">
        <f t="shared" si="4"/>
        <v>40300.199999999997</v>
      </c>
    </row>
    <row r="317" spans="1:20">
      <c r="A317" t="s">
        <v>939</v>
      </c>
      <c r="B317" s="7">
        <v>45859</v>
      </c>
      <c r="C317" t="s">
        <v>126</v>
      </c>
      <c r="D317" t="s">
        <v>88</v>
      </c>
      <c r="E317" t="s">
        <v>140</v>
      </c>
      <c r="F317" s="12" t="s">
        <v>29</v>
      </c>
      <c r="G317" t="s">
        <v>30</v>
      </c>
      <c r="H317" t="s">
        <v>940</v>
      </c>
      <c r="I317" t="s">
        <v>71</v>
      </c>
      <c r="J317" s="6">
        <v>47700</v>
      </c>
      <c r="K317" t="s">
        <v>3</v>
      </c>
      <c r="L317" t="s">
        <v>941</v>
      </c>
      <c r="M317" t="s">
        <v>3</v>
      </c>
      <c r="N317" s="25" t="str">
        <f>TEXT(tbl_Ledger[[#This Row],[Date]],"yyyy-mm")</f>
        <v>2025-07</v>
      </c>
      <c r="O317" s="25" t="str">
        <f>TEXT(tbl_Ledger[[#This Row],[Date]],"yyyy-mm") &amp; TRIM(tbl_Ledger[[#This Row],[Currency]])</f>
        <v>2025-07NGN</v>
      </c>
      <c r="P317" s="25">
        <f>_xlfn.XLOOKUP(tbl_Ledger[[#This Row],[Key]], tbl_FX[Key], tbl_FX[Rate_to_NGN])</f>
        <v>1</v>
      </c>
      <c r="Q317" s="37">
        <f>IF(tbl_Ledger[[#This Row],[Account_Type]]="Expense",-ABS(tbl_Ledger[[#This Row],[Amount]]*tbl_Ledger[[#This Row],[Rate_to_NGN]]),tbl_Ledger[[#This Row],[Amount]]*tbl_Ledger[[#This Row],[Rate_to_NGN]])</f>
        <v>47700</v>
      </c>
      <c r="R317" s="25" t="str">
        <f>_xlfn.XLOOKUP(tbl_Ledger[[#This Row],[Account_Code]], tbl_Accounts[Account_Code], tbl_Accounts[Type])</f>
        <v>Revenue</v>
      </c>
      <c r="S317" s="25" t="str">
        <f>_xlfn.XLOOKUP(tbl_Ledger[[#This Row],[Account_Code]], tbl_Accounts[Account_Code], tbl_Accounts[PL_Bucket])</f>
        <v>Revenue</v>
      </c>
      <c r="T317" s="25">
        <f t="shared" si="4"/>
        <v>47700</v>
      </c>
    </row>
    <row r="318" spans="1:20">
      <c r="A318" t="s">
        <v>942</v>
      </c>
      <c r="B318" s="7">
        <v>45859</v>
      </c>
      <c r="C318" t="s">
        <v>93</v>
      </c>
      <c r="D318" t="s">
        <v>111</v>
      </c>
      <c r="E318" t="s">
        <v>112</v>
      </c>
      <c r="F318" s="12" t="s">
        <v>31</v>
      </c>
      <c r="G318" t="s">
        <v>32</v>
      </c>
      <c r="H318" t="s">
        <v>943</v>
      </c>
      <c r="I318" t="s">
        <v>71</v>
      </c>
      <c r="J318" s="6">
        <v>-152867</v>
      </c>
      <c r="K318" t="s">
        <v>3</v>
      </c>
      <c r="L318" t="s">
        <v>944</v>
      </c>
      <c r="M318" t="s">
        <v>3</v>
      </c>
      <c r="N318" s="25" t="str">
        <f>TEXT(tbl_Ledger[[#This Row],[Date]],"yyyy-mm")</f>
        <v>2025-07</v>
      </c>
      <c r="O318" s="25" t="str">
        <f>TEXT(tbl_Ledger[[#This Row],[Date]],"yyyy-mm") &amp; TRIM(tbl_Ledger[[#This Row],[Currency]])</f>
        <v>2025-07NGN</v>
      </c>
      <c r="P318" s="25">
        <f>_xlfn.XLOOKUP(tbl_Ledger[[#This Row],[Key]], tbl_FX[Key], tbl_FX[Rate_to_NGN])</f>
        <v>1</v>
      </c>
      <c r="Q318" s="37">
        <f>IF(tbl_Ledger[[#This Row],[Account_Type]]="Expense",-ABS(tbl_Ledger[[#This Row],[Amount]]*tbl_Ledger[[#This Row],[Rate_to_NGN]]),tbl_Ledger[[#This Row],[Amount]]*tbl_Ledger[[#This Row],[Rate_to_NGN]])</f>
        <v>-152867</v>
      </c>
      <c r="R318" s="25" t="str">
        <f>_xlfn.XLOOKUP(tbl_Ledger[[#This Row],[Account_Code]], tbl_Accounts[Account_Code], tbl_Accounts[Type])</f>
        <v>Revenue</v>
      </c>
      <c r="S318" s="25" t="str">
        <f>_xlfn.XLOOKUP(tbl_Ledger[[#This Row],[Account_Code]], tbl_Accounts[Account_Code], tbl_Accounts[PL_Bucket])</f>
        <v>Revenue</v>
      </c>
      <c r="T318" s="25">
        <f t="shared" si="4"/>
        <v>152867</v>
      </c>
    </row>
    <row r="319" spans="1:20">
      <c r="A319" t="s">
        <v>945</v>
      </c>
      <c r="B319" s="7">
        <v>45859</v>
      </c>
      <c r="C319" t="s">
        <v>87</v>
      </c>
      <c r="D319" t="s">
        <v>94</v>
      </c>
      <c r="E319" t="s">
        <v>3</v>
      </c>
      <c r="F319" s="12" t="s">
        <v>33</v>
      </c>
      <c r="G319" t="s">
        <v>34</v>
      </c>
      <c r="H319" t="s">
        <v>315</v>
      </c>
      <c r="I319" t="s">
        <v>71</v>
      </c>
      <c r="J319" s="6">
        <v>-528000</v>
      </c>
      <c r="K319" t="s">
        <v>316</v>
      </c>
      <c r="L319" t="s">
        <v>946</v>
      </c>
      <c r="M319" t="s">
        <v>3</v>
      </c>
      <c r="N319" s="25" t="str">
        <f>TEXT(tbl_Ledger[[#This Row],[Date]],"yyyy-mm")</f>
        <v>2025-07</v>
      </c>
      <c r="O319" s="25" t="str">
        <f>TEXT(tbl_Ledger[[#This Row],[Date]],"yyyy-mm") &amp; TRIM(tbl_Ledger[[#This Row],[Currency]])</f>
        <v>2025-07NGN</v>
      </c>
      <c r="P319" s="25">
        <f>_xlfn.XLOOKUP(tbl_Ledger[[#This Row],[Key]], tbl_FX[Key], tbl_FX[Rate_to_NGN])</f>
        <v>1</v>
      </c>
      <c r="Q319" s="37">
        <f>IF(tbl_Ledger[[#This Row],[Account_Type]]="Expense",-ABS(tbl_Ledger[[#This Row],[Amount]]*tbl_Ledger[[#This Row],[Rate_to_NGN]]),tbl_Ledger[[#This Row],[Amount]]*tbl_Ledger[[#This Row],[Rate_to_NGN]])</f>
        <v>-528000</v>
      </c>
      <c r="R319" s="25" t="str">
        <f>_xlfn.XLOOKUP(tbl_Ledger[[#This Row],[Account_Code]], tbl_Accounts[Account_Code], tbl_Accounts[Type])</f>
        <v>COGS</v>
      </c>
      <c r="S319" s="25" t="str">
        <f>_xlfn.XLOOKUP(tbl_Ledger[[#This Row],[Account_Code]], tbl_Accounts[Account_Code], tbl_Accounts[PL_Bucket])</f>
        <v>COGS</v>
      </c>
      <c r="T319" s="25">
        <f t="shared" si="4"/>
        <v>-528000</v>
      </c>
    </row>
    <row r="320" spans="1:20">
      <c r="A320" t="s">
        <v>947</v>
      </c>
      <c r="B320" s="7">
        <v>45859</v>
      </c>
      <c r="C320" t="s">
        <v>87</v>
      </c>
      <c r="D320" t="s">
        <v>94</v>
      </c>
      <c r="E320" t="s">
        <v>3</v>
      </c>
      <c r="F320" s="12" t="s">
        <v>38</v>
      </c>
      <c r="G320" t="s">
        <v>39</v>
      </c>
      <c r="H320" t="s">
        <v>275</v>
      </c>
      <c r="I320" t="s">
        <v>71</v>
      </c>
      <c r="J320" s="6">
        <v>-108000</v>
      </c>
      <c r="K320" t="s">
        <v>276</v>
      </c>
      <c r="L320" t="s">
        <v>948</v>
      </c>
      <c r="M320" t="s">
        <v>3</v>
      </c>
      <c r="N320" s="25" t="str">
        <f>TEXT(tbl_Ledger[[#This Row],[Date]],"yyyy-mm")</f>
        <v>2025-07</v>
      </c>
      <c r="O320" s="25" t="str">
        <f>TEXT(tbl_Ledger[[#This Row],[Date]],"yyyy-mm") &amp; TRIM(tbl_Ledger[[#This Row],[Currency]])</f>
        <v>2025-07NGN</v>
      </c>
      <c r="P320" s="25">
        <f>_xlfn.XLOOKUP(tbl_Ledger[[#This Row],[Key]], tbl_FX[Key], tbl_FX[Rate_to_NGN])</f>
        <v>1</v>
      </c>
      <c r="Q320" s="37">
        <f>IF(tbl_Ledger[[#This Row],[Account_Type]]="Expense",-ABS(tbl_Ledger[[#This Row],[Amount]]*tbl_Ledger[[#This Row],[Rate_to_NGN]]),tbl_Ledger[[#This Row],[Amount]]*tbl_Ledger[[#This Row],[Rate_to_NGN]])</f>
        <v>-108000</v>
      </c>
      <c r="R320" s="25" t="str">
        <f>_xlfn.XLOOKUP(tbl_Ledger[[#This Row],[Account_Code]], tbl_Accounts[Account_Code], tbl_Accounts[Type])</f>
        <v>COGS</v>
      </c>
      <c r="S320" s="25" t="str">
        <f>_xlfn.XLOOKUP(tbl_Ledger[[#This Row],[Account_Code]], tbl_Accounts[Account_Code], tbl_Accounts[PL_Bucket])</f>
        <v>COGS</v>
      </c>
      <c r="T320" s="25">
        <f t="shared" si="4"/>
        <v>-108000</v>
      </c>
    </row>
    <row r="321" spans="1:20">
      <c r="A321" t="s">
        <v>949</v>
      </c>
      <c r="B321" s="7">
        <v>45859</v>
      </c>
      <c r="C321" t="s">
        <v>87</v>
      </c>
      <c r="D321" t="s">
        <v>88</v>
      </c>
      <c r="E321" t="s">
        <v>3</v>
      </c>
      <c r="F321" s="12" t="s">
        <v>40</v>
      </c>
      <c r="G321" t="s">
        <v>41</v>
      </c>
      <c r="H321" t="s">
        <v>148</v>
      </c>
      <c r="I321" t="s">
        <v>71</v>
      </c>
      <c r="J321" s="6">
        <v>-554000</v>
      </c>
      <c r="K321" t="s">
        <v>90</v>
      </c>
      <c r="L321" t="s">
        <v>950</v>
      </c>
      <c r="M321" t="s">
        <v>3</v>
      </c>
      <c r="N321" s="25" t="str">
        <f>TEXT(tbl_Ledger[[#This Row],[Date]],"yyyy-mm")</f>
        <v>2025-07</v>
      </c>
      <c r="O321" s="25" t="str">
        <f>TEXT(tbl_Ledger[[#This Row],[Date]],"yyyy-mm") &amp; TRIM(tbl_Ledger[[#This Row],[Currency]])</f>
        <v>2025-07NGN</v>
      </c>
      <c r="P321" s="25">
        <f>_xlfn.XLOOKUP(tbl_Ledger[[#This Row],[Key]], tbl_FX[Key], tbl_FX[Rate_to_NGN])</f>
        <v>1</v>
      </c>
      <c r="Q321" s="37">
        <f>IF(tbl_Ledger[[#This Row],[Account_Type]]="Expense",-ABS(tbl_Ledger[[#This Row],[Amount]]*tbl_Ledger[[#This Row],[Rate_to_NGN]]),tbl_Ledger[[#This Row],[Amount]]*tbl_Ledger[[#This Row],[Rate_to_NGN]])</f>
        <v>-554000</v>
      </c>
      <c r="R321" s="25" t="str">
        <f>_xlfn.XLOOKUP(tbl_Ledger[[#This Row],[Account_Code]], tbl_Accounts[Account_Code], tbl_Accounts[Type])</f>
        <v>COGS</v>
      </c>
      <c r="S321" s="25" t="str">
        <f>_xlfn.XLOOKUP(tbl_Ledger[[#This Row],[Account_Code]], tbl_Accounts[Account_Code], tbl_Accounts[PL_Bucket])</f>
        <v>COGS</v>
      </c>
      <c r="T321" s="25">
        <f t="shared" si="4"/>
        <v>-554000</v>
      </c>
    </row>
    <row r="322" spans="1:20">
      <c r="A322" t="s">
        <v>951</v>
      </c>
      <c r="B322" s="7">
        <v>45860</v>
      </c>
      <c r="C322" t="s">
        <v>93</v>
      </c>
      <c r="D322" t="s">
        <v>94</v>
      </c>
      <c r="E322" t="s">
        <v>95</v>
      </c>
      <c r="F322" s="12" t="s">
        <v>24</v>
      </c>
      <c r="G322" t="s">
        <v>25</v>
      </c>
      <c r="H322" t="s">
        <v>952</v>
      </c>
      <c r="I322" t="s">
        <v>71</v>
      </c>
      <c r="J322" s="6">
        <v>27100</v>
      </c>
      <c r="K322" t="s">
        <v>3</v>
      </c>
      <c r="L322" t="s">
        <v>953</v>
      </c>
      <c r="M322" t="s">
        <v>3</v>
      </c>
      <c r="N322" s="25" t="str">
        <f>TEXT(tbl_Ledger[[#This Row],[Date]],"yyyy-mm")</f>
        <v>2025-07</v>
      </c>
      <c r="O322" s="25" t="str">
        <f>TEXT(tbl_Ledger[[#This Row],[Date]],"yyyy-mm") &amp; TRIM(tbl_Ledger[[#This Row],[Currency]])</f>
        <v>2025-07NGN</v>
      </c>
      <c r="P322" s="25">
        <f>_xlfn.XLOOKUP(tbl_Ledger[[#This Row],[Key]], tbl_FX[Key], tbl_FX[Rate_to_NGN])</f>
        <v>1</v>
      </c>
      <c r="Q322" s="37">
        <f>IF(tbl_Ledger[[#This Row],[Account_Type]]="Expense",-ABS(tbl_Ledger[[#This Row],[Amount]]*tbl_Ledger[[#This Row],[Rate_to_NGN]]),tbl_Ledger[[#This Row],[Amount]]*tbl_Ledger[[#This Row],[Rate_to_NGN]])</f>
        <v>27100</v>
      </c>
      <c r="R322" s="25" t="str">
        <f>_xlfn.XLOOKUP(tbl_Ledger[[#This Row],[Account_Code]], tbl_Accounts[Account_Code], tbl_Accounts[Type])</f>
        <v>Revenue</v>
      </c>
      <c r="S322" s="25" t="str">
        <f>_xlfn.XLOOKUP(tbl_Ledger[[#This Row],[Account_Code]], tbl_Accounts[Account_Code], tbl_Accounts[PL_Bucket])</f>
        <v>Revenue</v>
      </c>
      <c r="T322" s="25">
        <f t="shared" ref="T322:T385" si="5">IF(AND(S322="Revenue",F322&lt;&gt;4900),ABS(Q322),-ABS(Q322))</f>
        <v>27100</v>
      </c>
    </row>
    <row r="323" spans="1:20">
      <c r="A323" t="s">
        <v>954</v>
      </c>
      <c r="B323" s="7">
        <v>45860</v>
      </c>
      <c r="C323" t="s">
        <v>93</v>
      </c>
      <c r="D323" t="s">
        <v>94</v>
      </c>
      <c r="E323" t="s">
        <v>99</v>
      </c>
      <c r="F323" s="12" t="s">
        <v>24</v>
      </c>
      <c r="G323" t="s">
        <v>25</v>
      </c>
      <c r="H323" t="s">
        <v>955</v>
      </c>
      <c r="I323" t="s">
        <v>71</v>
      </c>
      <c r="J323" s="6">
        <v>28600</v>
      </c>
      <c r="K323" t="s">
        <v>3</v>
      </c>
      <c r="L323" t="s">
        <v>956</v>
      </c>
      <c r="M323" t="s">
        <v>3</v>
      </c>
      <c r="N323" s="25" t="str">
        <f>TEXT(tbl_Ledger[[#This Row],[Date]],"yyyy-mm")</f>
        <v>2025-07</v>
      </c>
      <c r="O323" s="25" t="str">
        <f>TEXT(tbl_Ledger[[#This Row],[Date]],"yyyy-mm") &amp; TRIM(tbl_Ledger[[#This Row],[Currency]])</f>
        <v>2025-07NGN</v>
      </c>
      <c r="P323" s="25">
        <f>_xlfn.XLOOKUP(tbl_Ledger[[#This Row],[Key]], tbl_FX[Key], tbl_FX[Rate_to_NGN])</f>
        <v>1</v>
      </c>
      <c r="Q323" s="37">
        <f>IF(tbl_Ledger[[#This Row],[Account_Type]]="Expense",-ABS(tbl_Ledger[[#This Row],[Amount]]*tbl_Ledger[[#This Row],[Rate_to_NGN]]),tbl_Ledger[[#This Row],[Amount]]*tbl_Ledger[[#This Row],[Rate_to_NGN]])</f>
        <v>28600</v>
      </c>
      <c r="R323" s="25" t="str">
        <f>_xlfn.XLOOKUP(tbl_Ledger[[#This Row],[Account_Code]], tbl_Accounts[Account_Code], tbl_Accounts[Type])</f>
        <v>Revenue</v>
      </c>
      <c r="S323" s="25" t="str">
        <f>_xlfn.XLOOKUP(tbl_Ledger[[#This Row],[Account_Code]], tbl_Accounts[Account_Code], tbl_Accounts[PL_Bucket])</f>
        <v>Revenue</v>
      </c>
      <c r="T323" s="25">
        <f t="shared" si="5"/>
        <v>28600</v>
      </c>
    </row>
    <row r="324" spans="1:20">
      <c r="A324" t="s">
        <v>957</v>
      </c>
      <c r="B324" s="7">
        <v>45860</v>
      </c>
      <c r="C324" t="s">
        <v>93</v>
      </c>
      <c r="D324" t="s">
        <v>94</v>
      </c>
      <c r="E324" t="s">
        <v>103</v>
      </c>
      <c r="F324" s="12" t="s">
        <v>24</v>
      </c>
      <c r="G324" t="s">
        <v>25</v>
      </c>
      <c r="H324" t="s">
        <v>958</v>
      </c>
      <c r="I324" t="s">
        <v>71</v>
      </c>
      <c r="J324" s="6">
        <v>31500</v>
      </c>
      <c r="K324" t="s">
        <v>3</v>
      </c>
      <c r="L324" t="s">
        <v>959</v>
      </c>
      <c r="M324" t="s">
        <v>3</v>
      </c>
      <c r="N324" s="25" t="str">
        <f>TEXT(tbl_Ledger[[#This Row],[Date]],"yyyy-mm")</f>
        <v>2025-07</v>
      </c>
      <c r="O324" s="25" t="str">
        <f>TEXT(tbl_Ledger[[#This Row],[Date]],"yyyy-mm") &amp; TRIM(tbl_Ledger[[#This Row],[Currency]])</f>
        <v>2025-07NGN</v>
      </c>
      <c r="P324" s="25">
        <f>_xlfn.XLOOKUP(tbl_Ledger[[#This Row],[Key]], tbl_FX[Key], tbl_FX[Rate_to_NGN])</f>
        <v>1</v>
      </c>
      <c r="Q324" s="37">
        <f>IF(tbl_Ledger[[#This Row],[Account_Type]]="Expense",-ABS(tbl_Ledger[[#This Row],[Amount]]*tbl_Ledger[[#This Row],[Rate_to_NGN]]),tbl_Ledger[[#This Row],[Amount]]*tbl_Ledger[[#This Row],[Rate_to_NGN]])</f>
        <v>31500</v>
      </c>
      <c r="R324" s="25" t="str">
        <f>_xlfn.XLOOKUP(tbl_Ledger[[#This Row],[Account_Code]], tbl_Accounts[Account_Code], tbl_Accounts[Type])</f>
        <v>Revenue</v>
      </c>
      <c r="S324" s="25" t="str">
        <f>_xlfn.XLOOKUP(tbl_Ledger[[#This Row],[Account_Code]], tbl_Accounts[Account_Code], tbl_Accounts[PL_Bucket])</f>
        <v>Revenue</v>
      </c>
      <c r="T324" s="25">
        <f t="shared" si="5"/>
        <v>31500</v>
      </c>
    </row>
    <row r="325" spans="1:20">
      <c r="A325" t="s">
        <v>960</v>
      </c>
      <c r="B325" s="7">
        <v>45860</v>
      </c>
      <c r="C325" t="s">
        <v>93</v>
      </c>
      <c r="D325" t="s">
        <v>94</v>
      </c>
      <c r="E325" t="s">
        <v>160</v>
      </c>
      <c r="F325" s="12" t="s">
        <v>24</v>
      </c>
      <c r="G325" t="s">
        <v>25</v>
      </c>
      <c r="H325" t="s">
        <v>961</v>
      </c>
      <c r="I325" t="s">
        <v>71</v>
      </c>
      <c r="J325" s="6">
        <v>31200</v>
      </c>
      <c r="K325" t="s">
        <v>3</v>
      </c>
      <c r="L325" t="s">
        <v>959</v>
      </c>
      <c r="M325" t="s">
        <v>3</v>
      </c>
      <c r="N325" s="25" t="str">
        <f>TEXT(tbl_Ledger[[#This Row],[Date]],"yyyy-mm")</f>
        <v>2025-07</v>
      </c>
      <c r="O325" s="25" t="str">
        <f>TEXT(tbl_Ledger[[#This Row],[Date]],"yyyy-mm") &amp; TRIM(tbl_Ledger[[#This Row],[Currency]])</f>
        <v>2025-07NGN</v>
      </c>
      <c r="P325" s="25">
        <f>_xlfn.XLOOKUP(tbl_Ledger[[#This Row],[Key]], tbl_FX[Key], tbl_FX[Rate_to_NGN])</f>
        <v>1</v>
      </c>
      <c r="Q325" s="37">
        <f>IF(tbl_Ledger[[#This Row],[Account_Type]]="Expense",-ABS(tbl_Ledger[[#This Row],[Amount]]*tbl_Ledger[[#This Row],[Rate_to_NGN]]),tbl_Ledger[[#This Row],[Amount]]*tbl_Ledger[[#This Row],[Rate_to_NGN]])</f>
        <v>31200</v>
      </c>
      <c r="R325" s="25" t="str">
        <f>_xlfn.XLOOKUP(tbl_Ledger[[#This Row],[Account_Code]], tbl_Accounts[Account_Code], tbl_Accounts[Type])</f>
        <v>Revenue</v>
      </c>
      <c r="S325" s="25" t="str">
        <f>_xlfn.XLOOKUP(tbl_Ledger[[#This Row],[Account_Code]], tbl_Accounts[Account_Code], tbl_Accounts[PL_Bucket])</f>
        <v>Revenue</v>
      </c>
      <c r="T325" s="25">
        <f t="shared" si="5"/>
        <v>31200</v>
      </c>
    </row>
    <row r="326" spans="1:20">
      <c r="A326" t="s">
        <v>962</v>
      </c>
      <c r="B326" s="7">
        <v>45860</v>
      </c>
      <c r="C326" t="s">
        <v>93</v>
      </c>
      <c r="D326" t="s">
        <v>94</v>
      </c>
      <c r="E326" t="s">
        <v>107</v>
      </c>
      <c r="F326" s="12" t="s">
        <v>24</v>
      </c>
      <c r="G326" t="s">
        <v>25</v>
      </c>
      <c r="H326" t="s">
        <v>963</v>
      </c>
      <c r="I326" t="s">
        <v>71</v>
      </c>
      <c r="J326" s="6">
        <v>26500</v>
      </c>
      <c r="K326" t="s">
        <v>3</v>
      </c>
      <c r="L326" t="s">
        <v>964</v>
      </c>
      <c r="M326" t="s">
        <v>3</v>
      </c>
      <c r="N326" s="25" t="str">
        <f>TEXT(tbl_Ledger[[#This Row],[Date]],"yyyy-mm")</f>
        <v>2025-07</v>
      </c>
      <c r="O326" s="25" t="str">
        <f>TEXT(tbl_Ledger[[#This Row],[Date]],"yyyy-mm") &amp; TRIM(tbl_Ledger[[#This Row],[Currency]])</f>
        <v>2025-07NGN</v>
      </c>
      <c r="P326" s="25">
        <f>_xlfn.XLOOKUP(tbl_Ledger[[#This Row],[Key]], tbl_FX[Key], tbl_FX[Rate_to_NGN])</f>
        <v>1</v>
      </c>
      <c r="Q326" s="37">
        <f>IF(tbl_Ledger[[#This Row],[Account_Type]]="Expense",-ABS(tbl_Ledger[[#This Row],[Amount]]*tbl_Ledger[[#This Row],[Rate_to_NGN]]),tbl_Ledger[[#This Row],[Amount]]*tbl_Ledger[[#This Row],[Rate_to_NGN]])</f>
        <v>26500</v>
      </c>
      <c r="R326" s="25" t="str">
        <f>_xlfn.XLOOKUP(tbl_Ledger[[#This Row],[Account_Code]], tbl_Accounts[Account_Code], tbl_Accounts[Type])</f>
        <v>Revenue</v>
      </c>
      <c r="S326" s="25" t="str">
        <f>_xlfn.XLOOKUP(tbl_Ledger[[#This Row],[Account_Code]], tbl_Accounts[Account_Code], tbl_Accounts[PL_Bucket])</f>
        <v>Revenue</v>
      </c>
      <c r="T326" s="25">
        <f t="shared" si="5"/>
        <v>26500</v>
      </c>
    </row>
    <row r="327" spans="1:20">
      <c r="A327" t="s">
        <v>965</v>
      </c>
      <c r="B327" s="7">
        <v>45860</v>
      </c>
      <c r="C327" t="s">
        <v>93</v>
      </c>
      <c r="D327" t="s">
        <v>111</v>
      </c>
      <c r="E327" t="s">
        <v>116</v>
      </c>
      <c r="F327" s="12" t="s">
        <v>24</v>
      </c>
      <c r="G327" t="s">
        <v>25</v>
      </c>
      <c r="H327" t="s">
        <v>966</v>
      </c>
      <c r="I327" t="s">
        <v>71</v>
      </c>
      <c r="J327" s="6">
        <v>48400</v>
      </c>
      <c r="K327" t="s">
        <v>3</v>
      </c>
      <c r="L327" t="s">
        <v>967</v>
      </c>
      <c r="M327" t="s">
        <v>3</v>
      </c>
      <c r="N327" s="25" t="str">
        <f>TEXT(tbl_Ledger[[#This Row],[Date]],"yyyy-mm")</f>
        <v>2025-07</v>
      </c>
      <c r="O327" s="25" t="str">
        <f>TEXT(tbl_Ledger[[#This Row],[Date]],"yyyy-mm") &amp; TRIM(tbl_Ledger[[#This Row],[Currency]])</f>
        <v>2025-07NGN</v>
      </c>
      <c r="P327" s="25">
        <f>_xlfn.XLOOKUP(tbl_Ledger[[#This Row],[Key]], tbl_FX[Key], tbl_FX[Rate_to_NGN])</f>
        <v>1</v>
      </c>
      <c r="Q327" s="37">
        <f>IF(tbl_Ledger[[#This Row],[Account_Type]]="Expense",-ABS(tbl_Ledger[[#This Row],[Amount]]*tbl_Ledger[[#This Row],[Rate_to_NGN]]),tbl_Ledger[[#This Row],[Amount]]*tbl_Ledger[[#This Row],[Rate_to_NGN]])</f>
        <v>48400</v>
      </c>
      <c r="R327" s="25" t="str">
        <f>_xlfn.XLOOKUP(tbl_Ledger[[#This Row],[Account_Code]], tbl_Accounts[Account_Code], tbl_Accounts[Type])</f>
        <v>Revenue</v>
      </c>
      <c r="S327" s="25" t="str">
        <f>_xlfn.XLOOKUP(tbl_Ledger[[#This Row],[Account_Code]], tbl_Accounts[Account_Code], tbl_Accounts[PL_Bucket])</f>
        <v>Revenue</v>
      </c>
      <c r="T327" s="25">
        <f t="shared" si="5"/>
        <v>48400</v>
      </c>
    </row>
    <row r="328" spans="1:20">
      <c r="A328" t="s">
        <v>968</v>
      </c>
      <c r="B328" s="7">
        <v>45860</v>
      </c>
      <c r="C328" t="s">
        <v>93</v>
      </c>
      <c r="D328" t="s">
        <v>111</v>
      </c>
      <c r="E328" t="s">
        <v>119</v>
      </c>
      <c r="F328" s="12" t="s">
        <v>24</v>
      </c>
      <c r="G328" t="s">
        <v>25</v>
      </c>
      <c r="H328" t="s">
        <v>969</v>
      </c>
      <c r="I328" t="s">
        <v>71</v>
      </c>
      <c r="J328" s="6">
        <v>49600</v>
      </c>
      <c r="K328" t="s">
        <v>3</v>
      </c>
      <c r="L328" t="s">
        <v>967</v>
      </c>
      <c r="M328" t="s">
        <v>3</v>
      </c>
      <c r="N328" s="25" t="str">
        <f>TEXT(tbl_Ledger[[#This Row],[Date]],"yyyy-mm")</f>
        <v>2025-07</v>
      </c>
      <c r="O328" s="25" t="str">
        <f>TEXT(tbl_Ledger[[#This Row],[Date]],"yyyy-mm") &amp; TRIM(tbl_Ledger[[#This Row],[Currency]])</f>
        <v>2025-07NGN</v>
      </c>
      <c r="P328" s="25">
        <f>_xlfn.XLOOKUP(tbl_Ledger[[#This Row],[Key]], tbl_FX[Key], tbl_FX[Rate_to_NGN])</f>
        <v>1</v>
      </c>
      <c r="Q328" s="37">
        <f>IF(tbl_Ledger[[#This Row],[Account_Type]]="Expense",-ABS(tbl_Ledger[[#This Row],[Amount]]*tbl_Ledger[[#This Row],[Rate_to_NGN]]),tbl_Ledger[[#This Row],[Amount]]*tbl_Ledger[[#This Row],[Rate_to_NGN]])</f>
        <v>49600</v>
      </c>
      <c r="R328" s="25" t="str">
        <f>_xlfn.XLOOKUP(tbl_Ledger[[#This Row],[Account_Code]], tbl_Accounts[Account_Code], tbl_Accounts[Type])</f>
        <v>Revenue</v>
      </c>
      <c r="S328" s="25" t="str">
        <f>_xlfn.XLOOKUP(tbl_Ledger[[#This Row],[Account_Code]], tbl_Accounts[Account_Code], tbl_Accounts[PL_Bucket])</f>
        <v>Revenue</v>
      </c>
      <c r="T328" s="25">
        <f t="shared" si="5"/>
        <v>49600</v>
      </c>
    </row>
    <row r="329" spans="1:20">
      <c r="A329" t="s">
        <v>970</v>
      </c>
      <c r="B329" s="7">
        <v>45860</v>
      </c>
      <c r="C329" t="s">
        <v>93</v>
      </c>
      <c r="D329" t="s">
        <v>111</v>
      </c>
      <c r="E329" t="s">
        <v>170</v>
      </c>
      <c r="F329" s="12" t="s">
        <v>24</v>
      </c>
      <c r="G329" t="s">
        <v>25</v>
      </c>
      <c r="H329" t="s">
        <v>971</v>
      </c>
      <c r="I329" t="s">
        <v>71</v>
      </c>
      <c r="J329" s="6">
        <v>47800</v>
      </c>
      <c r="K329" t="s">
        <v>3</v>
      </c>
      <c r="L329" t="s">
        <v>967</v>
      </c>
      <c r="M329" t="s">
        <v>3</v>
      </c>
      <c r="N329" s="25" t="str">
        <f>TEXT(tbl_Ledger[[#This Row],[Date]],"yyyy-mm")</f>
        <v>2025-07</v>
      </c>
      <c r="O329" s="25" t="str">
        <f>TEXT(tbl_Ledger[[#This Row],[Date]],"yyyy-mm") &amp; TRIM(tbl_Ledger[[#This Row],[Currency]])</f>
        <v>2025-07NGN</v>
      </c>
      <c r="P329" s="25">
        <f>_xlfn.XLOOKUP(tbl_Ledger[[#This Row],[Key]], tbl_FX[Key], tbl_FX[Rate_to_NGN])</f>
        <v>1</v>
      </c>
      <c r="Q329" s="37">
        <f>IF(tbl_Ledger[[#This Row],[Account_Type]]="Expense",-ABS(tbl_Ledger[[#This Row],[Amount]]*tbl_Ledger[[#This Row],[Rate_to_NGN]]),tbl_Ledger[[#This Row],[Amount]]*tbl_Ledger[[#This Row],[Rate_to_NGN]])</f>
        <v>47800</v>
      </c>
      <c r="R329" s="25" t="str">
        <f>_xlfn.XLOOKUP(tbl_Ledger[[#This Row],[Account_Code]], tbl_Accounts[Account_Code], tbl_Accounts[Type])</f>
        <v>Revenue</v>
      </c>
      <c r="S329" s="25" t="str">
        <f>_xlfn.XLOOKUP(tbl_Ledger[[#This Row],[Account_Code]], tbl_Accounts[Account_Code], tbl_Accounts[PL_Bucket])</f>
        <v>Revenue</v>
      </c>
      <c r="T329" s="25">
        <f t="shared" si="5"/>
        <v>47800</v>
      </c>
    </row>
    <row r="330" spans="1:20">
      <c r="A330" t="s">
        <v>972</v>
      </c>
      <c r="B330" s="7">
        <v>45860</v>
      </c>
      <c r="C330" t="s">
        <v>93</v>
      </c>
      <c r="D330" t="s">
        <v>111</v>
      </c>
      <c r="E330" t="s">
        <v>122</v>
      </c>
      <c r="F330" s="12" t="s">
        <v>24</v>
      </c>
      <c r="G330" t="s">
        <v>25</v>
      </c>
      <c r="H330" t="s">
        <v>973</v>
      </c>
      <c r="I330" t="s">
        <v>71</v>
      </c>
      <c r="J330" s="6">
        <v>45600</v>
      </c>
      <c r="K330" t="s">
        <v>3</v>
      </c>
      <c r="L330" t="s">
        <v>974</v>
      </c>
      <c r="M330" t="s">
        <v>3</v>
      </c>
      <c r="N330" s="25" t="str">
        <f>TEXT(tbl_Ledger[[#This Row],[Date]],"yyyy-mm")</f>
        <v>2025-07</v>
      </c>
      <c r="O330" s="25" t="str">
        <f>TEXT(tbl_Ledger[[#This Row],[Date]],"yyyy-mm") &amp; TRIM(tbl_Ledger[[#This Row],[Currency]])</f>
        <v>2025-07NGN</v>
      </c>
      <c r="P330" s="25">
        <f>_xlfn.XLOOKUP(tbl_Ledger[[#This Row],[Key]], tbl_FX[Key], tbl_FX[Rate_to_NGN])</f>
        <v>1</v>
      </c>
      <c r="Q330" s="37">
        <f>IF(tbl_Ledger[[#This Row],[Account_Type]]="Expense",-ABS(tbl_Ledger[[#This Row],[Amount]]*tbl_Ledger[[#This Row],[Rate_to_NGN]]),tbl_Ledger[[#This Row],[Amount]]*tbl_Ledger[[#This Row],[Rate_to_NGN]])</f>
        <v>45600</v>
      </c>
      <c r="R330" s="25" t="str">
        <f>_xlfn.XLOOKUP(tbl_Ledger[[#This Row],[Account_Code]], tbl_Accounts[Account_Code], tbl_Accounts[Type])</f>
        <v>Revenue</v>
      </c>
      <c r="S330" s="25" t="str">
        <f>_xlfn.XLOOKUP(tbl_Ledger[[#This Row],[Account_Code]], tbl_Accounts[Account_Code], tbl_Accounts[PL_Bucket])</f>
        <v>Revenue</v>
      </c>
      <c r="T330" s="25">
        <f t="shared" si="5"/>
        <v>45600</v>
      </c>
    </row>
    <row r="331" spans="1:20">
      <c r="A331" t="s">
        <v>975</v>
      </c>
      <c r="B331" s="7">
        <v>45860</v>
      </c>
      <c r="C331" t="s">
        <v>126</v>
      </c>
      <c r="D331" t="s">
        <v>88</v>
      </c>
      <c r="E331" t="s">
        <v>127</v>
      </c>
      <c r="F331" s="12" t="s">
        <v>29</v>
      </c>
      <c r="G331" t="s">
        <v>30</v>
      </c>
      <c r="H331" t="s">
        <v>976</v>
      </c>
      <c r="I331" t="s">
        <v>72</v>
      </c>
      <c r="J331" s="6">
        <v>26.08</v>
      </c>
      <c r="K331" t="s">
        <v>129</v>
      </c>
      <c r="L331" t="s">
        <v>977</v>
      </c>
      <c r="M331" t="s">
        <v>3</v>
      </c>
      <c r="N331" s="25" t="str">
        <f>TEXT(tbl_Ledger[[#This Row],[Date]],"yyyy-mm")</f>
        <v>2025-07</v>
      </c>
      <c r="O331" s="25" t="str">
        <f>TEXT(tbl_Ledger[[#This Row],[Date]],"yyyy-mm") &amp; TRIM(tbl_Ledger[[#This Row],[Currency]])</f>
        <v>2025-07USD</v>
      </c>
      <c r="P331" s="25">
        <f>_xlfn.XLOOKUP(tbl_Ledger[[#This Row],[Key]], tbl_FX[Key], tbl_FX[Rate_to_NGN])</f>
        <v>1530</v>
      </c>
      <c r="Q331" s="37">
        <f>IF(tbl_Ledger[[#This Row],[Account_Type]]="Expense",-ABS(tbl_Ledger[[#This Row],[Amount]]*tbl_Ledger[[#This Row],[Rate_to_NGN]]),tbl_Ledger[[#This Row],[Amount]]*tbl_Ledger[[#This Row],[Rate_to_NGN]])</f>
        <v>39902.399999999994</v>
      </c>
      <c r="R331" s="25" t="str">
        <f>_xlfn.XLOOKUP(tbl_Ledger[[#This Row],[Account_Code]], tbl_Accounts[Account_Code], tbl_Accounts[Type])</f>
        <v>Revenue</v>
      </c>
      <c r="S331" s="25" t="str">
        <f>_xlfn.XLOOKUP(tbl_Ledger[[#This Row],[Account_Code]], tbl_Accounts[Account_Code], tbl_Accounts[PL_Bucket])</f>
        <v>Revenue</v>
      </c>
      <c r="T331" s="25">
        <f t="shared" si="5"/>
        <v>39902.399999999994</v>
      </c>
    </row>
    <row r="332" spans="1:20">
      <c r="A332" t="s">
        <v>978</v>
      </c>
      <c r="B332" s="7">
        <v>45860</v>
      </c>
      <c r="C332" t="s">
        <v>126</v>
      </c>
      <c r="D332" t="s">
        <v>88</v>
      </c>
      <c r="E332" t="s">
        <v>132</v>
      </c>
      <c r="F332" s="12" t="s">
        <v>29</v>
      </c>
      <c r="G332" t="s">
        <v>30</v>
      </c>
      <c r="H332" t="s">
        <v>979</v>
      </c>
      <c r="I332" t="s">
        <v>71</v>
      </c>
      <c r="J332" s="6">
        <v>42900</v>
      </c>
      <c r="K332" t="s">
        <v>134</v>
      </c>
      <c r="L332" t="s">
        <v>977</v>
      </c>
      <c r="M332" t="s">
        <v>3</v>
      </c>
      <c r="N332" s="25" t="str">
        <f>TEXT(tbl_Ledger[[#This Row],[Date]],"yyyy-mm")</f>
        <v>2025-07</v>
      </c>
      <c r="O332" s="25" t="str">
        <f>TEXT(tbl_Ledger[[#This Row],[Date]],"yyyy-mm") &amp; TRIM(tbl_Ledger[[#This Row],[Currency]])</f>
        <v>2025-07NGN</v>
      </c>
      <c r="P332" s="25">
        <f>_xlfn.XLOOKUP(tbl_Ledger[[#This Row],[Key]], tbl_FX[Key], tbl_FX[Rate_to_NGN])</f>
        <v>1</v>
      </c>
      <c r="Q332" s="37">
        <f>IF(tbl_Ledger[[#This Row],[Account_Type]]="Expense",-ABS(tbl_Ledger[[#This Row],[Amount]]*tbl_Ledger[[#This Row],[Rate_to_NGN]]),tbl_Ledger[[#This Row],[Amount]]*tbl_Ledger[[#This Row],[Rate_to_NGN]])</f>
        <v>42900</v>
      </c>
      <c r="R332" s="25" t="str">
        <f>_xlfn.XLOOKUP(tbl_Ledger[[#This Row],[Account_Code]], tbl_Accounts[Account_Code], tbl_Accounts[Type])</f>
        <v>Revenue</v>
      </c>
      <c r="S332" s="25" t="str">
        <f>_xlfn.XLOOKUP(tbl_Ledger[[#This Row],[Account_Code]], tbl_Accounts[Account_Code], tbl_Accounts[PL_Bucket])</f>
        <v>Revenue</v>
      </c>
      <c r="T332" s="25">
        <f t="shared" si="5"/>
        <v>42900</v>
      </c>
    </row>
    <row r="333" spans="1:20">
      <c r="A333" t="s">
        <v>980</v>
      </c>
      <c r="B333" s="7">
        <v>45860</v>
      </c>
      <c r="C333" t="s">
        <v>126</v>
      </c>
      <c r="D333" t="s">
        <v>88</v>
      </c>
      <c r="E333" t="s">
        <v>136</v>
      </c>
      <c r="F333" s="12" t="s">
        <v>29</v>
      </c>
      <c r="G333" t="s">
        <v>30</v>
      </c>
      <c r="H333" t="s">
        <v>981</v>
      </c>
      <c r="I333" t="s">
        <v>72</v>
      </c>
      <c r="J333" s="6">
        <v>28.63</v>
      </c>
      <c r="K333" t="s">
        <v>138</v>
      </c>
      <c r="L333" t="s">
        <v>977</v>
      </c>
      <c r="M333" t="s">
        <v>3</v>
      </c>
      <c r="N333" s="25" t="str">
        <f>TEXT(tbl_Ledger[[#This Row],[Date]],"yyyy-mm")</f>
        <v>2025-07</v>
      </c>
      <c r="O333" s="25" t="str">
        <f>TEXT(tbl_Ledger[[#This Row],[Date]],"yyyy-mm") &amp; TRIM(tbl_Ledger[[#This Row],[Currency]])</f>
        <v>2025-07USD</v>
      </c>
      <c r="P333" s="25">
        <f>_xlfn.XLOOKUP(tbl_Ledger[[#This Row],[Key]], tbl_FX[Key], tbl_FX[Rate_to_NGN])</f>
        <v>1530</v>
      </c>
      <c r="Q333" s="37">
        <f>IF(tbl_Ledger[[#This Row],[Account_Type]]="Expense",-ABS(tbl_Ledger[[#This Row],[Amount]]*tbl_Ledger[[#This Row],[Rate_to_NGN]]),tbl_Ledger[[#This Row],[Amount]]*tbl_Ledger[[#This Row],[Rate_to_NGN]])</f>
        <v>43803.9</v>
      </c>
      <c r="R333" s="25" t="str">
        <f>_xlfn.XLOOKUP(tbl_Ledger[[#This Row],[Account_Code]], tbl_Accounts[Account_Code], tbl_Accounts[Type])</f>
        <v>Revenue</v>
      </c>
      <c r="S333" s="25" t="str">
        <f>_xlfn.XLOOKUP(tbl_Ledger[[#This Row],[Account_Code]], tbl_Accounts[Account_Code], tbl_Accounts[PL_Bucket])</f>
        <v>Revenue</v>
      </c>
      <c r="T333" s="25">
        <f t="shared" si="5"/>
        <v>43803.9</v>
      </c>
    </row>
    <row r="334" spans="1:20">
      <c r="A334" t="s">
        <v>982</v>
      </c>
      <c r="B334" s="7">
        <v>45860</v>
      </c>
      <c r="C334" t="s">
        <v>126</v>
      </c>
      <c r="D334" t="s">
        <v>88</v>
      </c>
      <c r="E334" t="s">
        <v>140</v>
      </c>
      <c r="F334" s="12" t="s">
        <v>29</v>
      </c>
      <c r="G334" t="s">
        <v>30</v>
      </c>
      <c r="H334" t="s">
        <v>983</v>
      </c>
      <c r="I334" t="s">
        <v>71</v>
      </c>
      <c r="J334" s="6">
        <v>43800</v>
      </c>
      <c r="K334" t="s">
        <v>3</v>
      </c>
      <c r="L334" t="s">
        <v>984</v>
      </c>
      <c r="M334" t="s">
        <v>3</v>
      </c>
      <c r="N334" s="25" t="str">
        <f>TEXT(tbl_Ledger[[#This Row],[Date]],"yyyy-mm")</f>
        <v>2025-07</v>
      </c>
      <c r="O334" s="25" t="str">
        <f>TEXT(tbl_Ledger[[#This Row],[Date]],"yyyy-mm") &amp; TRIM(tbl_Ledger[[#This Row],[Currency]])</f>
        <v>2025-07NGN</v>
      </c>
      <c r="P334" s="25">
        <f>_xlfn.XLOOKUP(tbl_Ledger[[#This Row],[Key]], tbl_FX[Key], tbl_FX[Rate_to_NGN])</f>
        <v>1</v>
      </c>
      <c r="Q334" s="37">
        <f>IF(tbl_Ledger[[#This Row],[Account_Type]]="Expense",-ABS(tbl_Ledger[[#This Row],[Amount]]*tbl_Ledger[[#This Row],[Rate_to_NGN]]),tbl_Ledger[[#This Row],[Amount]]*tbl_Ledger[[#This Row],[Rate_to_NGN]])</f>
        <v>43800</v>
      </c>
      <c r="R334" s="25" t="str">
        <f>_xlfn.XLOOKUP(tbl_Ledger[[#This Row],[Account_Code]], tbl_Accounts[Account_Code], tbl_Accounts[Type])</f>
        <v>Revenue</v>
      </c>
      <c r="S334" s="25" t="str">
        <f>_xlfn.XLOOKUP(tbl_Ledger[[#This Row],[Account_Code]], tbl_Accounts[Account_Code], tbl_Accounts[PL_Bucket])</f>
        <v>Revenue</v>
      </c>
      <c r="T334" s="25">
        <f t="shared" si="5"/>
        <v>43800</v>
      </c>
    </row>
    <row r="335" spans="1:20">
      <c r="A335" t="s">
        <v>985</v>
      </c>
      <c r="B335" s="7">
        <v>45860</v>
      </c>
      <c r="C335" t="s">
        <v>87</v>
      </c>
      <c r="D335" t="s">
        <v>111</v>
      </c>
      <c r="E335" t="s">
        <v>3</v>
      </c>
      <c r="F335" s="12" t="s">
        <v>36</v>
      </c>
      <c r="G335" t="s">
        <v>37</v>
      </c>
      <c r="H335" t="s">
        <v>986</v>
      </c>
      <c r="I335" t="s">
        <v>71</v>
      </c>
      <c r="J335" s="6">
        <v>-1058000</v>
      </c>
      <c r="K335" t="s">
        <v>987</v>
      </c>
      <c r="L335" t="s">
        <v>988</v>
      </c>
      <c r="M335" t="s">
        <v>3</v>
      </c>
      <c r="N335" s="25" t="str">
        <f>TEXT(tbl_Ledger[[#This Row],[Date]],"yyyy-mm")</f>
        <v>2025-07</v>
      </c>
      <c r="O335" s="25" t="str">
        <f>TEXT(tbl_Ledger[[#This Row],[Date]],"yyyy-mm") &amp; TRIM(tbl_Ledger[[#This Row],[Currency]])</f>
        <v>2025-07NGN</v>
      </c>
      <c r="P335" s="25">
        <f>_xlfn.XLOOKUP(tbl_Ledger[[#This Row],[Key]], tbl_FX[Key], tbl_FX[Rate_to_NGN])</f>
        <v>1</v>
      </c>
      <c r="Q335" s="37">
        <f>IF(tbl_Ledger[[#This Row],[Account_Type]]="Expense",-ABS(tbl_Ledger[[#This Row],[Amount]]*tbl_Ledger[[#This Row],[Rate_to_NGN]]),tbl_Ledger[[#This Row],[Amount]]*tbl_Ledger[[#This Row],[Rate_to_NGN]])</f>
        <v>-1058000</v>
      </c>
      <c r="R335" s="25" t="str">
        <f>_xlfn.XLOOKUP(tbl_Ledger[[#This Row],[Account_Code]], tbl_Accounts[Account_Code], tbl_Accounts[Type])</f>
        <v>COGS</v>
      </c>
      <c r="S335" s="25" t="str">
        <f>_xlfn.XLOOKUP(tbl_Ledger[[#This Row],[Account_Code]], tbl_Accounts[Account_Code], tbl_Accounts[PL_Bucket])</f>
        <v>COGS</v>
      </c>
      <c r="T335" s="25">
        <f t="shared" si="5"/>
        <v>-1058000</v>
      </c>
    </row>
    <row r="336" spans="1:20">
      <c r="A336" t="s">
        <v>989</v>
      </c>
      <c r="B336" s="7">
        <v>45860</v>
      </c>
      <c r="C336" t="s">
        <v>87</v>
      </c>
      <c r="D336" t="s">
        <v>88</v>
      </c>
      <c r="E336" t="s">
        <v>3</v>
      </c>
      <c r="F336" s="12" t="s">
        <v>42</v>
      </c>
      <c r="G336" t="s">
        <v>43</v>
      </c>
      <c r="H336" t="s">
        <v>397</v>
      </c>
      <c r="I336" t="s">
        <v>71</v>
      </c>
      <c r="J336" s="6">
        <v>-677000</v>
      </c>
      <c r="K336" t="s">
        <v>398</v>
      </c>
      <c r="L336" t="s">
        <v>990</v>
      </c>
      <c r="M336" t="s">
        <v>3</v>
      </c>
      <c r="N336" s="25" t="str">
        <f>TEXT(tbl_Ledger[[#This Row],[Date]],"yyyy-mm")</f>
        <v>2025-07</v>
      </c>
      <c r="O336" s="25" t="str">
        <f>TEXT(tbl_Ledger[[#This Row],[Date]],"yyyy-mm") &amp; TRIM(tbl_Ledger[[#This Row],[Currency]])</f>
        <v>2025-07NGN</v>
      </c>
      <c r="P336" s="25">
        <f>_xlfn.XLOOKUP(tbl_Ledger[[#This Row],[Key]], tbl_FX[Key], tbl_FX[Rate_to_NGN])</f>
        <v>1</v>
      </c>
      <c r="Q336" s="37">
        <f>IF(tbl_Ledger[[#This Row],[Account_Type]]="Expense",-ABS(tbl_Ledger[[#This Row],[Amount]]*tbl_Ledger[[#This Row],[Rate_to_NGN]]),tbl_Ledger[[#This Row],[Amount]]*tbl_Ledger[[#This Row],[Rate_to_NGN]])</f>
        <v>-677000</v>
      </c>
      <c r="R336" s="25" t="str">
        <f>_xlfn.XLOOKUP(tbl_Ledger[[#This Row],[Account_Code]], tbl_Accounts[Account_Code], tbl_Accounts[Type])</f>
        <v>COGS</v>
      </c>
      <c r="S336" s="25" t="str">
        <f>_xlfn.XLOOKUP(tbl_Ledger[[#This Row],[Account_Code]], tbl_Accounts[Account_Code], tbl_Accounts[PL_Bucket])</f>
        <v>COGS</v>
      </c>
      <c r="T336" s="25">
        <f t="shared" si="5"/>
        <v>-677000</v>
      </c>
    </row>
    <row r="337" spans="1:20">
      <c r="A337" t="s">
        <v>991</v>
      </c>
      <c r="B337" s="7">
        <v>45860</v>
      </c>
      <c r="C337" t="s">
        <v>87</v>
      </c>
      <c r="D337" t="s">
        <v>88</v>
      </c>
      <c r="E337" t="s">
        <v>3</v>
      </c>
      <c r="F337" s="12" t="s">
        <v>42</v>
      </c>
      <c r="G337" t="s">
        <v>43</v>
      </c>
      <c r="H337" t="s">
        <v>397</v>
      </c>
      <c r="I337" t="s">
        <v>71</v>
      </c>
      <c r="J337" s="6">
        <v>-674000</v>
      </c>
      <c r="K337" t="s">
        <v>398</v>
      </c>
      <c r="L337" t="s">
        <v>992</v>
      </c>
      <c r="M337" t="s">
        <v>3</v>
      </c>
      <c r="N337" s="25" t="str">
        <f>TEXT(tbl_Ledger[[#This Row],[Date]],"yyyy-mm")</f>
        <v>2025-07</v>
      </c>
      <c r="O337" s="25" t="str">
        <f>TEXT(tbl_Ledger[[#This Row],[Date]],"yyyy-mm") &amp; TRIM(tbl_Ledger[[#This Row],[Currency]])</f>
        <v>2025-07NGN</v>
      </c>
      <c r="P337" s="25">
        <f>_xlfn.XLOOKUP(tbl_Ledger[[#This Row],[Key]], tbl_FX[Key], tbl_FX[Rate_to_NGN])</f>
        <v>1</v>
      </c>
      <c r="Q337" s="37">
        <f>IF(tbl_Ledger[[#This Row],[Account_Type]]="Expense",-ABS(tbl_Ledger[[#This Row],[Amount]]*tbl_Ledger[[#This Row],[Rate_to_NGN]]),tbl_Ledger[[#This Row],[Amount]]*tbl_Ledger[[#This Row],[Rate_to_NGN]])</f>
        <v>-674000</v>
      </c>
      <c r="R337" s="25" t="str">
        <f>_xlfn.XLOOKUP(tbl_Ledger[[#This Row],[Account_Code]], tbl_Accounts[Account_Code], tbl_Accounts[Type])</f>
        <v>COGS</v>
      </c>
      <c r="S337" s="25" t="str">
        <f>_xlfn.XLOOKUP(tbl_Ledger[[#This Row],[Account_Code]], tbl_Accounts[Account_Code], tbl_Accounts[PL_Bucket])</f>
        <v>COGS</v>
      </c>
      <c r="T337" s="25">
        <f t="shared" si="5"/>
        <v>-674000</v>
      </c>
    </row>
    <row r="338" spans="1:20">
      <c r="A338" t="s">
        <v>993</v>
      </c>
      <c r="B338" s="7">
        <v>45861</v>
      </c>
      <c r="C338" t="s">
        <v>93</v>
      </c>
      <c r="D338" t="s">
        <v>94</v>
      </c>
      <c r="E338" t="s">
        <v>95</v>
      </c>
      <c r="F338" s="12" t="s">
        <v>24</v>
      </c>
      <c r="G338" t="s">
        <v>25</v>
      </c>
      <c r="H338" t="s">
        <v>994</v>
      </c>
      <c r="I338" t="s">
        <v>71</v>
      </c>
      <c r="J338" s="6">
        <v>27300</v>
      </c>
      <c r="K338" t="s">
        <v>3</v>
      </c>
      <c r="L338" t="s">
        <v>995</v>
      </c>
      <c r="M338" t="s">
        <v>3</v>
      </c>
      <c r="N338" s="25" t="str">
        <f>TEXT(tbl_Ledger[[#This Row],[Date]],"yyyy-mm")</f>
        <v>2025-07</v>
      </c>
      <c r="O338" s="25" t="str">
        <f>TEXT(tbl_Ledger[[#This Row],[Date]],"yyyy-mm") &amp; TRIM(tbl_Ledger[[#This Row],[Currency]])</f>
        <v>2025-07NGN</v>
      </c>
      <c r="P338" s="25">
        <f>_xlfn.XLOOKUP(tbl_Ledger[[#This Row],[Key]], tbl_FX[Key], tbl_FX[Rate_to_NGN])</f>
        <v>1</v>
      </c>
      <c r="Q338" s="37">
        <f>IF(tbl_Ledger[[#This Row],[Account_Type]]="Expense",-ABS(tbl_Ledger[[#This Row],[Amount]]*tbl_Ledger[[#This Row],[Rate_to_NGN]]),tbl_Ledger[[#This Row],[Amount]]*tbl_Ledger[[#This Row],[Rate_to_NGN]])</f>
        <v>27300</v>
      </c>
      <c r="R338" s="25" t="str">
        <f>_xlfn.XLOOKUP(tbl_Ledger[[#This Row],[Account_Code]], tbl_Accounts[Account_Code], tbl_Accounts[Type])</f>
        <v>Revenue</v>
      </c>
      <c r="S338" s="25" t="str">
        <f>_xlfn.XLOOKUP(tbl_Ledger[[#This Row],[Account_Code]], tbl_Accounts[Account_Code], tbl_Accounts[PL_Bucket])</f>
        <v>Revenue</v>
      </c>
      <c r="T338" s="25">
        <f t="shared" si="5"/>
        <v>27300</v>
      </c>
    </row>
    <row r="339" spans="1:20">
      <c r="A339" t="s">
        <v>996</v>
      </c>
      <c r="B339" s="7">
        <v>45861</v>
      </c>
      <c r="C339" t="s">
        <v>93</v>
      </c>
      <c r="D339" t="s">
        <v>94</v>
      </c>
      <c r="E339" t="s">
        <v>99</v>
      </c>
      <c r="F339" s="12" t="s">
        <v>24</v>
      </c>
      <c r="G339" t="s">
        <v>25</v>
      </c>
      <c r="H339" t="s">
        <v>997</v>
      </c>
      <c r="I339" t="s">
        <v>71</v>
      </c>
      <c r="J339" s="6">
        <v>26900</v>
      </c>
      <c r="K339" t="s">
        <v>3</v>
      </c>
      <c r="L339" t="s">
        <v>998</v>
      </c>
      <c r="M339" t="s">
        <v>3</v>
      </c>
      <c r="N339" s="25" t="str">
        <f>TEXT(tbl_Ledger[[#This Row],[Date]],"yyyy-mm")</f>
        <v>2025-07</v>
      </c>
      <c r="O339" s="25" t="str">
        <f>TEXT(tbl_Ledger[[#This Row],[Date]],"yyyy-mm") &amp; TRIM(tbl_Ledger[[#This Row],[Currency]])</f>
        <v>2025-07NGN</v>
      </c>
      <c r="P339" s="25">
        <f>_xlfn.XLOOKUP(tbl_Ledger[[#This Row],[Key]], tbl_FX[Key], tbl_FX[Rate_to_NGN])</f>
        <v>1</v>
      </c>
      <c r="Q339" s="37">
        <f>IF(tbl_Ledger[[#This Row],[Account_Type]]="Expense",-ABS(tbl_Ledger[[#This Row],[Amount]]*tbl_Ledger[[#This Row],[Rate_to_NGN]]),tbl_Ledger[[#This Row],[Amount]]*tbl_Ledger[[#This Row],[Rate_to_NGN]])</f>
        <v>26900</v>
      </c>
      <c r="R339" s="25" t="str">
        <f>_xlfn.XLOOKUP(tbl_Ledger[[#This Row],[Account_Code]], tbl_Accounts[Account_Code], tbl_Accounts[Type])</f>
        <v>Revenue</v>
      </c>
      <c r="S339" s="25" t="str">
        <f>_xlfn.XLOOKUP(tbl_Ledger[[#This Row],[Account_Code]], tbl_Accounts[Account_Code], tbl_Accounts[PL_Bucket])</f>
        <v>Revenue</v>
      </c>
      <c r="T339" s="25">
        <f t="shared" si="5"/>
        <v>26900</v>
      </c>
    </row>
    <row r="340" spans="1:20">
      <c r="A340" t="s">
        <v>999</v>
      </c>
      <c r="B340" s="7">
        <v>45861</v>
      </c>
      <c r="C340" t="s">
        <v>93</v>
      </c>
      <c r="D340" t="s">
        <v>94</v>
      </c>
      <c r="E340" t="s">
        <v>103</v>
      </c>
      <c r="F340" s="12" t="s">
        <v>24</v>
      </c>
      <c r="G340" t="s">
        <v>25</v>
      </c>
      <c r="H340" t="s">
        <v>1000</v>
      </c>
      <c r="I340" t="s">
        <v>71</v>
      </c>
      <c r="J340" s="6">
        <v>27600</v>
      </c>
      <c r="K340" t="s">
        <v>3</v>
      </c>
      <c r="L340" t="s">
        <v>1001</v>
      </c>
      <c r="M340" t="s">
        <v>3</v>
      </c>
      <c r="N340" s="25" t="str">
        <f>TEXT(tbl_Ledger[[#This Row],[Date]],"yyyy-mm")</f>
        <v>2025-07</v>
      </c>
      <c r="O340" s="25" t="str">
        <f>TEXT(tbl_Ledger[[#This Row],[Date]],"yyyy-mm") &amp; TRIM(tbl_Ledger[[#This Row],[Currency]])</f>
        <v>2025-07NGN</v>
      </c>
      <c r="P340" s="25">
        <f>_xlfn.XLOOKUP(tbl_Ledger[[#This Row],[Key]], tbl_FX[Key], tbl_FX[Rate_to_NGN])</f>
        <v>1</v>
      </c>
      <c r="Q340" s="37">
        <f>IF(tbl_Ledger[[#This Row],[Account_Type]]="Expense",-ABS(tbl_Ledger[[#This Row],[Amount]]*tbl_Ledger[[#This Row],[Rate_to_NGN]]),tbl_Ledger[[#This Row],[Amount]]*tbl_Ledger[[#This Row],[Rate_to_NGN]])</f>
        <v>27600</v>
      </c>
      <c r="R340" s="25" t="str">
        <f>_xlfn.XLOOKUP(tbl_Ledger[[#This Row],[Account_Code]], tbl_Accounts[Account_Code], tbl_Accounts[Type])</f>
        <v>Revenue</v>
      </c>
      <c r="S340" s="25" t="str">
        <f>_xlfn.XLOOKUP(tbl_Ledger[[#This Row],[Account_Code]], tbl_Accounts[Account_Code], tbl_Accounts[PL_Bucket])</f>
        <v>Revenue</v>
      </c>
      <c r="T340" s="25">
        <f t="shared" si="5"/>
        <v>27600</v>
      </c>
    </row>
    <row r="341" spans="1:20">
      <c r="A341" t="s">
        <v>1002</v>
      </c>
      <c r="B341" s="7">
        <v>45861</v>
      </c>
      <c r="C341" t="s">
        <v>93</v>
      </c>
      <c r="D341" t="s">
        <v>94</v>
      </c>
      <c r="E341" t="s">
        <v>160</v>
      </c>
      <c r="F341" s="12" t="s">
        <v>24</v>
      </c>
      <c r="G341" t="s">
        <v>25</v>
      </c>
      <c r="H341" t="s">
        <v>1003</v>
      </c>
      <c r="I341" t="s">
        <v>71</v>
      </c>
      <c r="J341" s="6">
        <v>27100</v>
      </c>
      <c r="K341" t="s">
        <v>3</v>
      </c>
      <c r="L341" t="s">
        <v>1001</v>
      </c>
      <c r="M341" t="s">
        <v>3</v>
      </c>
      <c r="N341" s="25" t="str">
        <f>TEXT(tbl_Ledger[[#This Row],[Date]],"yyyy-mm")</f>
        <v>2025-07</v>
      </c>
      <c r="O341" s="25" t="str">
        <f>TEXT(tbl_Ledger[[#This Row],[Date]],"yyyy-mm") &amp; TRIM(tbl_Ledger[[#This Row],[Currency]])</f>
        <v>2025-07NGN</v>
      </c>
      <c r="P341" s="25">
        <f>_xlfn.XLOOKUP(tbl_Ledger[[#This Row],[Key]], tbl_FX[Key], tbl_FX[Rate_to_NGN])</f>
        <v>1</v>
      </c>
      <c r="Q341" s="37">
        <f>IF(tbl_Ledger[[#This Row],[Account_Type]]="Expense",-ABS(tbl_Ledger[[#This Row],[Amount]]*tbl_Ledger[[#This Row],[Rate_to_NGN]]),tbl_Ledger[[#This Row],[Amount]]*tbl_Ledger[[#This Row],[Rate_to_NGN]])</f>
        <v>27100</v>
      </c>
      <c r="R341" s="25" t="str">
        <f>_xlfn.XLOOKUP(tbl_Ledger[[#This Row],[Account_Code]], tbl_Accounts[Account_Code], tbl_Accounts[Type])</f>
        <v>Revenue</v>
      </c>
      <c r="S341" s="25" t="str">
        <f>_xlfn.XLOOKUP(tbl_Ledger[[#This Row],[Account_Code]], tbl_Accounts[Account_Code], tbl_Accounts[PL_Bucket])</f>
        <v>Revenue</v>
      </c>
      <c r="T341" s="25">
        <f t="shared" si="5"/>
        <v>27100</v>
      </c>
    </row>
    <row r="342" spans="1:20">
      <c r="A342" t="s">
        <v>1004</v>
      </c>
      <c r="B342" s="7">
        <v>45861</v>
      </c>
      <c r="C342" t="s">
        <v>93</v>
      </c>
      <c r="D342" t="s">
        <v>94</v>
      </c>
      <c r="E342" t="s">
        <v>107</v>
      </c>
      <c r="F342" s="12" t="s">
        <v>24</v>
      </c>
      <c r="G342" t="s">
        <v>25</v>
      </c>
      <c r="H342" t="s">
        <v>1005</v>
      </c>
      <c r="I342" t="s">
        <v>71</v>
      </c>
      <c r="J342" s="6">
        <v>30100</v>
      </c>
      <c r="K342" t="s">
        <v>3</v>
      </c>
      <c r="L342" t="s">
        <v>1006</v>
      </c>
      <c r="M342" t="s">
        <v>3</v>
      </c>
      <c r="N342" s="25" t="str">
        <f>TEXT(tbl_Ledger[[#This Row],[Date]],"yyyy-mm")</f>
        <v>2025-07</v>
      </c>
      <c r="O342" s="25" t="str">
        <f>TEXT(tbl_Ledger[[#This Row],[Date]],"yyyy-mm") &amp; TRIM(tbl_Ledger[[#This Row],[Currency]])</f>
        <v>2025-07NGN</v>
      </c>
      <c r="P342" s="25">
        <f>_xlfn.XLOOKUP(tbl_Ledger[[#This Row],[Key]], tbl_FX[Key], tbl_FX[Rate_to_NGN])</f>
        <v>1</v>
      </c>
      <c r="Q342" s="37">
        <f>IF(tbl_Ledger[[#This Row],[Account_Type]]="Expense",-ABS(tbl_Ledger[[#This Row],[Amount]]*tbl_Ledger[[#This Row],[Rate_to_NGN]]),tbl_Ledger[[#This Row],[Amount]]*tbl_Ledger[[#This Row],[Rate_to_NGN]])</f>
        <v>30100</v>
      </c>
      <c r="R342" s="25" t="str">
        <f>_xlfn.XLOOKUP(tbl_Ledger[[#This Row],[Account_Code]], tbl_Accounts[Account_Code], tbl_Accounts[Type])</f>
        <v>Revenue</v>
      </c>
      <c r="S342" s="25" t="str">
        <f>_xlfn.XLOOKUP(tbl_Ledger[[#This Row],[Account_Code]], tbl_Accounts[Account_Code], tbl_Accounts[PL_Bucket])</f>
        <v>Revenue</v>
      </c>
      <c r="T342" s="25">
        <f t="shared" si="5"/>
        <v>30100</v>
      </c>
    </row>
    <row r="343" spans="1:20">
      <c r="A343" t="s">
        <v>1007</v>
      </c>
      <c r="B343" s="7">
        <v>45861</v>
      </c>
      <c r="C343" t="s">
        <v>93</v>
      </c>
      <c r="D343" t="s">
        <v>111</v>
      </c>
      <c r="E343" t="s">
        <v>112</v>
      </c>
      <c r="F343" s="12" t="s">
        <v>24</v>
      </c>
      <c r="G343" t="s">
        <v>25</v>
      </c>
      <c r="H343" t="s">
        <v>1008</v>
      </c>
      <c r="I343" t="s">
        <v>71</v>
      </c>
      <c r="J343" s="6">
        <v>47000</v>
      </c>
      <c r="K343" t="s">
        <v>3</v>
      </c>
      <c r="L343" t="s">
        <v>1009</v>
      </c>
      <c r="M343" t="s">
        <v>3</v>
      </c>
      <c r="N343" s="25" t="str">
        <f>TEXT(tbl_Ledger[[#This Row],[Date]],"yyyy-mm")</f>
        <v>2025-07</v>
      </c>
      <c r="O343" s="25" t="str">
        <f>TEXT(tbl_Ledger[[#This Row],[Date]],"yyyy-mm") &amp; TRIM(tbl_Ledger[[#This Row],[Currency]])</f>
        <v>2025-07NGN</v>
      </c>
      <c r="P343" s="25">
        <f>_xlfn.XLOOKUP(tbl_Ledger[[#This Row],[Key]], tbl_FX[Key], tbl_FX[Rate_to_NGN])</f>
        <v>1</v>
      </c>
      <c r="Q343" s="37">
        <f>IF(tbl_Ledger[[#This Row],[Account_Type]]="Expense",-ABS(tbl_Ledger[[#This Row],[Amount]]*tbl_Ledger[[#This Row],[Rate_to_NGN]]),tbl_Ledger[[#This Row],[Amount]]*tbl_Ledger[[#This Row],[Rate_to_NGN]])</f>
        <v>47000</v>
      </c>
      <c r="R343" s="25" t="str">
        <f>_xlfn.XLOOKUP(tbl_Ledger[[#This Row],[Account_Code]], tbl_Accounts[Account_Code], tbl_Accounts[Type])</f>
        <v>Revenue</v>
      </c>
      <c r="S343" s="25" t="str">
        <f>_xlfn.XLOOKUP(tbl_Ledger[[#This Row],[Account_Code]], tbl_Accounts[Account_Code], tbl_Accounts[PL_Bucket])</f>
        <v>Revenue</v>
      </c>
      <c r="T343" s="25">
        <f t="shared" si="5"/>
        <v>47000</v>
      </c>
    </row>
    <row r="344" spans="1:20">
      <c r="A344" t="s">
        <v>1010</v>
      </c>
      <c r="B344" s="7">
        <v>45861</v>
      </c>
      <c r="C344" t="s">
        <v>93</v>
      </c>
      <c r="D344" t="s">
        <v>111</v>
      </c>
      <c r="E344" t="s">
        <v>116</v>
      </c>
      <c r="F344" s="12" t="s">
        <v>24</v>
      </c>
      <c r="G344" t="s">
        <v>25</v>
      </c>
      <c r="H344" t="s">
        <v>1011</v>
      </c>
      <c r="I344" t="s">
        <v>71</v>
      </c>
      <c r="J344" s="6">
        <v>46400</v>
      </c>
      <c r="K344" t="s">
        <v>3</v>
      </c>
      <c r="L344" t="s">
        <v>1009</v>
      </c>
      <c r="M344" t="s">
        <v>3</v>
      </c>
      <c r="N344" s="25" t="str">
        <f>TEXT(tbl_Ledger[[#This Row],[Date]],"yyyy-mm")</f>
        <v>2025-07</v>
      </c>
      <c r="O344" s="25" t="str">
        <f>TEXT(tbl_Ledger[[#This Row],[Date]],"yyyy-mm") &amp; TRIM(tbl_Ledger[[#This Row],[Currency]])</f>
        <v>2025-07NGN</v>
      </c>
      <c r="P344" s="25">
        <f>_xlfn.XLOOKUP(tbl_Ledger[[#This Row],[Key]], tbl_FX[Key], tbl_FX[Rate_to_NGN])</f>
        <v>1</v>
      </c>
      <c r="Q344" s="37">
        <f>IF(tbl_Ledger[[#This Row],[Account_Type]]="Expense",-ABS(tbl_Ledger[[#This Row],[Amount]]*tbl_Ledger[[#This Row],[Rate_to_NGN]]),tbl_Ledger[[#This Row],[Amount]]*tbl_Ledger[[#This Row],[Rate_to_NGN]])</f>
        <v>46400</v>
      </c>
      <c r="R344" s="25" t="str">
        <f>_xlfn.XLOOKUP(tbl_Ledger[[#This Row],[Account_Code]], tbl_Accounts[Account_Code], tbl_Accounts[Type])</f>
        <v>Revenue</v>
      </c>
      <c r="S344" s="25" t="str">
        <f>_xlfn.XLOOKUP(tbl_Ledger[[#This Row],[Account_Code]], tbl_Accounts[Account_Code], tbl_Accounts[PL_Bucket])</f>
        <v>Revenue</v>
      </c>
      <c r="T344" s="25">
        <f t="shared" si="5"/>
        <v>46400</v>
      </c>
    </row>
    <row r="345" spans="1:20">
      <c r="A345" t="s">
        <v>1012</v>
      </c>
      <c r="B345" s="7">
        <v>45861</v>
      </c>
      <c r="C345" t="s">
        <v>93</v>
      </c>
      <c r="D345" t="s">
        <v>111</v>
      </c>
      <c r="E345" t="s">
        <v>119</v>
      </c>
      <c r="F345" s="12" t="s">
        <v>24</v>
      </c>
      <c r="G345" t="s">
        <v>25</v>
      </c>
      <c r="H345" t="s">
        <v>1013</v>
      </c>
      <c r="I345" t="s">
        <v>71</v>
      </c>
      <c r="J345" s="6">
        <v>48800</v>
      </c>
      <c r="K345" t="s">
        <v>3</v>
      </c>
      <c r="L345" t="s">
        <v>1009</v>
      </c>
      <c r="M345" t="s">
        <v>3</v>
      </c>
      <c r="N345" s="25" t="str">
        <f>TEXT(tbl_Ledger[[#This Row],[Date]],"yyyy-mm")</f>
        <v>2025-07</v>
      </c>
      <c r="O345" s="25" t="str">
        <f>TEXT(tbl_Ledger[[#This Row],[Date]],"yyyy-mm") &amp; TRIM(tbl_Ledger[[#This Row],[Currency]])</f>
        <v>2025-07NGN</v>
      </c>
      <c r="P345" s="25">
        <f>_xlfn.XLOOKUP(tbl_Ledger[[#This Row],[Key]], tbl_FX[Key], tbl_FX[Rate_to_NGN])</f>
        <v>1</v>
      </c>
      <c r="Q345" s="37">
        <f>IF(tbl_Ledger[[#This Row],[Account_Type]]="Expense",-ABS(tbl_Ledger[[#This Row],[Amount]]*tbl_Ledger[[#This Row],[Rate_to_NGN]]),tbl_Ledger[[#This Row],[Amount]]*tbl_Ledger[[#This Row],[Rate_to_NGN]])</f>
        <v>48800</v>
      </c>
      <c r="R345" s="25" t="str">
        <f>_xlfn.XLOOKUP(tbl_Ledger[[#This Row],[Account_Code]], tbl_Accounts[Account_Code], tbl_Accounts[Type])</f>
        <v>Revenue</v>
      </c>
      <c r="S345" s="25" t="str">
        <f>_xlfn.XLOOKUP(tbl_Ledger[[#This Row],[Account_Code]], tbl_Accounts[Account_Code], tbl_Accounts[PL_Bucket])</f>
        <v>Revenue</v>
      </c>
      <c r="T345" s="25">
        <f t="shared" si="5"/>
        <v>48800</v>
      </c>
    </row>
    <row r="346" spans="1:20">
      <c r="A346" t="s">
        <v>1014</v>
      </c>
      <c r="B346" s="7">
        <v>45861</v>
      </c>
      <c r="C346" t="s">
        <v>93</v>
      </c>
      <c r="D346" t="s">
        <v>111</v>
      </c>
      <c r="E346" t="s">
        <v>170</v>
      </c>
      <c r="F346" s="12" t="s">
        <v>24</v>
      </c>
      <c r="G346" t="s">
        <v>25</v>
      </c>
      <c r="H346" t="s">
        <v>1015</v>
      </c>
      <c r="I346" t="s">
        <v>71</v>
      </c>
      <c r="J346" s="6">
        <v>45800</v>
      </c>
      <c r="K346" t="s">
        <v>3</v>
      </c>
      <c r="L346" t="s">
        <v>1009</v>
      </c>
      <c r="M346" t="s">
        <v>3</v>
      </c>
      <c r="N346" s="25" t="str">
        <f>TEXT(tbl_Ledger[[#This Row],[Date]],"yyyy-mm")</f>
        <v>2025-07</v>
      </c>
      <c r="O346" s="25" t="str">
        <f>TEXT(tbl_Ledger[[#This Row],[Date]],"yyyy-mm") &amp; TRIM(tbl_Ledger[[#This Row],[Currency]])</f>
        <v>2025-07NGN</v>
      </c>
      <c r="P346" s="25">
        <f>_xlfn.XLOOKUP(tbl_Ledger[[#This Row],[Key]], tbl_FX[Key], tbl_FX[Rate_to_NGN])</f>
        <v>1</v>
      </c>
      <c r="Q346" s="37">
        <f>IF(tbl_Ledger[[#This Row],[Account_Type]]="Expense",-ABS(tbl_Ledger[[#This Row],[Amount]]*tbl_Ledger[[#This Row],[Rate_to_NGN]]),tbl_Ledger[[#This Row],[Amount]]*tbl_Ledger[[#This Row],[Rate_to_NGN]])</f>
        <v>45800</v>
      </c>
      <c r="R346" s="25" t="str">
        <f>_xlfn.XLOOKUP(tbl_Ledger[[#This Row],[Account_Code]], tbl_Accounts[Account_Code], tbl_Accounts[Type])</f>
        <v>Revenue</v>
      </c>
      <c r="S346" s="25" t="str">
        <f>_xlfn.XLOOKUP(tbl_Ledger[[#This Row],[Account_Code]], tbl_Accounts[Account_Code], tbl_Accounts[PL_Bucket])</f>
        <v>Revenue</v>
      </c>
      <c r="T346" s="25">
        <f t="shared" si="5"/>
        <v>45800</v>
      </c>
    </row>
    <row r="347" spans="1:20">
      <c r="A347" t="s">
        <v>1016</v>
      </c>
      <c r="B347" s="7">
        <v>45861</v>
      </c>
      <c r="C347" t="s">
        <v>93</v>
      </c>
      <c r="D347" t="s">
        <v>111</v>
      </c>
      <c r="E347" t="s">
        <v>122</v>
      </c>
      <c r="F347" s="12" t="s">
        <v>24</v>
      </c>
      <c r="G347" t="s">
        <v>25</v>
      </c>
      <c r="H347" t="s">
        <v>1017</v>
      </c>
      <c r="I347" t="s">
        <v>71</v>
      </c>
      <c r="J347" s="6">
        <v>47600</v>
      </c>
      <c r="K347" t="s">
        <v>3</v>
      </c>
      <c r="L347" t="s">
        <v>1018</v>
      </c>
      <c r="M347" t="s">
        <v>3</v>
      </c>
      <c r="N347" s="25" t="str">
        <f>TEXT(tbl_Ledger[[#This Row],[Date]],"yyyy-mm")</f>
        <v>2025-07</v>
      </c>
      <c r="O347" s="25" t="str">
        <f>TEXT(tbl_Ledger[[#This Row],[Date]],"yyyy-mm") &amp; TRIM(tbl_Ledger[[#This Row],[Currency]])</f>
        <v>2025-07NGN</v>
      </c>
      <c r="P347" s="25">
        <f>_xlfn.XLOOKUP(tbl_Ledger[[#This Row],[Key]], tbl_FX[Key], tbl_FX[Rate_to_NGN])</f>
        <v>1</v>
      </c>
      <c r="Q347" s="37">
        <f>IF(tbl_Ledger[[#This Row],[Account_Type]]="Expense",-ABS(tbl_Ledger[[#This Row],[Amount]]*tbl_Ledger[[#This Row],[Rate_to_NGN]]),tbl_Ledger[[#This Row],[Amount]]*tbl_Ledger[[#This Row],[Rate_to_NGN]])</f>
        <v>47600</v>
      </c>
      <c r="R347" s="25" t="str">
        <f>_xlfn.XLOOKUP(tbl_Ledger[[#This Row],[Account_Code]], tbl_Accounts[Account_Code], tbl_Accounts[Type])</f>
        <v>Revenue</v>
      </c>
      <c r="S347" s="25" t="str">
        <f>_xlfn.XLOOKUP(tbl_Ledger[[#This Row],[Account_Code]], tbl_Accounts[Account_Code], tbl_Accounts[PL_Bucket])</f>
        <v>Revenue</v>
      </c>
      <c r="T347" s="25">
        <f t="shared" si="5"/>
        <v>47600</v>
      </c>
    </row>
    <row r="348" spans="1:20">
      <c r="A348" t="s">
        <v>1019</v>
      </c>
      <c r="B348" s="7">
        <v>45861</v>
      </c>
      <c r="C348" t="s">
        <v>126</v>
      </c>
      <c r="D348" t="s">
        <v>88</v>
      </c>
      <c r="E348" t="s">
        <v>127</v>
      </c>
      <c r="F348" s="12" t="s">
        <v>29</v>
      </c>
      <c r="G348" t="s">
        <v>30</v>
      </c>
      <c r="H348" t="s">
        <v>1020</v>
      </c>
      <c r="I348" t="s">
        <v>71</v>
      </c>
      <c r="J348" s="6">
        <v>44500</v>
      </c>
      <c r="K348" t="s">
        <v>129</v>
      </c>
      <c r="L348" t="s">
        <v>1021</v>
      </c>
      <c r="M348" t="s">
        <v>3</v>
      </c>
      <c r="N348" s="25" t="str">
        <f>TEXT(tbl_Ledger[[#This Row],[Date]],"yyyy-mm")</f>
        <v>2025-07</v>
      </c>
      <c r="O348" s="25" t="str">
        <f>TEXT(tbl_Ledger[[#This Row],[Date]],"yyyy-mm") &amp; TRIM(tbl_Ledger[[#This Row],[Currency]])</f>
        <v>2025-07NGN</v>
      </c>
      <c r="P348" s="25">
        <f>_xlfn.XLOOKUP(tbl_Ledger[[#This Row],[Key]], tbl_FX[Key], tbl_FX[Rate_to_NGN])</f>
        <v>1</v>
      </c>
      <c r="Q348" s="37">
        <f>IF(tbl_Ledger[[#This Row],[Account_Type]]="Expense",-ABS(tbl_Ledger[[#This Row],[Amount]]*tbl_Ledger[[#This Row],[Rate_to_NGN]]),tbl_Ledger[[#This Row],[Amount]]*tbl_Ledger[[#This Row],[Rate_to_NGN]])</f>
        <v>44500</v>
      </c>
      <c r="R348" s="25" t="str">
        <f>_xlfn.XLOOKUP(tbl_Ledger[[#This Row],[Account_Code]], tbl_Accounts[Account_Code], tbl_Accounts[Type])</f>
        <v>Revenue</v>
      </c>
      <c r="S348" s="25" t="str">
        <f>_xlfn.XLOOKUP(tbl_Ledger[[#This Row],[Account_Code]], tbl_Accounts[Account_Code], tbl_Accounts[PL_Bucket])</f>
        <v>Revenue</v>
      </c>
      <c r="T348" s="25">
        <f t="shared" si="5"/>
        <v>44500</v>
      </c>
    </row>
    <row r="349" spans="1:20">
      <c r="A349" t="s">
        <v>1022</v>
      </c>
      <c r="B349" s="7">
        <v>45861</v>
      </c>
      <c r="C349" t="s">
        <v>126</v>
      </c>
      <c r="D349" t="s">
        <v>88</v>
      </c>
      <c r="E349" t="s">
        <v>132</v>
      </c>
      <c r="F349" s="12" t="s">
        <v>29</v>
      </c>
      <c r="G349" t="s">
        <v>30</v>
      </c>
      <c r="H349" t="s">
        <v>1023</v>
      </c>
      <c r="I349" t="s">
        <v>71</v>
      </c>
      <c r="J349" s="6">
        <v>50500</v>
      </c>
      <c r="K349" t="s">
        <v>134</v>
      </c>
      <c r="L349" t="s">
        <v>1021</v>
      </c>
      <c r="M349" t="s">
        <v>3</v>
      </c>
      <c r="N349" s="25" t="str">
        <f>TEXT(tbl_Ledger[[#This Row],[Date]],"yyyy-mm")</f>
        <v>2025-07</v>
      </c>
      <c r="O349" s="25" t="str">
        <f>TEXT(tbl_Ledger[[#This Row],[Date]],"yyyy-mm") &amp; TRIM(tbl_Ledger[[#This Row],[Currency]])</f>
        <v>2025-07NGN</v>
      </c>
      <c r="P349" s="25">
        <f>_xlfn.XLOOKUP(tbl_Ledger[[#This Row],[Key]], tbl_FX[Key], tbl_FX[Rate_to_NGN])</f>
        <v>1</v>
      </c>
      <c r="Q349" s="37">
        <f>IF(tbl_Ledger[[#This Row],[Account_Type]]="Expense",-ABS(tbl_Ledger[[#This Row],[Amount]]*tbl_Ledger[[#This Row],[Rate_to_NGN]]),tbl_Ledger[[#This Row],[Amount]]*tbl_Ledger[[#This Row],[Rate_to_NGN]])</f>
        <v>50500</v>
      </c>
      <c r="R349" s="25" t="str">
        <f>_xlfn.XLOOKUP(tbl_Ledger[[#This Row],[Account_Code]], tbl_Accounts[Account_Code], tbl_Accounts[Type])</f>
        <v>Revenue</v>
      </c>
      <c r="S349" s="25" t="str">
        <f>_xlfn.XLOOKUP(tbl_Ledger[[#This Row],[Account_Code]], tbl_Accounts[Account_Code], tbl_Accounts[PL_Bucket])</f>
        <v>Revenue</v>
      </c>
      <c r="T349" s="25">
        <f t="shared" si="5"/>
        <v>50500</v>
      </c>
    </row>
    <row r="350" spans="1:20">
      <c r="A350" t="s">
        <v>1024</v>
      </c>
      <c r="B350" s="7">
        <v>45861</v>
      </c>
      <c r="C350" t="s">
        <v>126</v>
      </c>
      <c r="D350" t="s">
        <v>88</v>
      </c>
      <c r="E350" t="s">
        <v>136</v>
      </c>
      <c r="F350" s="12" t="s">
        <v>29</v>
      </c>
      <c r="G350" t="s">
        <v>30</v>
      </c>
      <c r="H350" t="s">
        <v>1025</v>
      </c>
      <c r="I350" t="s">
        <v>71</v>
      </c>
      <c r="J350" s="6">
        <v>42600</v>
      </c>
      <c r="K350" t="s">
        <v>138</v>
      </c>
      <c r="L350" t="s">
        <v>1021</v>
      </c>
      <c r="M350" t="s">
        <v>3</v>
      </c>
      <c r="N350" s="25" t="str">
        <f>TEXT(tbl_Ledger[[#This Row],[Date]],"yyyy-mm")</f>
        <v>2025-07</v>
      </c>
      <c r="O350" s="25" t="str">
        <f>TEXT(tbl_Ledger[[#This Row],[Date]],"yyyy-mm") &amp; TRIM(tbl_Ledger[[#This Row],[Currency]])</f>
        <v>2025-07NGN</v>
      </c>
      <c r="P350" s="25">
        <f>_xlfn.XLOOKUP(tbl_Ledger[[#This Row],[Key]], tbl_FX[Key], tbl_FX[Rate_to_NGN])</f>
        <v>1</v>
      </c>
      <c r="Q350" s="37">
        <f>IF(tbl_Ledger[[#This Row],[Account_Type]]="Expense",-ABS(tbl_Ledger[[#This Row],[Amount]]*tbl_Ledger[[#This Row],[Rate_to_NGN]]),tbl_Ledger[[#This Row],[Amount]]*tbl_Ledger[[#This Row],[Rate_to_NGN]])</f>
        <v>42600</v>
      </c>
      <c r="R350" s="25" t="str">
        <f>_xlfn.XLOOKUP(tbl_Ledger[[#This Row],[Account_Code]], tbl_Accounts[Account_Code], tbl_Accounts[Type])</f>
        <v>Revenue</v>
      </c>
      <c r="S350" s="25" t="str">
        <f>_xlfn.XLOOKUP(tbl_Ledger[[#This Row],[Account_Code]], tbl_Accounts[Account_Code], tbl_Accounts[PL_Bucket])</f>
        <v>Revenue</v>
      </c>
      <c r="T350" s="25">
        <f t="shared" si="5"/>
        <v>42600</v>
      </c>
    </row>
    <row r="351" spans="1:20">
      <c r="A351" t="s">
        <v>1026</v>
      </c>
      <c r="B351" s="7">
        <v>45861</v>
      </c>
      <c r="C351" t="s">
        <v>126</v>
      </c>
      <c r="D351" t="s">
        <v>88</v>
      </c>
      <c r="E351" t="s">
        <v>140</v>
      </c>
      <c r="F351" s="12" t="s">
        <v>29</v>
      </c>
      <c r="G351" t="s">
        <v>30</v>
      </c>
      <c r="H351" t="s">
        <v>1027</v>
      </c>
      <c r="I351" t="s">
        <v>71</v>
      </c>
      <c r="J351" s="6">
        <v>42400</v>
      </c>
      <c r="K351" t="s">
        <v>3</v>
      </c>
      <c r="L351" t="s">
        <v>1028</v>
      </c>
      <c r="M351" t="s">
        <v>3</v>
      </c>
      <c r="N351" s="25" t="str">
        <f>TEXT(tbl_Ledger[[#This Row],[Date]],"yyyy-mm")</f>
        <v>2025-07</v>
      </c>
      <c r="O351" s="25" t="str">
        <f>TEXT(tbl_Ledger[[#This Row],[Date]],"yyyy-mm") &amp; TRIM(tbl_Ledger[[#This Row],[Currency]])</f>
        <v>2025-07NGN</v>
      </c>
      <c r="P351" s="25">
        <f>_xlfn.XLOOKUP(tbl_Ledger[[#This Row],[Key]], tbl_FX[Key], tbl_FX[Rate_to_NGN])</f>
        <v>1</v>
      </c>
      <c r="Q351" s="37">
        <f>IF(tbl_Ledger[[#This Row],[Account_Type]]="Expense",-ABS(tbl_Ledger[[#This Row],[Amount]]*tbl_Ledger[[#This Row],[Rate_to_NGN]]),tbl_Ledger[[#This Row],[Amount]]*tbl_Ledger[[#This Row],[Rate_to_NGN]])</f>
        <v>42400</v>
      </c>
      <c r="R351" s="25" t="str">
        <f>_xlfn.XLOOKUP(tbl_Ledger[[#This Row],[Account_Code]], tbl_Accounts[Account_Code], tbl_Accounts[Type])</f>
        <v>Revenue</v>
      </c>
      <c r="S351" s="25" t="str">
        <f>_xlfn.XLOOKUP(tbl_Ledger[[#This Row],[Account_Code]], tbl_Accounts[Account_Code], tbl_Accounts[PL_Bucket])</f>
        <v>Revenue</v>
      </c>
      <c r="T351" s="25">
        <f t="shared" si="5"/>
        <v>42400</v>
      </c>
    </row>
    <row r="352" spans="1:20">
      <c r="A352" t="s">
        <v>1029</v>
      </c>
      <c r="B352" s="7">
        <v>45861</v>
      </c>
      <c r="C352" t="s">
        <v>87</v>
      </c>
      <c r="D352" t="s">
        <v>94</v>
      </c>
      <c r="E352" t="s">
        <v>3</v>
      </c>
      <c r="F352" s="12" t="s">
        <v>33</v>
      </c>
      <c r="G352" t="s">
        <v>34</v>
      </c>
      <c r="H352" t="s">
        <v>315</v>
      </c>
      <c r="I352" t="s">
        <v>71</v>
      </c>
      <c r="J352" s="6">
        <v>-557000</v>
      </c>
      <c r="K352" t="s">
        <v>316</v>
      </c>
      <c r="L352" t="s">
        <v>1030</v>
      </c>
      <c r="M352" t="s">
        <v>3</v>
      </c>
      <c r="N352" s="25" t="str">
        <f>TEXT(tbl_Ledger[[#This Row],[Date]],"yyyy-mm")</f>
        <v>2025-07</v>
      </c>
      <c r="O352" s="25" t="str">
        <f>TEXT(tbl_Ledger[[#This Row],[Date]],"yyyy-mm") &amp; TRIM(tbl_Ledger[[#This Row],[Currency]])</f>
        <v>2025-07NGN</v>
      </c>
      <c r="P352" s="25">
        <f>_xlfn.XLOOKUP(tbl_Ledger[[#This Row],[Key]], tbl_FX[Key], tbl_FX[Rate_to_NGN])</f>
        <v>1</v>
      </c>
      <c r="Q352" s="37">
        <f>IF(tbl_Ledger[[#This Row],[Account_Type]]="Expense",-ABS(tbl_Ledger[[#This Row],[Amount]]*tbl_Ledger[[#This Row],[Rate_to_NGN]]),tbl_Ledger[[#This Row],[Amount]]*tbl_Ledger[[#This Row],[Rate_to_NGN]])</f>
        <v>-557000</v>
      </c>
      <c r="R352" s="25" t="str">
        <f>_xlfn.XLOOKUP(tbl_Ledger[[#This Row],[Account_Code]], tbl_Accounts[Account_Code], tbl_Accounts[Type])</f>
        <v>COGS</v>
      </c>
      <c r="S352" s="25" t="str">
        <f>_xlfn.XLOOKUP(tbl_Ledger[[#This Row],[Account_Code]], tbl_Accounts[Account_Code], tbl_Accounts[PL_Bucket])</f>
        <v>COGS</v>
      </c>
      <c r="T352" s="25">
        <f t="shared" si="5"/>
        <v>-557000</v>
      </c>
    </row>
    <row r="353" spans="1:20">
      <c r="A353" t="s">
        <v>1031</v>
      </c>
      <c r="B353" s="7">
        <v>45862</v>
      </c>
      <c r="C353" t="s">
        <v>93</v>
      </c>
      <c r="D353" t="s">
        <v>94</v>
      </c>
      <c r="E353" t="s">
        <v>99</v>
      </c>
      <c r="F353" s="12" t="s">
        <v>24</v>
      </c>
      <c r="G353" t="s">
        <v>25</v>
      </c>
      <c r="H353" t="s">
        <v>1032</v>
      </c>
      <c r="I353" t="s">
        <v>71</v>
      </c>
      <c r="J353" s="6">
        <v>27800</v>
      </c>
      <c r="K353" t="s">
        <v>3</v>
      </c>
      <c r="L353" t="s">
        <v>1033</v>
      </c>
      <c r="M353" t="s">
        <v>3</v>
      </c>
      <c r="N353" s="25" t="str">
        <f>TEXT(tbl_Ledger[[#This Row],[Date]],"yyyy-mm")</f>
        <v>2025-07</v>
      </c>
      <c r="O353" s="25" t="str">
        <f>TEXT(tbl_Ledger[[#This Row],[Date]],"yyyy-mm") &amp; TRIM(tbl_Ledger[[#This Row],[Currency]])</f>
        <v>2025-07NGN</v>
      </c>
      <c r="P353" s="25">
        <f>_xlfn.XLOOKUP(tbl_Ledger[[#This Row],[Key]], tbl_FX[Key], tbl_FX[Rate_to_NGN])</f>
        <v>1</v>
      </c>
      <c r="Q353" s="37">
        <f>IF(tbl_Ledger[[#This Row],[Account_Type]]="Expense",-ABS(tbl_Ledger[[#This Row],[Amount]]*tbl_Ledger[[#This Row],[Rate_to_NGN]]),tbl_Ledger[[#This Row],[Amount]]*tbl_Ledger[[#This Row],[Rate_to_NGN]])</f>
        <v>27800</v>
      </c>
      <c r="R353" s="25" t="str">
        <f>_xlfn.XLOOKUP(tbl_Ledger[[#This Row],[Account_Code]], tbl_Accounts[Account_Code], tbl_Accounts[Type])</f>
        <v>Revenue</v>
      </c>
      <c r="S353" s="25" t="str">
        <f>_xlfn.XLOOKUP(tbl_Ledger[[#This Row],[Account_Code]], tbl_Accounts[Account_Code], tbl_Accounts[PL_Bucket])</f>
        <v>Revenue</v>
      </c>
      <c r="T353" s="25">
        <f t="shared" si="5"/>
        <v>27800</v>
      </c>
    </row>
    <row r="354" spans="1:20">
      <c r="A354" t="s">
        <v>1034</v>
      </c>
      <c r="B354" s="7">
        <v>45862</v>
      </c>
      <c r="C354" t="s">
        <v>93</v>
      </c>
      <c r="D354" t="s">
        <v>94</v>
      </c>
      <c r="E354" t="s">
        <v>103</v>
      </c>
      <c r="F354" s="12" t="s">
        <v>24</v>
      </c>
      <c r="G354" t="s">
        <v>25</v>
      </c>
      <c r="H354" t="s">
        <v>1035</v>
      </c>
      <c r="I354" t="s">
        <v>71</v>
      </c>
      <c r="J354" s="6">
        <v>26700</v>
      </c>
      <c r="K354" t="s">
        <v>3</v>
      </c>
      <c r="L354" t="s">
        <v>1036</v>
      </c>
      <c r="M354" t="s">
        <v>3</v>
      </c>
      <c r="N354" s="25" t="str">
        <f>TEXT(tbl_Ledger[[#This Row],[Date]],"yyyy-mm")</f>
        <v>2025-07</v>
      </c>
      <c r="O354" s="25" t="str">
        <f>TEXT(tbl_Ledger[[#This Row],[Date]],"yyyy-mm") &amp; TRIM(tbl_Ledger[[#This Row],[Currency]])</f>
        <v>2025-07NGN</v>
      </c>
      <c r="P354" s="25">
        <f>_xlfn.XLOOKUP(tbl_Ledger[[#This Row],[Key]], tbl_FX[Key], tbl_FX[Rate_to_NGN])</f>
        <v>1</v>
      </c>
      <c r="Q354" s="37">
        <f>IF(tbl_Ledger[[#This Row],[Account_Type]]="Expense",-ABS(tbl_Ledger[[#This Row],[Amount]]*tbl_Ledger[[#This Row],[Rate_to_NGN]]),tbl_Ledger[[#This Row],[Amount]]*tbl_Ledger[[#This Row],[Rate_to_NGN]])</f>
        <v>26700</v>
      </c>
      <c r="R354" s="25" t="str">
        <f>_xlfn.XLOOKUP(tbl_Ledger[[#This Row],[Account_Code]], tbl_Accounts[Account_Code], tbl_Accounts[Type])</f>
        <v>Revenue</v>
      </c>
      <c r="S354" s="25" t="str">
        <f>_xlfn.XLOOKUP(tbl_Ledger[[#This Row],[Account_Code]], tbl_Accounts[Account_Code], tbl_Accounts[PL_Bucket])</f>
        <v>Revenue</v>
      </c>
      <c r="T354" s="25">
        <f t="shared" si="5"/>
        <v>26700</v>
      </c>
    </row>
    <row r="355" spans="1:20">
      <c r="A355" t="s">
        <v>1037</v>
      </c>
      <c r="B355" s="7">
        <v>45862</v>
      </c>
      <c r="C355" t="s">
        <v>93</v>
      </c>
      <c r="D355" t="s">
        <v>94</v>
      </c>
      <c r="E355" t="s">
        <v>107</v>
      </c>
      <c r="F355" s="12" t="s">
        <v>24</v>
      </c>
      <c r="G355" t="s">
        <v>25</v>
      </c>
      <c r="H355" t="s">
        <v>1038</v>
      </c>
      <c r="I355" t="s">
        <v>71</v>
      </c>
      <c r="J355" s="6">
        <v>26500</v>
      </c>
      <c r="K355" t="s">
        <v>3</v>
      </c>
      <c r="L355" t="s">
        <v>1039</v>
      </c>
      <c r="M355" t="s">
        <v>3</v>
      </c>
      <c r="N355" s="25" t="str">
        <f>TEXT(tbl_Ledger[[#This Row],[Date]],"yyyy-mm")</f>
        <v>2025-07</v>
      </c>
      <c r="O355" s="25" t="str">
        <f>TEXT(tbl_Ledger[[#This Row],[Date]],"yyyy-mm") &amp; TRIM(tbl_Ledger[[#This Row],[Currency]])</f>
        <v>2025-07NGN</v>
      </c>
      <c r="P355" s="25">
        <f>_xlfn.XLOOKUP(tbl_Ledger[[#This Row],[Key]], tbl_FX[Key], tbl_FX[Rate_to_NGN])</f>
        <v>1</v>
      </c>
      <c r="Q355" s="37">
        <f>IF(tbl_Ledger[[#This Row],[Account_Type]]="Expense",-ABS(tbl_Ledger[[#This Row],[Amount]]*tbl_Ledger[[#This Row],[Rate_to_NGN]]),tbl_Ledger[[#This Row],[Amount]]*tbl_Ledger[[#This Row],[Rate_to_NGN]])</f>
        <v>26500</v>
      </c>
      <c r="R355" s="25" t="str">
        <f>_xlfn.XLOOKUP(tbl_Ledger[[#This Row],[Account_Code]], tbl_Accounts[Account_Code], tbl_Accounts[Type])</f>
        <v>Revenue</v>
      </c>
      <c r="S355" s="25" t="str">
        <f>_xlfn.XLOOKUP(tbl_Ledger[[#This Row],[Account_Code]], tbl_Accounts[Account_Code], tbl_Accounts[PL_Bucket])</f>
        <v>Revenue</v>
      </c>
      <c r="T355" s="25">
        <f t="shared" si="5"/>
        <v>26500</v>
      </c>
    </row>
    <row r="356" spans="1:20">
      <c r="A356" t="s">
        <v>1040</v>
      </c>
      <c r="B356" s="7">
        <v>45862</v>
      </c>
      <c r="C356" t="s">
        <v>93</v>
      </c>
      <c r="D356" t="s">
        <v>111</v>
      </c>
      <c r="E356" t="s">
        <v>116</v>
      </c>
      <c r="F356" s="12" t="s">
        <v>24</v>
      </c>
      <c r="G356" t="s">
        <v>25</v>
      </c>
      <c r="H356" t="s">
        <v>1041</v>
      </c>
      <c r="I356" t="s">
        <v>71</v>
      </c>
      <c r="J356" s="6">
        <v>49500</v>
      </c>
      <c r="K356" t="s">
        <v>3</v>
      </c>
      <c r="L356" t="s">
        <v>1042</v>
      </c>
      <c r="M356" t="s">
        <v>3</v>
      </c>
      <c r="N356" s="25" t="str">
        <f>TEXT(tbl_Ledger[[#This Row],[Date]],"yyyy-mm")</f>
        <v>2025-07</v>
      </c>
      <c r="O356" s="25" t="str">
        <f>TEXT(tbl_Ledger[[#This Row],[Date]],"yyyy-mm") &amp; TRIM(tbl_Ledger[[#This Row],[Currency]])</f>
        <v>2025-07NGN</v>
      </c>
      <c r="P356" s="25">
        <f>_xlfn.XLOOKUP(tbl_Ledger[[#This Row],[Key]], tbl_FX[Key], tbl_FX[Rate_to_NGN])</f>
        <v>1</v>
      </c>
      <c r="Q356" s="37">
        <f>IF(tbl_Ledger[[#This Row],[Account_Type]]="Expense",-ABS(tbl_Ledger[[#This Row],[Amount]]*tbl_Ledger[[#This Row],[Rate_to_NGN]]),tbl_Ledger[[#This Row],[Amount]]*tbl_Ledger[[#This Row],[Rate_to_NGN]])</f>
        <v>49500</v>
      </c>
      <c r="R356" s="25" t="str">
        <f>_xlfn.XLOOKUP(tbl_Ledger[[#This Row],[Account_Code]], tbl_Accounts[Account_Code], tbl_Accounts[Type])</f>
        <v>Revenue</v>
      </c>
      <c r="S356" s="25" t="str">
        <f>_xlfn.XLOOKUP(tbl_Ledger[[#This Row],[Account_Code]], tbl_Accounts[Account_Code], tbl_Accounts[PL_Bucket])</f>
        <v>Revenue</v>
      </c>
      <c r="T356" s="25">
        <f t="shared" si="5"/>
        <v>49500</v>
      </c>
    </row>
    <row r="357" spans="1:20">
      <c r="A357" t="s">
        <v>1043</v>
      </c>
      <c r="B357" s="7">
        <v>45862</v>
      </c>
      <c r="C357" t="s">
        <v>93</v>
      </c>
      <c r="D357" t="s">
        <v>111</v>
      </c>
      <c r="E357" t="s">
        <v>119</v>
      </c>
      <c r="F357" s="12" t="s">
        <v>24</v>
      </c>
      <c r="G357" t="s">
        <v>25</v>
      </c>
      <c r="H357" t="s">
        <v>1044</v>
      </c>
      <c r="I357" t="s">
        <v>71</v>
      </c>
      <c r="J357" s="6">
        <v>46400</v>
      </c>
      <c r="K357" t="s">
        <v>3</v>
      </c>
      <c r="L357" t="s">
        <v>1042</v>
      </c>
      <c r="M357" t="s">
        <v>3</v>
      </c>
      <c r="N357" s="25" t="str">
        <f>TEXT(tbl_Ledger[[#This Row],[Date]],"yyyy-mm")</f>
        <v>2025-07</v>
      </c>
      <c r="O357" s="25" t="str">
        <f>TEXT(tbl_Ledger[[#This Row],[Date]],"yyyy-mm") &amp; TRIM(tbl_Ledger[[#This Row],[Currency]])</f>
        <v>2025-07NGN</v>
      </c>
      <c r="P357" s="25">
        <f>_xlfn.XLOOKUP(tbl_Ledger[[#This Row],[Key]], tbl_FX[Key], tbl_FX[Rate_to_NGN])</f>
        <v>1</v>
      </c>
      <c r="Q357" s="37">
        <f>IF(tbl_Ledger[[#This Row],[Account_Type]]="Expense",-ABS(tbl_Ledger[[#This Row],[Amount]]*tbl_Ledger[[#This Row],[Rate_to_NGN]]),tbl_Ledger[[#This Row],[Amount]]*tbl_Ledger[[#This Row],[Rate_to_NGN]])</f>
        <v>46400</v>
      </c>
      <c r="R357" s="25" t="str">
        <f>_xlfn.XLOOKUP(tbl_Ledger[[#This Row],[Account_Code]], tbl_Accounts[Account_Code], tbl_Accounts[Type])</f>
        <v>Revenue</v>
      </c>
      <c r="S357" s="25" t="str">
        <f>_xlfn.XLOOKUP(tbl_Ledger[[#This Row],[Account_Code]], tbl_Accounts[Account_Code], tbl_Accounts[PL_Bucket])</f>
        <v>Revenue</v>
      </c>
      <c r="T357" s="25">
        <f t="shared" si="5"/>
        <v>46400</v>
      </c>
    </row>
    <row r="358" spans="1:20">
      <c r="A358" t="s">
        <v>1045</v>
      </c>
      <c r="B358" s="7">
        <v>45862</v>
      </c>
      <c r="C358" t="s">
        <v>93</v>
      </c>
      <c r="D358" t="s">
        <v>111</v>
      </c>
      <c r="E358" t="s">
        <v>170</v>
      </c>
      <c r="F358" s="12" t="s">
        <v>24</v>
      </c>
      <c r="G358" t="s">
        <v>25</v>
      </c>
      <c r="H358" t="s">
        <v>1046</v>
      </c>
      <c r="I358" t="s">
        <v>71</v>
      </c>
      <c r="J358" s="6">
        <v>47300</v>
      </c>
      <c r="K358" t="s">
        <v>3</v>
      </c>
      <c r="L358" t="s">
        <v>1042</v>
      </c>
      <c r="M358" t="s">
        <v>3</v>
      </c>
      <c r="N358" s="25" t="str">
        <f>TEXT(tbl_Ledger[[#This Row],[Date]],"yyyy-mm")</f>
        <v>2025-07</v>
      </c>
      <c r="O358" s="25" t="str">
        <f>TEXT(tbl_Ledger[[#This Row],[Date]],"yyyy-mm") &amp; TRIM(tbl_Ledger[[#This Row],[Currency]])</f>
        <v>2025-07NGN</v>
      </c>
      <c r="P358" s="25">
        <f>_xlfn.XLOOKUP(tbl_Ledger[[#This Row],[Key]], tbl_FX[Key], tbl_FX[Rate_to_NGN])</f>
        <v>1</v>
      </c>
      <c r="Q358" s="37">
        <f>IF(tbl_Ledger[[#This Row],[Account_Type]]="Expense",-ABS(tbl_Ledger[[#This Row],[Amount]]*tbl_Ledger[[#This Row],[Rate_to_NGN]]),tbl_Ledger[[#This Row],[Amount]]*tbl_Ledger[[#This Row],[Rate_to_NGN]])</f>
        <v>47300</v>
      </c>
      <c r="R358" s="25" t="str">
        <f>_xlfn.XLOOKUP(tbl_Ledger[[#This Row],[Account_Code]], tbl_Accounts[Account_Code], tbl_Accounts[Type])</f>
        <v>Revenue</v>
      </c>
      <c r="S358" s="25" t="str">
        <f>_xlfn.XLOOKUP(tbl_Ledger[[#This Row],[Account_Code]], tbl_Accounts[Account_Code], tbl_Accounts[PL_Bucket])</f>
        <v>Revenue</v>
      </c>
      <c r="T358" s="25">
        <f t="shared" si="5"/>
        <v>47300</v>
      </c>
    </row>
    <row r="359" spans="1:20">
      <c r="A359" t="s">
        <v>1047</v>
      </c>
      <c r="B359" s="7">
        <v>45862</v>
      </c>
      <c r="C359" t="s">
        <v>93</v>
      </c>
      <c r="D359" t="s">
        <v>111</v>
      </c>
      <c r="E359" t="s">
        <v>122</v>
      </c>
      <c r="F359" s="12" t="s">
        <v>24</v>
      </c>
      <c r="G359" t="s">
        <v>25</v>
      </c>
      <c r="H359" t="s">
        <v>1048</v>
      </c>
      <c r="I359" t="s">
        <v>71</v>
      </c>
      <c r="J359" s="6">
        <v>45100</v>
      </c>
      <c r="K359" t="s">
        <v>3</v>
      </c>
      <c r="L359" t="s">
        <v>1049</v>
      </c>
      <c r="M359" t="s">
        <v>3</v>
      </c>
      <c r="N359" s="25" t="str">
        <f>TEXT(tbl_Ledger[[#This Row],[Date]],"yyyy-mm")</f>
        <v>2025-07</v>
      </c>
      <c r="O359" s="25" t="str">
        <f>TEXT(tbl_Ledger[[#This Row],[Date]],"yyyy-mm") &amp; TRIM(tbl_Ledger[[#This Row],[Currency]])</f>
        <v>2025-07NGN</v>
      </c>
      <c r="P359" s="25">
        <f>_xlfn.XLOOKUP(tbl_Ledger[[#This Row],[Key]], tbl_FX[Key], tbl_FX[Rate_to_NGN])</f>
        <v>1</v>
      </c>
      <c r="Q359" s="37">
        <f>IF(tbl_Ledger[[#This Row],[Account_Type]]="Expense",-ABS(tbl_Ledger[[#This Row],[Amount]]*tbl_Ledger[[#This Row],[Rate_to_NGN]]),tbl_Ledger[[#This Row],[Amount]]*tbl_Ledger[[#This Row],[Rate_to_NGN]])</f>
        <v>45100</v>
      </c>
      <c r="R359" s="25" t="str">
        <f>_xlfn.XLOOKUP(tbl_Ledger[[#This Row],[Account_Code]], tbl_Accounts[Account_Code], tbl_Accounts[Type])</f>
        <v>Revenue</v>
      </c>
      <c r="S359" s="25" t="str">
        <f>_xlfn.XLOOKUP(tbl_Ledger[[#This Row],[Account_Code]], tbl_Accounts[Account_Code], tbl_Accounts[PL_Bucket])</f>
        <v>Revenue</v>
      </c>
      <c r="T359" s="25">
        <f t="shared" si="5"/>
        <v>45100</v>
      </c>
    </row>
    <row r="360" spans="1:20">
      <c r="A360" t="s">
        <v>1050</v>
      </c>
      <c r="B360" s="7">
        <v>45862</v>
      </c>
      <c r="C360" t="s">
        <v>126</v>
      </c>
      <c r="D360" t="s">
        <v>88</v>
      </c>
      <c r="E360" t="s">
        <v>127</v>
      </c>
      <c r="F360" s="12" t="s">
        <v>29</v>
      </c>
      <c r="G360" t="s">
        <v>30</v>
      </c>
      <c r="H360" t="s">
        <v>1051</v>
      </c>
      <c r="I360" t="s">
        <v>72</v>
      </c>
      <c r="J360" s="6">
        <v>29.41</v>
      </c>
      <c r="K360" t="s">
        <v>129</v>
      </c>
      <c r="L360" t="s">
        <v>1052</v>
      </c>
      <c r="M360" t="s">
        <v>3</v>
      </c>
      <c r="N360" s="25" t="str">
        <f>TEXT(tbl_Ledger[[#This Row],[Date]],"yyyy-mm")</f>
        <v>2025-07</v>
      </c>
      <c r="O360" s="25" t="str">
        <f>TEXT(tbl_Ledger[[#This Row],[Date]],"yyyy-mm") &amp; TRIM(tbl_Ledger[[#This Row],[Currency]])</f>
        <v>2025-07USD</v>
      </c>
      <c r="P360" s="25">
        <f>_xlfn.XLOOKUP(tbl_Ledger[[#This Row],[Key]], tbl_FX[Key], tbl_FX[Rate_to_NGN])</f>
        <v>1530</v>
      </c>
      <c r="Q360" s="37">
        <f>IF(tbl_Ledger[[#This Row],[Account_Type]]="Expense",-ABS(tbl_Ledger[[#This Row],[Amount]]*tbl_Ledger[[#This Row],[Rate_to_NGN]]),tbl_Ledger[[#This Row],[Amount]]*tbl_Ledger[[#This Row],[Rate_to_NGN]])</f>
        <v>44997.3</v>
      </c>
      <c r="R360" s="25" t="str">
        <f>_xlfn.XLOOKUP(tbl_Ledger[[#This Row],[Account_Code]], tbl_Accounts[Account_Code], tbl_Accounts[Type])</f>
        <v>Revenue</v>
      </c>
      <c r="S360" s="25" t="str">
        <f>_xlfn.XLOOKUP(tbl_Ledger[[#This Row],[Account_Code]], tbl_Accounts[Account_Code], tbl_Accounts[PL_Bucket])</f>
        <v>Revenue</v>
      </c>
      <c r="T360" s="25">
        <f t="shared" si="5"/>
        <v>44997.3</v>
      </c>
    </row>
    <row r="361" spans="1:20">
      <c r="A361" t="s">
        <v>1053</v>
      </c>
      <c r="B361" s="7">
        <v>45862</v>
      </c>
      <c r="C361" t="s">
        <v>126</v>
      </c>
      <c r="D361" t="s">
        <v>88</v>
      </c>
      <c r="E361" t="s">
        <v>132</v>
      </c>
      <c r="F361" s="12" t="s">
        <v>29</v>
      </c>
      <c r="G361" t="s">
        <v>30</v>
      </c>
      <c r="H361" t="s">
        <v>1054</v>
      </c>
      <c r="I361" t="s">
        <v>72</v>
      </c>
      <c r="J361" s="6">
        <v>26.99</v>
      </c>
      <c r="K361" t="s">
        <v>134</v>
      </c>
      <c r="L361" t="s">
        <v>1052</v>
      </c>
      <c r="M361" t="s">
        <v>3</v>
      </c>
      <c r="N361" s="25" t="str">
        <f>TEXT(tbl_Ledger[[#This Row],[Date]],"yyyy-mm")</f>
        <v>2025-07</v>
      </c>
      <c r="O361" s="25" t="str">
        <f>TEXT(tbl_Ledger[[#This Row],[Date]],"yyyy-mm") &amp; TRIM(tbl_Ledger[[#This Row],[Currency]])</f>
        <v>2025-07USD</v>
      </c>
      <c r="P361" s="25">
        <f>_xlfn.XLOOKUP(tbl_Ledger[[#This Row],[Key]], tbl_FX[Key], tbl_FX[Rate_to_NGN])</f>
        <v>1530</v>
      </c>
      <c r="Q361" s="37">
        <f>IF(tbl_Ledger[[#This Row],[Account_Type]]="Expense",-ABS(tbl_Ledger[[#This Row],[Amount]]*tbl_Ledger[[#This Row],[Rate_to_NGN]]),tbl_Ledger[[#This Row],[Amount]]*tbl_Ledger[[#This Row],[Rate_to_NGN]])</f>
        <v>41294.699999999997</v>
      </c>
      <c r="R361" s="25" t="str">
        <f>_xlfn.XLOOKUP(tbl_Ledger[[#This Row],[Account_Code]], tbl_Accounts[Account_Code], tbl_Accounts[Type])</f>
        <v>Revenue</v>
      </c>
      <c r="S361" s="25" t="str">
        <f>_xlfn.XLOOKUP(tbl_Ledger[[#This Row],[Account_Code]], tbl_Accounts[Account_Code], tbl_Accounts[PL_Bucket])</f>
        <v>Revenue</v>
      </c>
      <c r="T361" s="25">
        <f t="shared" si="5"/>
        <v>41294.699999999997</v>
      </c>
    </row>
    <row r="362" spans="1:20">
      <c r="A362" t="s">
        <v>1055</v>
      </c>
      <c r="B362" s="7">
        <v>45862</v>
      </c>
      <c r="C362" t="s">
        <v>126</v>
      </c>
      <c r="D362" t="s">
        <v>88</v>
      </c>
      <c r="E362" t="s">
        <v>136</v>
      </c>
      <c r="F362" s="12" t="s">
        <v>29</v>
      </c>
      <c r="G362" t="s">
        <v>30</v>
      </c>
      <c r="H362" t="s">
        <v>1056</v>
      </c>
      <c r="I362" t="s">
        <v>71</v>
      </c>
      <c r="J362" s="6">
        <v>49200</v>
      </c>
      <c r="K362" t="s">
        <v>138</v>
      </c>
      <c r="L362" t="s">
        <v>1052</v>
      </c>
      <c r="M362" t="s">
        <v>3</v>
      </c>
      <c r="N362" s="25" t="str">
        <f>TEXT(tbl_Ledger[[#This Row],[Date]],"yyyy-mm")</f>
        <v>2025-07</v>
      </c>
      <c r="O362" s="25" t="str">
        <f>TEXT(tbl_Ledger[[#This Row],[Date]],"yyyy-mm") &amp; TRIM(tbl_Ledger[[#This Row],[Currency]])</f>
        <v>2025-07NGN</v>
      </c>
      <c r="P362" s="25">
        <f>_xlfn.XLOOKUP(tbl_Ledger[[#This Row],[Key]], tbl_FX[Key], tbl_FX[Rate_to_NGN])</f>
        <v>1</v>
      </c>
      <c r="Q362" s="37">
        <f>IF(tbl_Ledger[[#This Row],[Account_Type]]="Expense",-ABS(tbl_Ledger[[#This Row],[Amount]]*tbl_Ledger[[#This Row],[Rate_to_NGN]]),tbl_Ledger[[#This Row],[Amount]]*tbl_Ledger[[#This Row],[Rate_to_NGN]])</f>
        <v>49200</v>
      </c>
      <c r="R362" s="25" t="str">
        <f>_xlfn.XLOOKUP(tbl_Ledger[[#This Row],[Account_Code]], tbl_Accounts[Account_Code], tbl_Accounts[Type])</f>
        <v>Revenue</v>
      </c>
      <c r="S362" s="25" t="str">
        <f>_xlfn.XLOOKUP(tbl_Ledger[[#This Row],[Account_Code]], tbl_Accounts[Account_Code], tbl_Accounts[PL_Bucket])</f>
        <v>Revenue</v>
      </c>
      <c r="T362" s="25">
        <f t="shared" si="5"/>
        <v>49200</v>
      </c>
    </row>
    <row r="363" spans="1:20">
      <c r="A363" t="s">
        <v>1057</v>
      </c>
      <c r="B363" s="7">
        <v>45862</v>
      </c>
      <c r="C363" t="s">
        <v>126</v>
      </c>
      <c r="D363" t="s">
        <v>88</v>
      </c>
      <c r="E363" t="s">
        <v>140</v>
      </c>
      <c r="F363" s="12" t="s">
        <v>29</v>
      </c>
      <c r="G363" t="s">
        <v>30</v>
      </c>
      <c r="H363" t="s">
        <v>1058</v>
      </c>
      <c r="I363" t="s">
        <v>71</v>
      </c>
      <c r="J363" s="6">
        <v>45300</v>
      </c>
      <c r="K363" t="s">
        <v>3</v>
      </c>
      <c r="L363" t="s">
        <v>1059</v>
      </c>
      <c r="M363" t="s">
        <v>3</v>
      </c>
      <c r="N363" s="25" t="str">
        <f>TEXT(tbl_Ledger[[#This Row],[Date]],"yyyy-mm")</f>
        <v>2025-07</v>
      </c>
      <c r="O363" s="25" t="str">
        <f>TEXT(tbl_Ledger[[#This Row],[Date]],"yyyy-mm") &amp; TRIM(tbl_Ledger[[#This Row],[Currency]])</f>
        <v>2025-07NGN</v>
      </c>
      <c r="P363" s="25">
        <f>_xlfn.XLOOKUP(tbl_Ledger[[#This Row],[Key]], tbl_FX[Key], tbl_FX[Rate_to_NGN])</f>
        <v>1</v>
      </c>
      <c r="Q363" s="37">
        <f>IF(tbl_Ledger[[#This Row],[Account_Type]]="Expense",-ABS(tbl_Ledger[[#This Row],[Amount]]*tbl_Ledger[[#This Row],[Rate_to_NGN]]),tbl_Ledger[[#This Row],[Amount]]*tbl_Ledger[[#This Row],[Rate_to_NGN]])</f>
        <v>45300</v>
      </c>
      <c r="R363" s="25" t="str">
        <f>_xlfn.XLOOKUP(tbl_Ledger[[#This Row],[Account_Code]], tbl_Accounts[Account_Code], tbl_Accounts[Type])</f>
        <v>Revenue</v>
      </c>
      <c r="S363" s="25" t="str">
        <f>_xlfn.XLOOKUP(tbl_Ledger[[#This Row],[Account_Code]], tbl_Accounts[Account_Code], tbl_Accounts[PL_Bucket])</f>
        <v>Revenue</v>
      </c>
      <c r="T363" s="25">
        <f t="shared" si="5"/>
        <v>45300</v>
      </c>
    </row>
    <row r="364" spans="1:20">
      <c r="A364" t="s">
        <v>1060</v>
      </c>
      <c r="B364" s="7">
        <v>45862</v>
      </c>
      <c r="C364" t="s">
        <v>87</v>
      </c>
      <c r="D364" t="s">
        <v>94</v>
      </c>
      <c r="E364" t="s">
        <v>3</v>
      </c>
      <c r="F364" s="12" t="s">
        <v>33</v>
      </c>
      <c r="G364" t="s">
        <v>34</v>
      </c>
      <c r="H364" t="s">
        <v>315</v>
      </c>
      <c r="I364" t="s">
        <v>71</v>
      </c>
      <c r="J364" s="6">
        <v>-627000</v>
      </c>
      <c r="K364" t="s">
        <v>316</v>
      </c>
      <c r="L364" t="s">
        <v>1061</v>
      </c>
      <c r="M364" t="s">
        <v>3</v>
      </c>
      <c r="N364" s="25" t="str">
        <f>TEXT(tbl_Ledger[[#This Row],[Date]],"yyyy-mm")</f>
        <v>2025-07</v>
      </c>
      <c r="O364" s="25" t="str">
        <f>TEXT(tbl_Ledger[[#This Row],[Date]],"yyyy-mm") &amp; TRIM(tbl_Ledger[[#This Row],[Currency]])</f>
        <v>2025-07NGN</v>
      </c>
      <c r="P364" s="25">
        <f>_xlfn.XLOOKUP(tbl_Ledger[[#This Row],[Key]], tbl_FX[Key], tbl_FX[Rate_to_NGN])</f>
        <v>1</v>
      </c>
      <c r="Q364" s="37">
        <f>IF(tbl_Ledger[[#This Row],[Account_Type]]="Expense",-ABS(tbl_Ledger[[#This Row],[Amount]]*tbl_Ledger[[#This Row],[Rate_to_NGN]]),tbl_Ledger[[#This Row],[Amount]]*tbl_Ledger[[#This Row],[Rate_to_NGN]])</f>
        <v>-627000</v>
      </c>
      <c r="R364" s="25" t="str">
        <f>_xlfn.XLOOKUP(tbl_Ledger[[#This Row],[Account_Code]], tbl_Accounts[Account_Code], tbl_Accounts[Type])</f>
        <v>COGS</v>
      </c>
      <c r="S364" s="25" t="str">
        <f>_xlfn.XLOOKUP(tbl_Ledger[[#This Row],[Account_Code]], tbl_Accounts[Account_Code], tbl_Accounts[PL_Bucket])</f>
        <v>COGS</v>
      </c>
      <c r="T364" s="25">
        <f t="shared" si="5"/>
        <v>-627000</v>
      </c>
    </row>
    <row r="365" spans="1:20">
      <c r="A365" t="s">
        <v>1062</v>
      </c>
      <c r="B365" s="7">
        <v>45862</v>
      </c>
      <c r="C365" t="s">
        <v>87</v>
      </c>
      <c r="D365" t="s">
        <v>111</v>
      </c>
      <c r="E365" t="s">
        <v>3</v>
      </c>
      <c r="F365" s="12" t="s">
        <v>36</v>
      </c>
      <c r="G365" t="s">
        <v>37</v>
      </c>
      <c r="H365" t="s">
        <v>144</v>
      </c>
      <c r="I365" t="s">
        <v>71</v>
      </c>
      <c r="J365" s="6">
        <v>-2367000</v>
      </c>
      <c r="K365" t="s">
        <v>145</v>
      </c>
      <c r="L365" t="s">
        <v>1063</v>
      </c>
      <c r="M365" t="s">
        <v>3</v>
      </c>
      <c r="N365" s="25" t="str">
        <f>TEXT(tbl_Ledger[[#This Row],[Date]],"yyyy-mm")</f>
        <v>2025-07</v>
      </c>
      <c r="O365" s="25" t="str">
        <f>TEXT(tbl_Ledger[[#This Row],[Date]],"yyyy-mm") &amp; TRIM(tbl_Ledger[[#This Row],[Currency]])</f>
        <v>2025-07NGN</v>
      </c>
      <c r="P365" s="25">
        <f>_xlfn.XLOOKUP(tbl_Ledger[[#This Row],[Key]], tbl_FX[Key], tbl_FX[Rate_to_NGN])</f>
        <v>1</v>
      </c>
      <c r="Q365" s="37">
        <f>IF(tbl_Ledger[[#This Row],[Account_Type]]="Expense",-ABS(tbl_Ledger[[#This Row],[Amount]]*tbl_Ledger[[#This Row],[Rate_to_NGN]]),tbl_Ledger[[#This Row],[Amount]]*tbl_Ledger[[#This Row],[Rate_to_NGN]])</f>
        <v>-2367000</v>
      </c>
      <c r="R365" s="25" t="str">
        <f>_xlfn.XLOOKUP(tbl_Ledger[[#This Row],[Account_Code]], tbl_Accounts[Account_Code], tbl_Accounts[Type])</f>
        <v>COGS</v>
      </c>
      <c r="S365" s="25" t="str">
        <f>_xlfn.XLOOKUP(tbl_Ledger[[#This Row],[Account_Code]], tbl_Accounts[Account_Code], tbl_Accounts[PL_Bucket])</f>
        <v>COGS</v>
      </c>
      <c r="T365" s="25">
        <f t="shared" si="5"/>
        <v>-2367000</v>
      </c>
    </row>
    <row r="366" spans="1:20">
      <c r="A366" t="s">
        <v>1064</v>
      </c>
      <c r="B366" s="7">
        <v>45862</v>
      </c>
      <c r="C366" t="s">
        <v>87</v>
      </c>
      <c r="D366" t="s">
        <v>111</v>
      </c>
      <c r="E366" t="s">
        <v>3</v>
      </c>
      <c r="F366" s="12" t="s">
        <v>36</v>
      </c>
      <c r="G366" t="s">
        <v>37</v>
      </c>
      <c r="H366" t="s">
        <v>986</v>
      </c>
      <c r="I366" t="s">
        <v>71</v>
      </c>
      <c r="J366" s="6">
        <v>-926000</v>
      </c>
      <c r="K366" t="s">
        <v>987</v>
      </c>
      <c r="L366" t="s">
        <v>1065</v>
      </c>
      <c r="M366" t="s">
        <v>3</v>
      </c>
      <c r="N366" s="25" t="str">
        <f>TEXT(tbl_Ledger[[#This Row],[Date]],"yyyy-mm")</f>
        <v>2025-07</v>
      </c>
      <c r="O366" s="25" t="str">
        <f>TEXT(tbl_Ledger[[#This Row],[Date]],"yyyy-mm") &amp; TRIM(tbl_Ledger[[#This Row],[Currency]])</f>
        <v>2025-07NGN</v>
      </c>
      <c r="P366" s="25">
        <f>_xlfn.XLOOKUP(tbl_Ledger[[#This Row],[Key]], tbl_FX[Key], tbl_FX[Rate_to_NGN])</f>
        <v>1</v>
      </c>
      <c r="Q366" s="37">
        <f>IF(tbl_Ledger[[#This Row],[Account_Type]]="Expense",-ABS(tbl_Ledger[[#This Row],[Amount]]*tbl_Ledger[[#This Row],[Rate_to_NGN]]),tbl_Ledger[[#This Row],[Amount]]*tbl_Ledger[[#This Row],[Rate_to_NGN]])</f>
        <v>-926000</v>
      </c>
      <c r="R366" s="25" t="str">
        <f>_xlfn.XLOOKUP(tbl_Ledger[[#This Row],[Account_Code]], tbl_Accounts[Account_Code], tbl_Accounts[Type])</f>
        <v>COGS</v>
      </c>
      <c r="S366" s="25" t="str">
        <f>_xlfn.XLOOKUP(tbl_Ledger[[#This Row],[Account_Code]], tbl_Accounts[Account_Code], tbl_Accounts[PL_Bucket])</f>
        <v>COGS</v>
      </c>
      <c r="T366" s="25">
        <f t="shared" si="5"/>
        <v>-926000</v>
      </c>
    </row>
    <row r="367" spans="1:20">
      <c r="A367" t="s">
        <v>1066</v>
      </c>
      <c r="B367" s="7">
        <v>45862</v>
      </c>
      <c r="C367" t="s">
        <v>87</v>
      </c>
      <c r="D367" t="s">
        <v>88</v>
      </c>
      <c r="E367" t="s">
        <v>3</v>
      </c>
      <c r="F367" s="12" t="s">
        <v>40</v>
      </c>
      <c r="G367" t="s">
        <v>41</v>
      </c>
      <c r="H367" t="s">
        <v>148</v>
      </c>
      <c r="I367" t="s">
        <v>71</v>
      </c>
      <c r="J367" s="6">
        <v>-542000</v>
      </c>
      <c r="K367" t="s">
        <v>90</v>
      </c>
      <c r="L367" t="s">
        <v>1067</v>
      </c>
      <c r="M367" t="s">
        <v>3</v>
      </c>
      <c r="N367" s="25" t="str">
        <f>TEXT(tbl_Ledger[[#This Row],[Date]],"yyyy-mm")</f>
        <v>2025-07</v>
      </c>
      <c r="O367" s="25" t="str">
        <f>TEXT(tbl_Ledger[[#This Row],[Date]],"yyyy-mm") &amp; TRIM(tbl_Ledger[[#This Row],[Currency]])</f>
        <v>2025-07NGN</v>
      </c>
      <c r="P367" s="25">
        <f>_xlfn.XLOOKUP(tbl_Ledger[[#This Row],[Key]], tbl_FX[Key], tbl_FX[Rate_to_NGN])</f>
        <v>1</v>
      </c>
      <c r="Q367" s="37">
        <f>IF(tbl_Ledger[[#This Row],[Account_Type]]="Expense",-ABS(tbl_Ledger[[#This Row],[Amount]]*tbl_Ledger[[#This Row],[Rate_to_NGN]]),tbl_Ledger[[#This Row],[Amount]]*tbl_Ledger[[#This Row],[Rate_to_NGN]])</f>
        <v>-542000</v>
      </c>
      <c r="R367" s="25" t="str">
        <f>_xlfn.XLOOKUP(tbl_Ledger[[#This Row],[Account_Code]], tbl_Accounts[Account_Code], tbl_Accounts[Type])</f>
        <v>COGS</v>
      </c>
      <c r="S367" s="25" t="str">
        <f>_xlfn.XLOOKUP(tbl_Ledger[[#This Row],[Account_Code]], tbl_Accounts[Account_Code], tbl_Accounts[PL_Bucket])</f>
        <v>COGS</v>
      </c>
      <c r="T367" s="25">
        <f t="shared" si="5"/>
        <v>-542000</v>
      </c>
    </row>
    <row r="368" spans="1:20">
      <c r="A368" t="s">
        <v>1068</v>
      </c>
      <c r="B368" s="7">
        <v>45863</v>
      </c>
      <c r="C368" t="s">
        <v>93</v>
      </c>
      <c r="D368" t="s">
        <v>94</v>
      </c>
      <c r="E368" t="s">
        <v>95</v>
      </c>
      <c r="F368" s="12" t="s">
        <v>24</v>
      </c>
      <c r="G368" t="s">
        <v>25</v>
      </c>
      <c r="H368" t="s">
        <v>1069</v>
      </c>
      <c r="I368" t="s">
        <v>71</v>
      </c>
      <c r="J368" s="6">
        <v>28900</v>
      </c>
      <c r="K368" t="s">
        <v>3</v>
      </c>
      <c r="L368" t="s">
        <v>1070</v>
      </c>
      <c r="M368" t="s">
        <v>3</v>
      </c>
      <c r="N368" s="25" t="str">
        <f>TEXT(tbl_Ledger[[#This Row],[Date]],"yyyy-mm")</f>
        <v>2025-07</v>
      </c>
      <c r="O368" s="25" t="str">
        <f>TEXT(tbl_Ledger[[#This Row],[Date]],"yyyy-mm") &amp; TRIM(tbl_Ledger[[#This Row],[Currency]])</f>
        <v>2025-07NGN</v>
      </c>
      <c r="P368" s="25">
        <f>_xlfn.XLOOKUP(tbl_Ledger[[#This Row],[Key]], tbl_FX[Key], tbl_FX[Rate_to_NGN])</f>
        <v>1</v>
      </c>
      <c r="Q368" s="37">
        <f>IF(tbl_Ledger[[#This Row],[Account_Type]]="Expense",-ABS(tbl_Ledger[[#This Row],[Amount]]*tbl_Ledger[[#This Row],[Rate_to_NGN]]),tbl_Ledger[[#This Row],[Amount]]*tbl_Ledger[[#This Row],[Rate_to_NGN]])</f>
        <v>28900</v>
      </c>
      <c r="R368" s="25" t="str">
        <f>_xlfn.XLOOKUP(tbl_Ledger[[#This Row],[Account_Code]], tbl_Accounts[Account_Code], tbl_Accounts[Type])</f>
        <v>Revenue</v>
      </c>
      <c r="S368" s="25" t="str">
        <f>_xlfn.XLOOKUP(tbl_Ledger[[#This Row],[Account_Code]], tbl_Accounts[Account_Code], tbl_Accounts[PL_Bucket])</f>
        <v>Revenue</v>
      </c>
      <c r="T368" s="25">
        <f t="shared" si="5"/>
        <v>28900</v>
      </c>
    </row>
    <row r="369" spans="1:20">
      <c r="A369" t="s">
        <v>1071</v>
      </c>
      <c r="B369" s="7">
        <v>45863</v>
      </c>
      <c r="C369" t="s">
        <v>93</v>
      </c>
      <c r="D369" t="s">
        <v>94</v>
      </c>
      <c r="E369" t="s">
        <v>99</v>
      </c>
      <c r="F369" s="12" t="s">
        <v>24</v>
      </c>
      <c r="G369" t="s">
        <v>25</v>
      </c>
      <c r="H369" t="s">
        <v>1072</v>
      </c>
      <c r="I369" t="s">
        <v>71</v>
      </c>
      <c r="J369" s="6">
        <v>27000</v>
      </c>
      <c r="K369" t="s">
        <v>3</v>
      </c>
      <c r="L369" t="s">
        <v>1073</v>
      </c>
      <c r="M369" t="s">
        <v>3</v>
      </c>
      <c r="N369" s="25" t="str">
        <f>TEXT(tbl_Ledger[[#This Row],[Date]],"yyyy-mm")</f>
        <v>2025-07</v>
      </c>
      <c r="O369" s="25" t="str">
        <f>TEXT(tbl_Ledger[[#This Row],[Date]],"yyyy-mm") &amp; TRIM(tbl_Ledger[[#This Row],[Currency]])</f>
        <v>2025-07NGN</v>
      </c>
      <c r="P369" s="25">
        <f>_xlfn.XLOOKUP(tbl_Ledger[[#This Row],[Key]], tbl_FX[Key], tbl_FX[Rate_to_NGN])</f>
        <v>1</v>
      </c>
      <c r="Q369" s="37">
        <f>IF(tbl_Ledger[[#This Row],[Account_Type]]="Expense",-ABS(tbl_Ledger[[#This Row],[Amount]]*tbl_Ledger[[#This Row],[Rate_to_NGN]]),tbl_Ledger[[#This Row],[Amount]]*tbl_Ledger[[#This Row],[Rate_to_NGN]])</f>
        <v>27000</v>
      </c>
      <c r="R369" s="25" t="str">
        <f>_xlfn.XLOOKUP(tbl_Ledger[[#This Row],[Account_Code]], tbl_Accounts[Account_Code], tbl_Accounts[Type])</f>
        <v>Revenue</v>
      </c>
      <c r="S369" s="25" t="str">
        <f>_xlfn.XLOOKUP(tbl_Ledger[[#This Row],[Account_Code]], tbl_Accounts[Account_Code], tbl_Accounts[PL_Bucket])</f>
        <v>Revenue</v>
      </c>
      <c r="T369" s="25">
        <f t="shared" si="5"/>
        <v>27000</v>
      </c>
    </row>
    <row r="370" spans="1:20">
      <c r="A370" t="s">
        <v>1074</v>
      </c>
      <c r="B370" s="7">
        <v>45863</v>
      </c>
      <c r="C370" t="s">
        <v>93</v>
      </c>
      <c r="D370" t="s">
        <v>94</v>
      </c>
      <c r="E370" t="s">
        <v>103</v>
      </c>
      <c r="F370" s="12" t="s">
        <v>24</v>
      </c>
      <c r="G370" t="s">
        <v>25</v>
      </c>
      <c r="H370" t="s">
        <v>1075</v>
      </c>
      <c r="I370" t="s">
        <v>71</v>
      </c>
      <c r="J370" s="6">
        <v>30900</v>
      </c>
      <c r="K370" t="s">
        <v>3</v>
      </c>
      <c r="L370" t="s">
        <v>1076</v>
      </c>
      <c r="M370" t="s">
        <v>3</v>
      </c>
      <c r="N370" s="25" t="str">
        <f>TEXT(tbl_Ledger[[#This Row],[Date]],"yyyy-mm")</f>
        <v>2025-07</v>
      </c>
      <c r="O370" s="25" t="str">
        <f>TEXT(tbl_Ledger[[#This Row],[Date]],"yyyy-mm") &amp; TRIM(tbl_Ledger[[#This Row],[Currency]])</f>
        <v>2025-07NGN</v>
      </c>
      <c r="P370" s="25">
        <f>_xlfn.XLOOKUP(tbl_Ledger[[#This Row],[Key]], tbl_FX[Key], tbl_FX[Rate_to_NGN])</f>
        <v>1</v>
      </c>
      <c r="Q370" s="37">
        <f>IF(tbl_Ledger[[#This Row],[Account_Type]]="Expense",-ABS(tbl_Ledger[[#This Row],[Amount]]*tbl_Ledger[[#This Row],[Rate_to_NGN]]),tbl_Ledger[[#This Row],[Amount]]*tbl_Ledger[[#This Row],[Rate_to_NGN]])</f>
        <v>30900</v>
      </c>
      <c r="R370" s="25" t="str">
        <f>_xlfn.XLOOKUP(tbl_Ledger[[#This Row],[Account_Code]], tbl_Accounts[Account_Code], tbl_Accounts[Type])</f>
        <v>Revenue</v>
      </c>
      <c r="S370" s="25" t="str">
        <f>_xlfn.XLOOKUP(tbl_Ledger[[#This Row],[Account_Code]], tbl_Accounts[Account_Code], tbl_Accounts[PL_Bucket])</f>
        <v>Revenue</v>
      </c>
      <c r="T370" s="25">
        <f t="shared" si="5"/>
        <v>30900</v>
      </c>
    </row>
    <row r="371" spans="1:20">
      <c r="A371" t="s">
        <v>1077</v>
      </c>
      <c r="B371" s="7">
        <v>45863</v>
      </c>
      <c r="C371" t="s">
        <v>93</v>
      </c>
      <c r="D371" t="s">
        <v>94</v>
      </c>
      <c r="E371" t="s">
        <v>160</v>
      </c>
      <c r="F371" s="12" t="s">
        <v>24</v>
      </c>
      <c r="G371" t="s">
        <v>25</v>
      </c>
      <c r="H371" t="s">
        <v>1078</v>
      </c>
      <c r="I371" t="s">
        <v>71</v>
      </c>
      <c r="J371" s="6">
        <v>31300</v>
      </c>
      <c r="K371" t="s">
        <v>3</v>
      </c>
      <c r="L371" t="s">
        <v>1076</v>
      </c>
      <c r="M371" t="s">
        <v>3</v>
      </c>
      <c r="N371" s="25" t="str">
        <f>TEXT(tbl_Ledger[[#This Row],[Date]],"yyyy-mm")</f>
        <v>2025-07</v>
      </c>
      <c r="O371" s="25" t="str">
        <f>TEXT(tbl_Ledger[[#This Row],[Date]],"yyyy-mm") &amp; TRIM(tbl_Ledger[[#This Row],[Currency]])</f>
        <v>2025-07NGN</v>
      </c>
      <c r="P371" s="25">
        <f>_xlfn.XLOOKUP(tbl_Ledger[[#This Row],[Key]], tbl_FX[Key], tbl_FX[Rate_to_NGN])</f>
        <v>1</v>
      </c>
      <c r="Q371" s="37">
        <f>IF(tbl_Ledger[[#This Row],[Account_Type]]="Expense",-ABS(tbl_Ledger[[#This Row],[Amount]]*tbl_Ledger[[#This Row],[Rate_to_NGN]]),tbl_Ledger[[#This Row],[Amount]]*tbl_Ledger[[#This Row],[Rate_to_NGN]])</f>
        <v>31300</v>
      </c>
      <c r="R371" s="25" t="str">
        <f>_xlfn.XLOOKUP(tbl_Ledger[[#This Row],[Account_Code]], tbl_Accounts[Account_Code], tbl_Accounts[Type])</f>
        <v>Revenue</v>
      </c>
      <c r="S371" s="25" t="str">
        <f>_xlfn.XLOOKUP(tbl_Ledger[[#This Row],[Account_Code]], tbl_Accounts[Account_Code], tbl_Accounts[PL_Bucket])</f>
        <v>Revenue</v>
      </c>
      <c r="T371" s="25">
        <f t="shared" si="5"/>
        <v>31300</v>
      </c>
    </row>
    <row r="372" spans="1:20">
      <c r="A372" t="s">
        <v>1079</v>
      </c>
      <c r="B372" s="7">
        <v>45863</v>
      </c>
      <c r="C372" t="s">
        <v>93</v>
      </c>
      <c r="D372" t="s">
        <v>94</v>
      </c>
      <c r="E372" t="s">
        <v>107</v>
      </c>
      <c r="F372" s="12" t="s">
        <v>24</v>
      </c>
      <c r="G372" t="s">
        <v>25</v>
      </c>
      <c r="H372" t="s">
        <v>1080</v>
      </c>
      <c r="I372" t="s">
        <v>71</v>
      </c>
      <c r="J372" s="6">
        <v>30300</v>
      </c>
      <c r="K372" t="s">
        <v>3</v>
      </c>
      <c r="L372" t="s">
        <v>1081</v>
      </c>
      <c r="M372" t="s">
        <v>3</v>
      </c>
      <c r="N372" s="25" t="str">
        <f>TEXT(tbl_Ledger[[#This Row],[Date]],"yyyy-mm")</f>
        <v>2025-07</v>
      </c>
      <c r="O372" s="25" t="str">
        <f>TEXT(tbl_Ledger[[#This Row],[Date]],"yyyy-mm") &amp; TRIM(tbl_Ledger[[#This Row],[Currency]])</f>
        <v>2025-07NGN</v>
      </c>
      <c r="P372" s="25">
        <f>_xlfn.XLOOKUP(tbl_Ledger[[#This Row],[Key]], tbl_FX[Key], tbl_FX[Rate_to_NGN])</f>
        <v>1</v>
      </c>
      <c r="Q372" s="37">
        <f>IF(tbl_Ledger[[#This Row],[Account_Type]]="Expense",-ABS(tbl_Ledger[[#This Row],[Amount]]*tbl_Ledger[[#This Row],[Rate_to_NGN]]),tbl_Ledger[[#This Row],[Amount]]*tbl_Ledger[[#This Row],[Rate_to_NGN]])</f>
        <v>30300</v>
      </c>
      <c r="R372" s="25" t="str">
        <f>_xlfn.XLOOKUP(tbl_Ledger[[#This Row],[Account_Code]], tbl_Accounts[Account_Code], tbl_Accounts[Type])</f>
        <v>Revenue</v>
      </c>
      <c r="S372" s="25" t="str">
        <f>_xlfn.XLOOKUP(tbl_Ledger[[#This Row],[Account_Code]], tbl_Accounts[Account_Code], tbl_Accounts[PL_Bucket])</f>
        <v>Revenue</v>
      </c>
      <c r="T372" s="25">
        <f t="shared" si="5"/>
        <v>30300</v>
      </c>
    </row>
    <row r="373" spans="1:20">
      <c r="A373" t="s">
        <v>1082</v>
      </c>
      <c r="B373" s="7">
        <v>45863</v>
      </c>
      <c r="C373" t="s">
        <v>93</v>
      </c>
      <c r="D373" t="s">
        <v>111</v>
      </c>
      <c r="E373" t="s">
        <v>112</v>
      </c>
      <c r="F373" s="12" t="s">
        <v>24</v>
      </c>
      <c r="G373" t="s">
        <v>25</v>
      </c>
      <c r="H373" t="s">
        <v>1083</v>
      </c>
      <c r="I373" t="s">
        <v>71</v>
      </c>
      <c r="J373" s="6">
        <v>48100</v>
      </c>
      <c r="K373" t="s">
        <v>3</v>
      </c>
      <c r="L373" t="s">
        <v>1084</v>
      </c>
      <c r="M373" t="s">
        <v>3</v>
      </c>
      <c r="N373" s="25" t="str">
        <f>TEXT(tbl_Ledger[[#This Row],[Date]],"yyyy-mm")</f>
        <v>2025-07</v>
      </c>
      <c r="O373" s="25" t="str">
        <f>TEXT(tbl_Ledger[[#This Row],[Date]],"yyyy-mm") &amp; TRIM(tbl_Ledger[[#This Row],[Currency]])</f>
        <v>2025-07NGN</v>
      </c>
      <c r="P373" s="25">
        <f>_xlfn.XLOOKUP(tbl_Ledger[[#This Row],[Key]], tbl_FX[Key], tbl_FX[Rate_to_NGN])</f>
        <v>1</v>
      </c>
      <c r="Q373" s="37">
        <f>IF(tbl_Ledger[[#This Row],[Account_Type]]="Expense",-ABS(tbl_Ledger[[#This Row],[Amount]]*tbl_Ledger[[#This Row],[Rate_to_NGN]]),tbl_Ledger[[#This Row],[Amount]]*tbl_Ledger[[#This Row],[Rate_to_NGN]])</f>
        <v>48100</v>
      </c>
      <c r="R373" s="25" t="str">
        <f>_xlfn.XLOOKUP(tbl_Ledger[[#This Row],[Account_Code]], tbl_Accounts[Account_Code], tbl_Accounts[Type])</f>
        <v>Revenue</v>
      </c>
      <c r="S373" s="25" t="str">
        <f>_xlfn.XLOOKUP(tbl_Ledger[[#This Row],[Account_Code]], tbl_Accounts[Account_Code], tbl_Accounts[PL_Bucket])</f>
        <v>Revenue</v>
      </c>
      <c r="T373" s="25">
        <f t="shared" si="5"/>
        <v>48100</v>
      </c>
    </row>
    <row r="374" spans="1:20">
      <c r="A374" t="s">
        <v>1085</v>
      </c>
      <c r="B374" s="7">
        <v>45863</v>
      </c>
      <c r="C374" t="s">
        <v>93</v>
      </c>
      <c r="D374" t="s">
        <v>111</v>
      </c>
      <c r="E374" t="s">
        <v>116</v>
      </c>
      <c r="F374" s="12" t="s">
        <v>24</v>
      </c>
      <c r="G374" t="s">
        <v>25</v>
      </c>
      <c r="H374" t="s">
        <v>1086</v>
      </c>
      <c r="I374" t="s">
        <v>71</v>
      </c>
      <c r="J374" s="6">
        <v>48600</v>
      </c>
      <c r="K374" t="s">
        <v>3</v>
      </c>
      <c r="L374" t="s">
        <v>1084</v>
      </c>
      <c r="M374" t="s">
        <v>3</v>
      </c>
      <c r="N374" s="25" t="str">
        <f>TEXT(tbl_Ledger[[#This Row],[Date]],"yyyy-mm")</f>
        <v>2025-07</v>
      </c>
      <c r="O374" s="25" t="str">
        <f>TEXT(tbl_Ledger[[#This Row],[Date]],"yyyy-mm") &amp; TRIM(tbl_Ledger[[#This Row],[Currency]])</f>
        <v>2025-07NGN</v>
      </c>
      <c r="P374" s="25">
        <f>_xlfn.XLOOKUP(tbl_Ledger[[#This Row],[Key]], tbl_FX[Key], tbl_FX[Rate_to_NGN])</f>
        <v>1</v>
      </c>
      <c r="Q374" s="37">
        <f>IF(tbl_Ledger[[#This Row],[Account_Type]]="Expense",-ABS(tbl_Ledger[[#This Row],[Amount]]*tbl_Ledger[[#This Row],[Rate_to_NGN]]),tbl_Ledger[[#This Row],[Amount]]*tbl_Ledger[[#This Row],[Rate_to_NGN]])</f>
        <v>48600</v>
      </c>
      <c r="R374" s="25" t="str">
        <f>_xlfn.XLOOKUP(tbl_Ledger[[#This Row],[Account_Code]], tbl_Accounts[Account_Code], tbl_Accounts[Type])</f>
        <v>Revenue</v>
      </c>
      <c r="S374" s="25" t="str">
        <f>_xlfn.XLOOKUP(tbl_Ledger[[#This Row],[Account_Code]], tbl_Accounts[Account_Code], tbl_Accounts[PL_Bucket])</f>
        <v>Revenue</v>
      </c>
      <c r="T374" s="25">
        <f t="shared" si="5"/>
        <v>48600</v>
      </c>
    </row>
    <row r="375" spans="1:20">
      <c r="A375" t="s">
        <v>1087</v>
      </c>
      <c r="B375" s="7">
        <v>45863</v>
      </c>
      <c r="C375" t="s">
        <v>93</v>
      </c>
      <c r="D375" t="s">
        <v>111</v>
      </c>
      <c r="E375" t="s">
        <v>119</v>
      </c>
      <c r="F375" s="12" t="s">
        <v>24</v>
      </c>
      <c r="G375" t="s">
        <v>25</v>
      </c>
      <c r="H375" t="s">
        <v>1088</v>
      </c>
      <c r="I375" t="s">
        <v>71</v>
      </c>
      <c r="J375" s="6">
        <v>46600</v>
      </c>
      <c r="K375" t="s">
        <v>3</v>
      </c>
      <c r="L375" t="s">
        <v>1084</v>
      </c>
      <c r="M375" t="s">
        <v>3</v>
      </c>
      <c r="N375" s="25" t="str">
        <f>TEXT(tbl_Ledger[[#This Row],[Date]],"yyyy-mm")</f>
        <v>2025-07</v>
      </c>
      <c r="O375" s="25" t="str">
        <f>TEXT(tbl_Ledger[[#This Row],[Date]],"yyyy-mm") &amp; TRIM(tbl_Ledger[[#This Row],[Currency]])</f>
        <v>2025-07NGN</v>
      </c>
      <c r="P375" s="25">
        <f>_xlfn.XLOOKUP(tbl_Ledger[[#This Row],[Key]], tbl_FX[Key], tbl_FX[Rate_to_NGN])</f>
        <v>1</v>
      </c>
      <c r="Q375" s="37">
        <f>IF(tbl_Ledger[[#This Row],[Account_Type]]="Expense",-ABS(tbl_Ledger[[#This Row],[Amount]]*tbl_Ledger[[#This Row],[Rate_to_NGN]]),tbl_Ledger[[#This Row],[Amount]]*tbl_Ledger[[#This Row],[Rate_to_NGN]])</f>
        <v>46600</v>
      </c>
      <c r="R375" s="25" t="str">
        <f>_xlfn.XLOOKUP(tbl_Ledger[[#This Row],[Account_Code]], tbl_Accounts[Account_Code], tbl_Accounts[Type])</f>
        <v>Revenue</v>
      </c>
      <c r="S375" s="25" t="str">
        <f>_xlfn.XLOOKUP(tbl_Ledger[[#This Row],[Account_Code]], tbl_Accounts[Account_Code], tbl_Accounts[PL_Bucket])</f>
        <v>Revenue</v>
      </c>
      <c r="T375" s="25">
        <f t="shared" si="5"/>
        <v>46600</v>
      </c>
    </row>
    <row r="376" spans="1:20">
      <c r="A376" t="s">
        <v>1089</v>
      </c>
      <c r="B376" s="7">
        <v>45863</v>
      </c>
      <c r="C376" t="s">
        <v>93</v>
      </c>
      <c r="D376" t="s">
        <v>111</v>
      </c>
      <c r="E376" t="s">
        <v>170</v>
      </c>
      <c r="F376" s="12" t="s">
        <v>24</v>
      </c>
      <c r="G376" t="s">
        <v>25</v>
      </c>
      <c r="H376" t="s">
        <v>1090</v>
      </c>
      <c r="I376" t="s">
        <v>71</v>
      </c>
      <c r="J376" s="6">
        <v>45300</v>
      </c>
      <c r="K376" t="s">
        <v>3</v>
      </c>
      <c r="L376" t="s">
        <v>1084</v>
      </c>
      <c r="M376" t="s">
        <v>3</v>
      </c>
      <c r="N376" s="25" t="str">
        <f>TEXT(tbl_Ledger[[#This Row],[Date]],"yyyy-mm")</f>
        <v>2025-07</v>
      </c>
      <c r="O376" s="25" t="str">
        <f>TEXT(tbl_Ledger[[#This Row],[Date]],"yyyy-mm") &amp; TRIM(tbl_Ledger[[#This Row],[Currency]])</f>
        <v>2025-07NGN</v>
      </c>
      <c r="P376" s="25">
        <f>_xlfn.XLOOKUP(tbl_Ledger[[#This Row],[Key]], tbl_FX[Key], tbl_FX[Rate_to_NGN])</f>
        <v>1</v>
      </c>
      <c r="Q376" s="37">
        <f>IF(tbl_Ledger[[#This Row],[Account_Type]]="Expense",-ABS(tbl_Ledger[[#This Row],[Amount]]*tbl_Ledger[[#This Row],[Rate_to_NGN]]),tbl_Ledger[[#This Row],[Amount]]*tbl_Ledger[[#This Row],[Rate_to_NGN]])</f>
        <v>45300</v>
      </c>
      <c r="R376" s="25" t="str">
        <f>_xlfn.XLOOKUP(tbl_Ledger[[#This Row],[Account_Code]], tbl_Accounts[Account_Code], tbl_Accounts[Type])</f>
        <v>Revenue</v>
      </c>
      <c r="S376" s="25" t="str">
        <f>_xlfn.XLOOKUP(tbl_Ledger[[#This Row],[Account_Code]], tbl_Accounts[Account_Code], tbl_Accounts[PL_Bucket])</f>
        <v>Revenue</v>
      </c>
      <c r="T376" s="25">
        <f t="shared" si="5"/>
        <v>45300</v>
      </c>
    </row>
    <row r="377" spans="1:20">
      <c r="A377" t="s">
        <v>1091</v>
      </c>
      <c r="B377" s="7">
        <v>45863</v>
      </c>
      <c r="C377" t="s">
        <v>126</v>
      </c>
      <c r="D377" t="s">
        <v>88</v>
      </c>
      <c r="E377" t="s">
        <v>127</v>
      </c>
      <c r="F377" s="12" t="s">
        <v>29</v>
      </c>
      <c r="G377" t="s">
        <v>30</v>
      </c>
      <c r="H377" t="s">
        <v>1092</v>
      </c>
      <c r="I377" t="s">
        <v>71</v>
      </c>
      <c r="J377" s="6">
        <v>42600</v>
      </c>
      <c r="K377" t="s">
        <v>129</v>
      </c>
      <c r="L377" t="s">
        <v>1093</v>
      </c>
      <c r="M377" t="s">
        <v>3</v>
      </c>
      <c r="N377" s="25" t="str">
        <f>TEXT(tbl_Ledger[[#This Row],[Date]],"yyyy-mm")</f>
        <v>2025-07</v>
      </c>
      <c r="O377" s="25" t="str">
        <f>TEXT(tbl_Ledger[[#This Row],[Date]],"yyyy-mm") &amp; TRIM(tbl_Ledger[[#This Row],[Currency]])</f>
        <v>2025-07NGN</v>
      </c>
      <c r="P377" s="25">
        <f>_xlfn.XLOOKUP(tbl_Ledger[[#This Row],[Key]], tbl_FX[Key], tbl_FX[Rate_to_NGN])</f>
        <v>1</v>
      </c>
      <c r="Q377" s="37">
        <f>IF(tbl_Ledger[[#This Row],[Account_Type]]="Expense",-ABS(tbl_Ledger[[#This Row],[Amount]]*tbl_Ledger[[#This Row],[Rate_to_NGN]]),tbl_Ledger[[#This Row],[Amount]]*tbl_Ledger[[#This Row],[Rate_to_NGN]])</f>
        <v>42600</v>
      </c>
      <c r="R377" s="25" t="str">
        <f>_xlfn.XLOOKUP(tbl_Ledger[[#This Row],[Account_Code]], tbl_Accounts[Account_Code], tbl_Accounts[Type])</f>
        <v>Revenue</v>
      </c>
      <c r="S377" s="25" t="str">
        <f>_xlfn.XLOOKUP(tbl_Ledger[[#This Row],[Account_Code]], tbl_Accounts[Account_Code], tbl_Accounts[PL_Bucket])</f>
        <v>Revenue</v>
      </c>
      <c r="T377" s="25">
        <f t="shared" si="5"/>
        <v>42600</v>
      </c>
    </row>
    <row r="378" spans="1:20">
      <c r="A378" t="s">
        <v>1094</v>
      </c>
      <c r="B378" s="7">
        <v>45863</v>
      </c>
      <c r="C378" t="s">
        <v>126</v>
      </c>
      <c r="D378" t="s">
        <v>88</v>
      </c>
      <c r="E378" t="s">
        <v>132</v>
      </c>
      <c r="F378" s="12" t="s">
        <v>29</v>
      </c>
      <c r="G378" t="s">
        <v>30</v>
      </c>
      <c r="H378" t="s">
        <v>1095</v>
      </c>
      <c r="I378" t="s">
        <v>72</v>
      </c>
      <c r="J378" s="6">
        <v>28.89</v>
      </c>
      <c r="K378" t="s">
        <v>134</v>
      </c>
      <c r="L378" t="s">
        <v>1093</v>
      </c>
      <c r="M378" t="s">
        <v>3</v>
      </c>
      <c r="N378" s="25" t="str">
        <f>TEXT(tbl_Ledger[[#This Row],[Date]],"yyyy-mm")</f>
        <v>2025-07</v>
      </c>
      <c r="O378" s="25" t="str">
        <f>TEXT(tbl_Ledger[[#This Row],[Date]],"yyyy-mm") &amp; TRIM(tbl_Ledger[[#This Row],[Currency]])</f>
        <v>2025-07USD</v>
      </c>
      <c r="P378" s="25">
        <f>_xlfn.XLOOKUP(tbl_Ledger[[#This Row],[Key]], tbl_FX[Key], tbl_FX[Rate_to_NGN])</f>
        <v>1530</v>
      </c>
      <c r="Q378" s="37">
        <f>IF(tbl_Ledger[[#This Row],[Account_Type]]="Expense",-ABS(tbl_Ledger[[#This Row],[Amount]]*tbl_Ledger[[#This Row],[Rate_to_NGN]]),tbl_Ledger[[#This Row],[Amount]]*tbl_Ledger[[#This Row],[Rate_to_NGN]])</f>
        <v>44201.700000000004</v>
      </c>
      <c r="R378" s="25" t="str">
        <f>_xlfn.XLOOKUP(tbl_Ledger[[#This Row],[Account_Code]], tbl_Accounts[Account_Code], tbl_Accounts[Type])</f>
        <v>Revenue</v>
      </c>
      <c r="S378" s="25" t="str">
        <f>_xlfn.XLOOKUP(tbl_Ledger[[#This Row],[Account_Code]], tbl_Accounts[Account_Code], tbl_Accounts[PL_Bucket])</f>
        <v>Revenue</v>
      </c>
      <c r="T378" s="25">
        <f t="shared" si="5"/>
        <v>44201.700000000004</v>
      </c>
    </row>
    <row r="379" spans="1:20">
      <c r="A379" t="s">
        <v>1096</v>
      </c>
      <c r="B379" s="7">
        <v>45863</v>
      </c>
      <c r="C379" t="s">
        <v>126</v>
      </c>
      <c r="D379" t="s">
        <v>88</v>
      </c>
      <c r="E379" t="s">
        <v>136</v>
      </c>
      <c r="F379" s="12" t="s">
        <v>29</v>
      </c>
      <c r="G379" t="s">
        <v>30</v>
      </c>
      <c r="H379" t="s">
        <v>1097</v>
      </c>
      <c r="I379" t="s">
        <v>72</v>
      </c>
      <c r="J379" s="6">
        <v>27.06</v>
      </c>
      <c r="K379" t="s">
        <v>138</v>
      </c>
      <c r="L379" t="s">
        <v>1093</v>
      </c>
      <c r="M379" t="s">
        <v>3</v>
      </c>
      <c r="N379" s="25" t="str">
        <f>TEXT(tbl_Ledger[[#This Row],[Date]],"yyyy-mm")</f>
        <v>2025-07</v>
      </c>
      <c r="O379" s="25" t="str">
        <f>TEXT(tbl_Ledger[[#This Row],[Date]],"yyyy-mm") &amp; TRIM(tbl_Ledger[[#This Row],[Currency]])</f>
        <v>2025-07USD</v>
      </c>
      <c r="P379" s="25">
        <f>_xlfn.XLOOKUP(tbl_Ledger[[#This Row],[Key]], tbl_FX[Key], tbl_FX[Rate_to_NGN])</f>
        <v>1530</v>
      </c>
      <c r="Q379" s="37">
        <f>IF(tbl_Ledger[[#This Row],[Account_Type]]="Expense",-ABS(tbl_Ledger[[#This Row],[Amount]]*tbl_Ledger[[#This Row],[Rate_to_NGN]]),tbl_Ledger[[#This Row],[Amount]]*tbl_Ledger[[#This Row],[Rate_to_NGN]])</f>
        <v>41401.799999999996</v>
      </c>
      <c r="R379" s="25" t="str">
        <f>_xlfn.XLOOKUP(tbl_Ledger[[#This Row],[Account_Code]], tbl_Accounts[Account_Code], tbl_Accounts[Type])</f>
        <v>Revenue</v>
      </c>
      <c r="S379" s="25" t="str">
        <f>_xlfn.XLOOKUP(tbl_Ledger[[#This Row],[Account_Code]], tbl_Accounts[Account_Code], tbl_Accounts[PL_Bucket])</f>
        <v>Revenue</v>
      </c>
      <c r="T379" s="25">
        <f t="shared" si="5"/>
        <v>41401.799999999996</v>
      </c>
    </row>
    <row r="380" spans="1:20">
      <c r="A380" t="s">
        <v>1098</v>
      </c>
      <c r="B380" s="7">
        <v>45863</v>
      </c>
      <c r="C380" t="s">
        <v>126</v>
      </c>
      <c r="D380" t="s">
        <v>88</v>
      </c>
      <c r="E380" t="s">
        <v>140</v>
      </c>
      <c r="F380" s="12" t="s">
        <v>29</v>
      </c>
      <c r="G380" t="s">
        <v>30</v>
      </c>
      <c r="H380" t="s">
        <v>1099</v>
      </c>
      <c r="I380" t="s">
        <v>71</v>
      </c>
      <c r="J380" s="6">
        <v>48300</v>
      </c>
      <c r="K380" t="s">
        <v>3</v>
      </c>
      <c r="L380" t="s">
        <v>1100</v>
      </c>
      <c r="M380" t="s">
        <v>3</v>
      </c>
      <c r="N380" s="25" t="str">
        <f>TEXT(tbl_Ledger[[#This Row],[Date]],"yyyy-mm")</f>
        <v>2025-07</v>
      </c>
      <c r="O380" s="25" t="str">
        <f>TEXT(tbl_Ledger[[#This Row],[Date]],"yyyy-mm") &amp; TRIM(tbl_Ledger[[#This Row],[Currency]])</f>
        <v>2025-07NGN</v>
      </c>
      <c r="P380" s="25">
        <f>_xlfn.XLOOKUP(tbl_Ledger[[#This Row],[Key]], tbl_FX[Key], tbl_FX[Rate_to_NGN])</f>
        <v>1</v>
      </c>
      <c r="Q380" s="37">
        <f>IF(tbl_Ledger[[#This Row],[Account_Type]]="Expense",-ABS(tbl_Ledger[[#This Row],[Amount]]*tbl_Ledger[[#This Row],[Rate_to_NGN]]),tbl_Ledger[[#This Row],[Amount]]*tbl_Ledger[[#This Row],[Rate_to_NGN]])</f>
        <v>48300</v>
      </c>
      <c r="R380" s="25" t="str">
        <f>_xlfn.XLOOKUP(tbl_Ledger[[#This Row],[Account_Code]], tbl_Accounts[Account_Code], tbl_Accounts[Type])</f>
        <v>Revenue</v>
      </c>
      <c r="S380" s="25" t="str">
        <f>_xlfn.XLOOKUP(tbl_Ledger[[#This Row],[Account_Code]], tbl_Accounts[Account_Code], tbl_Accounts[PL_Bucket])</f>
        <v>Revenue</v>
      </c>
      <c r="T380" s="25">
        <f t="shared" si="5"/>
        <v>48300</v>
      </c>
    </row>
    <row r="381" spans="1:20">
      <c r="A381" t="s">
        <v>1101</v>
      </c>
      <c r="B381" s="7">
        <v>45863</v>
      </c>
      <c r="C381" t="s">
        <v>87</v>
      </c>
      <c r="D381" t="s">
        <v>94</v>
      </c>
      <c r="E381" t="s">
        <v>3</v>
      </c>
      <c r="F381" s="12" t="s">
        <v>33</v>
      </c>
      <c r="G381" t="s">
        <v>34</v>
      </c>
      <c r="H381" t="s">
        <v>315</v>
      </c>
      <c r="I381" t="s">
        <v>71</v>
      </c>
      <c r="J381" s="6">
        <v>-676000</v>
      </c>
      <c r="K381" t="s">
        <v>316</v>
      </c>
      <c r="L381" t="s">
        <v>1102</v>
      </c>
      <c r="M381" t="s">
        <v>3</v>
      </c>
      <c r="N381" s="25" t="str">
        <f>TEXT(tbl_Ledger[[#This Row],[Date]],"yyyy-mm")</f>
        <v>2025-07</v>
      </c>
      <c r="O381" s="25" t="str">
        <f>TEXT(tbl_Ledger[[#This Row],[Date]],"yyyy-mm") &amp; TRIM(tbl_Ledger[[#This Row],[Currency]])</f>
        <v>2025-07NGN</v>
      </c>
      <c r="P381" s="25">
        <f>_xlfn.XLOOKUP(tbl_Ledger[[#This Row],[Key]], tbl_FX[Key], tbl_FX[Rate_to_NGN])</f>
        <v>1</v>
      </c>
      <c r="Q381" s="37">
        <f>IF(tbl_Ledger[[#This Row],[Account_Type]]="Expense",-ABS(tbl_Ledger[[#This Row],[Amount]]*tbl_Ledger[[#This Row],[Rate_to_NGN]]),tbl_Ledger[[#This Row],[Amount]]*tbl_Ledger[[#This Row],[Rate_to_NGN]])</f>
        <v>-676000</v>
      </c>
      <c r="R381" s="25" t="str">
        <f>_xlfn.XLOOKUP(tbl_Ledger[[#This Row],[Account_Code]], tbl_Accounts[Account_Code], tbl_Accounts[Type])</f>
        <v>COGS</v>
      </c>
      <c r="S381" s="25" t="str">
        <f>_xlfn.XLOOKUP(tbl_Ledger[[#This Row],[Account_Code]], tbl_Accounts[Account_Code], tbl_Accounts[PL_Bucket])</f>
        <v>COGS</v>
      </c>
      <c r="T381" s="25">
        <f t="shared" si="5"/>
        <v>-676000</v>
      </c>
    </row>
    <row r="382" spans="1:20">
      <c r="A382" t="s">
        <v>1103</v>
      </c>
      <c r="B382" s="7">
        <v>45863</v>
      </c>
      <c r="C382" t="s">
        <v>87</v>
      </c>
      <c r="D382" t="s">
        <v>94</v>
      </c>
      <c r="E382" t="s">
        <v>3</v>
      </c>
      <c r="F382" s="12" t="s">
        <v>44</v>
      </c>
      <c r="G382" t="s">
        <v>45</v>
      </c>
      <c r="H382" t="s">
        <v>190</v>
      </c>
      <c r="I382" t="s">
        <v>71</v>
      </c>
      <c r="J382" s="6">
        <v>-150000</v>
      </c>
      <c r="K382" t="s">
        <v>191</v>
      </c>
      <c r="L382" t="s">
        <v>1104</v>
      </c>
      <c r="M382" t="s">
        <v>3</v>
      </c>
      <c r="N382" s="25" t="str">
        <f>TEXT(tbl_Ledger[[#This Row],[Date]],"yyyy-mm")</f>
        <v>2025-07</v>
      </c>
      <c r="O382" s="25" t="str">
        <f>TEXT(tbl_Ledger[[#This Row],[Date]],"yyyy-mm") &amp; TRIM(tbl_Ledger[[#This Row],[Currency]])</f>
        <v>2025-07NGN</v>
      </c>
      <c r="P382" s="25">
        <f>_xlfn.XLOOKUP(tbl_Ledger[[#This Row],[Key]], tbl_FX[Key], tbl_FX[Rate_to_NGN])</f>
        <v>1</v>
      </c>
      <c r="Q382" s="37">
        <f>IF(tbl_Ledger[[#This Row],[Account_Type]]="Expense",-ABS(tbl_Ledger[[#This Row],[Amount]]*tbl_Ledger[[#This Row],[Rate_to_NGN]]),tbl_Ledger[[#This Row],[Amount]]*tbl_Ledger[[#This Row],[Rate_to_NGN]])</f>
        <v>-150000</v>
      </c>
      <c r="R382" s="25" t="str">
        <f>_xlfn.XLOOKUP(tbl_Ledger[[#This Row],[Account_Code]], tbl_Accounts[Account_Code], tbl_Accounts[Type])</f>
        <v>COGS</v>
      </c>
      <c r="S382" s="25" t="str">
        <f>_xlfn.XLOOKUP(tbl_Ledger[[#This Row],[Account_Code]], tbl_Accounts[Account_Code], tbl_Accounts[PL_Bucket])</f>
        <v>COGS</v>
      </c>
      <c r="T382" s="25">
        <f t="shared" si="5"/>
        <v>-150000</v>
      </c>
    </row>
    <row r="383" spans="1:20">
      <c r="A383" t="s">
        <v>1105</v>
      </c>
      <c r="B383" s="7">
        <v>45863</v>
      </c>
      <c r="C383" t="s">
        <v>1106</v>
      </c>
      <c r="D383" t="s">
        <v>94</v>
      </c>
      <c r="E383" t="s">
        <v>3</v>
      </c>
      <c r="F383" s="12" t="s">
        <v>46</v>
      </c>
      <c r="G383" t="s">
        <v>47</v>
      </c>
      <c r="H383" t="s">
        <v>1107</v>
      </c>
      <c r="I383" t="s">
        <v>71</v>
      </c>
      <c r="J383" s="6">
        <v>-3228228</v>
      </c>
      <c r="K383" t="s">
        <v>1108</v>
      </c>
      <c r="L383" t="s">
        <v>1109</v>
      </c>
      <c r="M383" t="s">
        <v>3</v>
      </c>
      <c r="N383" s="25" t="str">
        <f>TEXT(tbl_Ledger[[#This Row],[Date]],"yyyy-mm")</f>
        <v>2025-07</v>
      </c>
      <c r="O383" s="25" t="str">
        <f>TEXT(tbl_Ledger[[#This Row],[Date]],"yyyy-mm") &amp; TRIM(tbl_Ledger[[#This Row],[Currency]])</f>
        <v>2025-07NGN</v>
      </c>
      <c r="P383" s="25">
        <f>_xlfn.XLOOKUP(tbl_Ledger[[#This Row],[Key]], tbl_FX[Key], tbl_FX[Rate_to_NGN])</f>
        <v>1</v>
      </c>
      <c r="Q383" s="37">
        <f>IF(tbl_Ledger[[#This Row],[Account_Type]]="Expense",-ABS(tbl_Ledger[[#This Row],[Amount]]*tbl_Ledger[[#This Row],[Rate_to_NGN]]),tbl_Ledger[[#This Row],[Amount]]*tbl_Ledger[[#This Row],[Rate_to_NGN]])</f>
        <v>-3228228</v>
      </c>
      <c r="R383" s="25" t="str">
        <f>_xlfn.XLOOKUP(tbl_Ledger[[#This Row],[Account_Code]], tbl_Accounts[Account_Code], tbl_Accounts[Type])</f>
        <v>Opex</v>
      </c>
      <c r="S383" s="25" t="str">
        <f>_xlfn.XLOOKUP(tbl_Ledger[[#This Row],[Account_Code]], tbl_Accounts[Account_Code], tbl_Accounts[PL_Bucket])</f>
        <v>Opex</v>
      </c>
      <c r="T383" s="25">
        <f t="shared" si="5"/>
        <v>-3228228</v>
      </c>
    </row>
    <row r="384" spans="1:20">
      <c r="A384" t="s">
        <v>1110</v>
      </c>
      <c r="B384" s="7">
        <v>45863</v>
      </c>
      <c r="C384" t="s">
        <v>1106</v>
      </c>
      <c r="D384" t="s">
        <v>111</v>
      </c>
      <c r="E384" t="s">
        <v>3</v>
      </c>
      <c r="F384" s="12" t="s">
        <v>46</v>
      </c>
      <c r="G384" t="s">
        <v>47</v>
      </c>
      <c r="H384" t="s">
        <v>1107</v>
      </c>
      <c r="I384" t="s">
        <v>71</v>
      </c>
      <c r="J384" s="6">
        <v>-4136168</v>
      </c>
      <c r="K384" t="s">
        <v>1108</v>
      </c>
      <c r="L384" t="s">
        <v>1109</v>
      </c>
      <c r="M384" t="s">
        <v>3</v>
      </c>
      <c r="N384" s="25" t="str">
        <f>TEXT(tbl_Ledger[[#This Row],[Date]],"yyyy-mm")</f>
        <v>2025-07</v>
      </c>
      <c r="O384" s="25" t="str">
        <f>TEXT(tbl_Ledger[[#This Row],[Date]],"yyyy-mm") &amp; TRIM(tbl_Ledger[[#This Row],[Currency]])</f>
        <v>2025-07NGN</v>
      </c>
      <c r="P384" s="25">
        <f>_xlfn.XLOOKUP(tbl_Ledger[[#This Row],[Key]], tbl_FX[Key], tbl_FX[Rate_to_NGN])</f>
        <v>1</v>
      </c>
      <c r="Q384" s="37">
        <f>IF(tbl_Ledger[[#This Row],[Account_Type]]="Expense",-ABS(tbl_Ledger[[#This Row],[Amount]]*tbl_Ledger[[#This Row],[Rate_to_NGN]]),tbl_Ledger[[#This Row],[Amount]]*tbl_Ledger[[#This Row],[Rate_to_NGN]])</f>
        <v>-4136168</v>
      </c>
      <c r="R384" s="25" t="str">
        <f>_xlfn.XLOOKUP(tbl_Ledger[[#This Row],[Account_Code]], tbl_Accounts[Account_Code], tbl_Accounts[Type])</f>
        <v>Opex</v>
      </c>
      <c r="S384" s="25" t="str">
        <f>_xlfn.XLOOKUP(tbl_Ledger[[#This Row],[Account_Code]], tbl_Accounts[Account_Code], tbl_Accounts[PL_Bucket])</f>
        <v>Opex</v>
      </c>
      <c r="T384" s="25">
        <f t="shared" si="5"/>
        <v>-4136168</v>
      </c>
    </row>
    <row r="385" spans="1:20">
      <c r="A385" t="s">
        <v>1111</v>
      </c>
      <c r="B385" s="7">
        <v>45863</v>
      </c>
      <c r="C385" t="s">
        <v>1106</v>
      </c>
      <c r="D385" t="s">
        <v>88</v>
      </c>
      <c r="E385" t="s">
        <v>3</v>
      </c>
      <c r="F385" s="12" t="s">
        <v>46</v>
      </c>
      <c r="G385" t="s">
        <v>47</v>
      </c>
      <c r="H385" t="s">
        <v>1107</v>
      </c>
      <c r="I385" t="s">
        <v>71</v>
      </c>
      <c r="J385" s="6">
        <v>-2723818</v>
      </c>
      <c r="K385" t="s">
        <v>1108</v>
      </c>
      <c r="L385" t="s">
        <v>1109</v>
      </c>
      <c r="M385" t="s">
        <v>3</v>
      </c>
      <c r="N385" s="25" t="str">
        <f>TEXT(tbl_Ledger[[#This Row],[Date]],"yyyy-mm")</f>
        <v>2025-07</v>
      </c>
      <c r="O385" s="25" t="str">
        <f>TEXT(tbl_Ledger[[#This Row],[Date]],"yyyy-mm") &amp; TRIM(tbl_Ledger[[#This Row],[Currency]])</f>
        <v>2025-07NGN</v>
      </c>
      <c r="P385" s="25">
        <f>_xlfn.XLOOKUP(tbl_Ledger[[#This Row],[Key]], tbl_FX[Key], tbl_FX[Rate_to_NGN])</f>
        <v>1</v>
      </c>
      <c r="Q385" s="37">
        <f>IF(tbl_Ledger[[#This Row],[Account_Type]]="Expense",-ABS(tbl_Ledger[[#This Row],[Amount]]*tbl_Ledger[[#This Row],[Rate_to_NGN]]),tbl_Ledger[[#This Row],[Amount]]*tbl_Ledger[[#This Row],[Rate_to_NGN]])</f>
        <v>-2723818</v>
      </c>
      <c r="R385" s="25" t="str">
        <f>_xlfn.XLOOKUP(tbl_Ledger[[#This Row],[Account_Code]], tbl_Accounts[Account_Code], tbl_Accounts[Type])</f>
        <v>Opex</v>
      </c>
      <c r="S385" s="25" t="str">
        <f>_xlfn.XLOOKUP(tbl_Ledger[[#This Row],[Account_Code]], tbl_Accounts[Account_Code], tbl_Accounts[PL_Bucket])</f>
        <v>Opex</v>
      </c>
      <c r="T385" s="25">
        <f t="shared" si="5"/>
        <v>-2723818</v>
      </c>
    </row>
    <row r="386" spans="1:20">
      <c r="A386" t="s">
        <v>1112</v>
      </c>
      <c r="B386" s="7">
        <v>45864</v>
      </c>
      <c r="C386" t="s">
        <v>93</v>
      </c>
      <c r="D386" t="s">
        <v>94</v>
      </c>
      <c r="E386" t="s">
        <v>95</v>
      </c>
      <c r="F386" s="12" t="s">
        <v>24</v>
      </c>
      <c r="G386" t="s">
        <v>25</v>
      </c>
      <c r="H386" t="s">
        <v>1113</v>
      </c>
      <c r="I386" t="s">
        <v>71</v>
      </c>
      <c r="J386" s="6">
        <v>38700</v>
      </c>
      <c r="K386" t="s">
        <v>3</v>
      </c>
      <c r="L386" t="s">
        <v>1114</v>
      </c>
      <c r="M386" t="s">
        <v>3</v>
      </c>
      <c r="N386" s="25" t="str">
        <f>TEXT(tbl_Ledger[[#This Row],[Date]],"yyyy-mm")</f>
        <v>2025-07</v>
      </c>
      <c r="O386" s="25" t="str">
        <f>TEXT(tbl_Ledger[[#This Row],[Date]],"yyyy-mm") &amp; TRIM(tbl_Ledger[[#This Row],[Currency]])</f>
        <v>2025-07NGN</v>
      </c>
      <c r="P386" s="25">
        <f>_xlfn.XLOOKUP(tbl_Ledger[[#This Row],[Key]], tbl_FX[Key], tbl_FX[Rate_to_NGN])</f>
        <v>1</v>
      </c>
      <c r="Q386" s="37">
        <f>IF(tbl_Ledger[[#This Row],[Account_Type]]="Expense",-ABS(tbl_Ledger[[#This Row],[Amount]]*tbl_Ledger[[#This Row],[Rate_to_NGN]]),tbl_Ledger[[#This Row],[Amount]]*tbl_Ledger[[#This Row],[Rate_to_NGN]])</f>
        <v>38700</v>
      </c>
      <c r="R386" s="25" t="str">
        <f>_xlfn.XLOOKUP(tbl_Ledger[[#This Row],[Account_Code]], tbl_Accounts[Account_Code], tbl_Accounts[Type])</f>
        <v>Revenue</v>
      </c>
      <c r="S386" s="25" t="str">
        <f>_xlfn.XLOOKUP(tbl_Ledger[[#This Row],[Account_Code]], tbl_Accounts[Account_Code], tbl_Accounts[PL_Bucket])</f>
        <v>Revenue</v>
      </c>
      <c r="T386" s="25">
        <f t="shared" ref="T386:T449" si="6">IF(AND(S386="Revenue",F386&lt;&gt;4900),ABS(Q386),-ABS(Q386))</f>
        <v>38700</v>
      </c>
    </row>
    <row r="387" spans="1:20">
      <c r="A387" t="s">
        <v>1115</v>
      </c>
      <c r="B387" s="7">
        <v>45864</v>
      </c>
      <c r="C387" t="s">
        <v>93</v>
      </c>
      <c r="D387" t="s">
        <v>94</v>
      </c>
      <c r="E387" t="s">
        <v>99</v>
      </c>
      <c r="F387" s="12" t="s">
        <v>24</v>
      </c>
      <c r="G387" t="s">
        <v>25</v>
      </c>
      <c r="H387" t="s">
        <v>1116</v>
      </c>
      <c r="I387" t="s">
        <v>71</v>
      </c>
      <c r="J387" s="6">
        <v>36100</v>
      </c>
      <c r="K387" t="s">
        <v>3</v>
      </c>
      <c r="L387" t="s">
        <v>1117</v>
      </c>
      <c r="M387" t="s">
        <v>3</v>
      </c>
      <c r="N387" s="25" t="str">
        <f>TEXT(tbl_Ledger[[#This Row],[Date]],"yyyy-mm")</f>
        <v>2025-07</v>
      </c>
      <c r="O387" s="25" t="str">
        <f>TEXT(tbl_Ledger[[#This Row],[Date]],"yyyy-mm") &amp; TRIM(tbl_Ledger[[#This Row],[Currency]])</f>
        <v>2025-07NGN</v>
      </c>
      <c r="P387" s="25">
        <f>_xlfn.XLOOKUP(tbl_Ledger[[#This Row],[Key]], tbl_FX[Key], tbl_FX[Rate_to_NGN])</f>
        <v>1</v>
      </c>
      <c r="Q387" s="37">
        <f>IF(tbl_Ledger[[#This Row],[Account_Type]]="Expense",-ABS(tbl_Ledger[[#This Row],[Amount]]*tbl_Ledger[[#This Row],[Rate_to_NGN]]),tbl_Ledger[[#This Row],[Amount]]*tbl_Ledger[[#This Row],[Rate_to_NGN]])</f>
        <v>36100</v>
      </c>
      <c r="R387" s="25" t="str">
        <f>_xlfn.XLOOKUP(tbl_Ledger[[#This Row],[Account_Code]], tbl_Accounts[Account_Code], tbl_Accounts[Type])</f>
        <v>Revenue</v>
      </c>
      <c r="S387" s="25" t="str">
        <f>_xlfn.XLOOKUP(tbl_Ledger[[#This Row],[Account_Code]], tbl_Accounts[Account_Code], tbl_Accounts[PL_Bucket])</f>
        <v>Revenue</v>
      </c>
      <c r="T387" s="25">
        <f t="shared" si="6"/>
        <v>36100</v>
      </c>
    </row>
    <row r="388" spans="1:20">
      <c r="A388" t="s">
        <v>1118</v>
      </c>
      <c r="B388" s="7">
        <v>45864</v>
      </c>
      <c r="C388" t="s">
        <v>93</v>
      </c>
      <c r="D388" t="s">
        <v>94</v>
      </c>
      <c r="E388" t="s">
        <v>103</v>
      </c>
      <c r="F388" s="12" t="s">
        <v>24</v>
      </c>
      <c r="G388" t="s">
        <v>25</v>
      </c>
      <c r="H388" t="s">
        <v>1119</v>
      </c>
      <c r="I388" t="s">
        <v>71</v>
      </c>
      <c r="J388" s="6">
        <v>34700</v>
      </c>
      <c r="K388" t="s">
        <v>3</v>
      </c>
      <c r="L388" t="s">
        <v>1120</v>
      </c>
      <c r="M388" t="s">
        <v>3</v>
      </c>
      <c r="N388" s="25" t="str">
        <f>TEXT(tbl_Ledger[[#This Row],[Date]],"yyyy-mm")</f>
        <v>2025-07</v>
      </c>
      <c r="O388" s="25" t="str">
        <f>TEXT(tbl_Ledger[[#This Row],[Date]],"yyyy-mm") &amp; TRIM(tbl_Ledger[[#This Row],[Currency]])</f>
        <v>2025-07NGN</v>
      </c>
      <c r="P388" s="25">
        <f>_xlfn.XLOOKUP(tbl_Ledger[[#This Row],[Key]], tbl_FX[Key], tbl_FX[Rate_to_NGN])</f>
        <v>1</v>
      </c>
      <c r="Q388" s="37">
        <f>IF(tbl_Ledger[[#This Row],[Account_Type]]="Expense",-ABS(tbl_Ledger[[#This Row],[Amount]]*tbl_Ledger[[#This Row],[Rate_to_NGN]]),tbl_Ledger[[#This Row],[Amount]]*tbl_Ledger[[#This Row],[Rate_to_NGN]])</f>
        <v>34700</v>
      </c>
      <c r="R388" s="25" t="str">
        <f>_xlfn.XLOOKUP(tbl_Ledger[[#This Row],[Account_Code]], tbl_Accounts[Account_Code], tbl_Accounts[Type])</f>
        <v>Revenue</v>
      </c>
      <c r="S388" s="25" t="str">
        <f>_xlfn.XLOOKUP(tbl_Ledger[[#This Row],[Account_Code]], tbl_Accounts[Account_Code], tbl_Accounts[PL_Bucket])</f>
        <v>Revenue</v>
      </c>
      <c r="T388" s="25">
        <f t="shared" si="6"/>
        <v>34700</v>
      </c>
    </row>
    <row r="389" spans="1:20">
      <c r="A389" t="s">
        <v>1121</v>
      </c>
      <c r="B389" s="7">
        <v>45864</v>
      </c>
      <c r="C389" t="s">
        <v>93</v>
      </c>
      <c r="D389" t="s">
        <v>94</v>
      </c>
      <c r="E389" t="s">
        <v>160</v>
      </c>
      <c r="F389" s="12" t="s">
        <v>24</v>
      </c>
      <c r="G389" t="s">
        <v>25</v>
      </c>
      <c r="H389" t="s">
        <v>1122</v>
      </c>
      <c r="I389" t="s">
        <v>71</v>
      </c>
      <c r="J389" s="6">
        <v>36100</v>
      </c>
      <c r="K389" t="s">
        <v>3</v>
      </c>
      <c r="L389" t="s">
        <v>1120</v>
      </c>
      <c r="M389" t="s">
        <v>3</v>
      </c>
      <c r="N389" s="25" t="str">
        <f>TEXT(tbl_Ledger[[#This Row],[Date]],"yyyy-mm")</f>
        <v>2025-07</v>
      </c>
      <c r="O389" s="25" t="str">
        <f>TEXT(tbl_Ledger[[#This Row],[Date]],"yyyy-mm") &amp; TRIM(tbl_Ledger[[#This Row],[Currency]])</f>
        <v>2025-07NGN</v>
      </c>
      <c r="P389" s="25">
        <f>_xlfn.XLOOKUP(tbl_Ledger[[#This Row],[Key]], tbl_FX[Key], tbl_FX[Rate_to_NGN])</f>
        <v>1</v>
      </c>
      <c r="Q389" s="37">
        <f>IF(tbl_Ledger[[#This Row],[Account_Type]]="Expense",-ABS(tbl_Ledger[[#This Row],[Amount]]*tbl_Ledger[[#This Row],[Rate_to_NGN]]),tbl_Ledger[[#This Row],[Amount]]*tbl_Ledger[[#This Row],[Rate_to_NGN]])</f>
        <v>36100</v>
      </c>
      <c r="R389" s="25" t="str">
        <f>_xlfn.XLOOKUP(tbl_Ledger[[#This Row],[Account_Code]], tbl_Accounts[Account_Code], tbl_Accounts[Type])</f>
        <v>Revenue</v>
      </c>
      <c r="S389" s="25" t="str">
        <f>_xlfn.XLOOKUP(tbl_Ledger[[#This Row],[Account_Code]], tbl_Accounts[Account_Code], tbl_Accounts[PL_Bucket])</f>
        <v>Revenue</v>
      </c>
      <c r="T389" s="25">
        <f t="shared" si="6"/>
        <v>36100</v>
      </c>
    </row>
    <row r="390" spans="1:20">
      <c r="A390" t="s">
        <v>1123</v>
      </c>
      <c r="B390" s="7">
        <v>45864</v>
      </c>
      <c r="C390" t="s">
        <v>93</v>
      </c>
      <c r="D390" t="s">
        <v>94</v>
      </c>
      <c r="E390" t="s">
        <v>107</v>
      </c>
      <c r="F390" s="12" t="s">
        <v>24</v>
      </c>
      <c r="G390" t="s">
        <v>25</v>
      </c>
      <c r="H390" t="s">
        <v>1124</v>
      </c>
      <c r="I390" t="s">
        <v>71</v>
      </c>
      <c r="J390" s="6">
        <v>35900</v>
      </c>
      <c r="K390" t="s">
        <v>3</v>
      </c>
      <c r="L390" t="s">
        <v>1125</v>
      </c>
      <c r="M390" t="s">
        <v>3</v>
      </c>
      <c r="N390" s="25" t="str">
        <f>TEXT(tbl_Ledger[[#This Row],[Date]],"yyyy-mm")</f>
        <v>2025-07</v>
      </c>
      <c r="O390" s="25" t="str">
        <f>TEXT(tbl_Ledger[[#This Row],[Date]],"yyyy-mm") &amp; TRIM(tbl_Ledger[[#This Row],[Currency]])</f>
        <v>2025-07NGN</v>
      </c>
      <c r="P390" s="25">
        <f>_xlfn.XLOOKUP(tbl_Ledger[[#This Row],[Key]], tbl_FX[Key], tbl_FX[Rate_to_NGN])</f>
        <v>1</v>
      </c>
      <c r="Q390" s="37">
        <f>IF(tbl_Ledger[[#This Row],[Account_Type]]="Expense",-ABS(tbl_Ledger[[#This Row],[Amount]]*tbl_Ledger[[#This Row],[Rate_to_NGN]]),tbl_Ledger[[#This Row],[Amount]]*tbl_Ledger[[#This Row],[Rate_to_NGN]])</f>
        <v>35900</v>
      </c>
      <c r="R390" s="25" t="str">
        <f>_xlfn.XLOOKUP(tbl_Ledger[[#This Row],[Account_Code]], tbl_Accounts[Account_Code], tbl_Accounts[Type])</f>
        <v>Revenue</v>
      </c>
      <c r="S390" s="25" t="str">
        <f>_xlfn.XLOOKUP(tbl_Ledger[[#This Row],[Account_Code]], tbl_Accounts[Account_Code], tbl_Accounts[PL_Bucket])</f>
        <v>Revenue</v>
      </c>
      <c r="T390" s="25">
        <f t="shared" si="6"/>
        <v>35900</v>
      </c>
    </row>
    <row r="391" spans="1:20">
      <c r="A391" t="s">
        <v>1126</v>
      </c>
      <c r="B391" s="7">
        <v>45864</v>
      </c>
      <c r="C391" t="s">
        <v>93</v>
      </c>
      <c r="D391" t="s">
        <v>111</v>
      </c>
      <c r="E391" t="s">
        <v>112</v>
      </c>
      <c r="F391" s="12" t="s">
        <v>24</v>
      </c>
      <c r="G391" t="s">
        <v>25</v>
      </c>
      <c r="H391" t="s">
        <v>1127</v>
      </c>
      <c r="I391" t="s">
        <v>71</v>
      </c>
      <c r="J391" s="6">
        <v>56600</v>
      </c>
      <c r="K391" t="s">
        <v>3</v>
      </c>
      <c r="L391" t="s">
        <v>1128</v>
      </c>
      <c r="M391" t="s">
        <v>3</v>
      </c>
      <c r="N391" s="25" t="str">
        <f>TEXT(tbl_Ledger[[#This Row],[Date]],"yyyy-mm")</f>
        <v>2025-07</v>
      </c>
      <c r="O391" s="25" t="str">
        <f>TEXT(tbl_Ledger[[#This Row],[Date]],"yyyy-mm") &amp; TRIM(tbl_Ledger[[#This Row],[Currency]])</f>
        <v>2025-07NGN</v>
      </c>
      <c r="P391" s="25">
        <f>_xlfn.XLOOKUP(tbl_Ledger[[#This Row],[Key]], tbl_FX[Key], tbl_FX[Rate_to_NGN])</f>
        <v>1</v>
      </c>
      <c r="Q391" s="37">
        <f>IF(tbl_Ledger[[#This Row],[Account_Type]]="Expense",-ABS(tbl_Ledger[[#This Row],[Amount]]*tbl_Ledger[[#This Row],[Rate_to_NGN]]),tbl_Ledger[[#This Row],[Amount]]*tbl_Ledger[[#This Row],[Rate_to_NGN]])</f>
        <v>56600</v>
      </c>
      <c r="R391" s="25" t="str">
        <f>_xlfn.XLOOKUP(tbl_Ledger[[#This Row],[Account_Code]], tbl_Accounts[Account_Code], tbl_Accounts[Type])</f>
        <v>Revenue</v>
      </c>
      <c r="S391" s="25" t="str">
        <f>_xlfn.XLOOKUP(tbl_Ledger[[#This Row],[Account_Code]], tbl_Accounts[Account_Code], tbl_Accounts[PL_Bucket])</f>
        <v>Revenue</v>
      </c>
      <c r="T391" s="25">
        <f t="shared" si="6"/>
        <v>56600</v>
      </c>
    </row>
    <row r="392" spans="1:20">
      <c r="A392" t="s">
        <v>1129</v>
      </c>
      <c r="B392" s="7">
        <v>45864</v>
      </c>
      <c r="C392" t="s">
        <v>93</v>
      </c>
      <c r="D392" t="s">
        <v>111</v>
      </c>
      <c r="E392" t="s">
        <v>116</v>
      </c>
      <c r="F392" s="12" t="s">
        <v>24</v>
      </c>
      <c r="G392" t="s">
        <v>25</v>
      </c>
      <c r="H392" t="s">
        <v>1130</v>
      </c>
      <c r="I392" t="s">
        <v>71</v>
      </c>
      <c r="J392" s="6">
        <v>61300</v>
      </c>
      <c r="K392" t="s">
        <v>3</v>
      </c>
      <c r="L392" t="s">
        <v>1128</v>
      </c>
      <c r="M392" t="s">
        <v>3</v>
      </c>
      <c r="N392" s="25" t="str">
        <f>TEXT(tbl_Ledger[[#This Row],[Date]],"yyyy-mm")</f>
        <v>2025-07</v>
      </c>
      <c r="O392" s="25" t="str">
        <f>TEXT(tbl_Ledger[[#This Row],[Date]],"yyyy-mm") &amp; TRIM(tbl_Ledger[[#This Row],[Currency]])</f>
        <v>2025-07NGN</v>
      </c>
      <c r="P392" s="25">
        <f>_xlfn.XLOOKUP(tbl_Ledger[[#This Row],[Key]], tbl_FX[Key], tbl_FX[Rate_to_NGN])</f>
        <v>1</v>
      </c>
      <c r="Q392" s="37">
        <f>IF(tbl_Ledger[[#This Row],[Account_Type]]="Expense",-ABS(tbl_Ledger[[#This Row],[Amount]]*tbl_Ledger[[#This Row],[Rate_to_NGN]]),tbl_Ledger[[#This Row],[Amount]]*tbl_Ledger[[#This Row],[Rate_to_NGN]])</f>
        <v>61300</v>
      </c>
      <c r="R392" s="25" t="str">
        <f>_xlfn.XLOOKUP(tbl_Ledger[[#This Row],[Account_Code]], tbl_Accounts[Account_Code], tbl_Accounts[Type])</f>
        <v>Revenue</v>
      </c>
      <c r="S392" s="25" t="str">
        <f>_xlfn.XLOOKUP(tbl_Ledger[[#This Row],[Account_Code]], tbl_Accounts[Account_Code], tbl_Accounts[PL_Bucket])</f>
        <v>Revenue</v>
      </c>
      <c r="T392" s="25">
        <f t="shared" si="6"/>
        <v>61300</v>
      </c>
    </row>
    <row r="393" spans="1:20">
      <c r="A393" t="s">
        <v>1131</v>
      </c>
      <c r="B393" s="7">
        <v>45864</v>
      </c>
      <c r="C393" t="s">
        <v>93</v>
      </c>
      <c r="D393" t="s">
        <v>111</v>
      </c>
      <c r="E393" t="s">
        <v>119</v>
      </c>
      <c r="F393" s="12" t="s">
        <v>24</v>
      </c>
      <c r="G393" t="s">
        <v>25</v>
      </c>
      <c r="H393" t="s">
        <v>1132</v>
      </c>
      <c r="I393" t="s">
        <v>71</v>
      </c>
      <c r="J393" s="6">
        <v>57100</v>
      </c>
      <c r="K393" t="s">
        <v>3</v>
      </c>
      <c r="L393" t="s">
        <v>1128</v>
      </c>
      <c r="M393" t="s">
        <v>3</v>
      </c>
      <c r="N393" s="25" t="str">
        <f>TEXT(tbl_Ledger[[#This Row],[Date]],"yyyy-mm")</f>
        <v>2025-07</v>
      </c>
      <c r="O393" s="25" t="str">
        <f>TEXT(tbl_Ledger[[#This Row],[Date]],"yyyy-mm") &amp; TRIM(tbl_Ledger[[#This Row],[Currency]])</f>
        <v>2025-07NGN</v>
      </c>
      <c r="P393" s="25">
        <f>_xlfn.XLOOKUP(tbl_Ledger[[#This Row],[Key]], tbl_FX[Key], tbl_FX[Rate_to_NGN])</f>
        <v>1</v>
      </c>
      <c r="Q393" s="37">
        <f>IF(tbl_Ledger[[#This Row],[Account_Type]]="Expense",-ABS(tbl_Ledger[[#This Row],[Amount]]*tbl_Ledger[[#This Row],[Rate_to_NGN]]),tbl_Ledger[[#This Row],[Amount]]*tbl_Ledger[[#This Row],[Rate_to_NGN]])</f>
        <v>57100</v>
      </c>
      <c r="R393" s="25" t="str">
        <f>_xlfn.XLOOKUP(tbl_Ledger[[#This Row],[Account_Code]], tbl_Accounts[Account_Code], tbl_Accounts[Type])</f>
        <v>Revenue</v>
      </c>
      <c r="S393" s="25" t="str">
        <f>_xlfn.XLOOKUP(tbl_Ledger[[#This Row],[Account_Code]], tbl_Accounts[Account_Code], tbl_Accounts[PL_Bucket])</f>
        <v>Revenue</v>
      </c>
      <c r="T393" s="25">
        <f t="shared" si="6"/>
        <v>57100</v>
      </c>
    </row>
    <row r="394" spans="1:20">
      <c r="A394" t="s">
        <v>1133</v>
      </c>
      <c r="B394" s="7">
        <v>45864</v>
      </c>
      <c r="C394" t="s">
        <v>93</v>
      </c>
      <c r="D394" t="s">
        <v>111</v>
      </c>
      <c r="E394" t="s">
        <v>170</v>
      </c>
      <c r="F394" s="12" t="s">
        <v>24</v>
      </c>
      <c r="G394" t="s">
        <v>25</v>
      </c>
      <c r="H394" t="s">
        <v>1134</v>
      </c>
      <c r="I394" t="s">
        <v>71</v>
      </c>
      <c r="J394" s="6">
        <v>58100</v>
      </c>
      <c r="K394" t="s">
        <v>3</v>
      </c>
      <c r="L394" t="s">
        <v>1128</v>
      </c>
      <c r="M394" t="s">
        <v>3</v>
      </c>
      <c r="N394" s="25" t="str">
        <f>TEXT(tbl_Ledger[[#This Row],[Date]],"yyyy-mm")</f>
        <v>2025-07</v>
      </c>
      <c r="O394" s="25" t="str">
        <f>TEXT(tbl_Ledger[[#This Row],[Date]],"yyyy-mm") &amp; TRIM(tbl_Ledger[[#This Row],[Currency]])</f>
        <v>2025-07NGN</v>
      </c>
      <c r="P394" s="25">
        <f>_xlfn.XLOOKUP(tbl_Ledger[[#This Row],[Key]], tbl_FX[Key], tbl_FX[Rate_to_NGN])</f>
        <v>1</v>
      </c>
      <c r="Q394" s="37">
        <f>IF(tbl_Ledger[[#This Row],[Account_Type]]="Expense",-ABS(tbl_Ledger[[#This Row],[Amount]]*tbl_Ledger[[#This Row],[Rate_to_NGN]]),tbl_Ledger[[#This Row],[Amount]]*tbl_Ledger[[#This Row],[Rate_to_NGN]])</f>
        <v>58100</v>
      </c>
      <c r="R394" s="25" t="str">
        <f>_xlfn.XLOOKUP(tbl_Ledger[[#This Row],[Account_Code]], tbl_Accounts[Account_Code], tbl_Accounts[Type])</f>
        <v>Revenue</v>
      </c>
      <c r="S394" s="25" t="str">
        <f>_xlfn.XLOOKUP(tbl_Ledger[[#This Row],[Account_Code]], tbl_Accounts[Account_Code], tbl_Accounts[PL_Bucket])</f>
        <v>Revenue</v>
      </c>
      <c r="T394" s="25">
        <f t="shared" si="6"/>
        <v>58100</v>
      </c>
    </row>
    <row r="395" spans="1:20">
      <c r="A395" t="s">
        <v>1135</v>
      </c>
      <c r="B395" s="7">
        <v>45864</v>
      </c>
      <c r="C395" t="s">
        <v>93</v>
      </c>
      <c r="D395" t="s">
        <v>111</v>
      </c>
      <c r="E395" t="s">
        <v>122</v>
      </c>
      <c r="F395" s="12" t="s">
        <v>24</v>
      </c>
      <c r="G395" t="s">
        <v>25</v>
      </c>
      <c r="H395" t="s">
        <v>1136</v>
      </c>
      <c r="I395" t="s">
        <v>71</v>
      </c>
      <c r="J395" s="6">
        <v>58800</v>
      </c>
      <c r="K395" t="s">
        <v>3</v>
      </c>
      <c r="L395" t="s">
        <v>1137</v>
      </c>
      <c r="M395" t="s">
        <v>3</v>
      </c>
      <c r="N395" s="25" t="str">
        <f>TEXT(tbl_Ledger[[#This Row],[Date]],"yyyy-mm")</f>
        <v>2025-07</v>
      </c>
      <c r="O395" s="25" t="str">
        <f>TEXT(tbl_Ledger[[#This Row],[Date]],"yyyy-mm") &amp; TRIM(tbl_Ledger[[#This Row],[Currency]])</f>
        <v>2025-07NGN</v>
      </c>
      <c r="P395" s="25">
        <f>_xlfn.XLOOKUP(tbl_Ledger[[#This Row],[Key]], tbl_FX[Key], tbl_FX[Rate_to_NGN])</f>
        <v>1</v>
      </c>
      <c r="Q395" s="37">
        <f>IF(tbl_Ledger[[#This Row],[Account_Type]]="Expense",-ABS(tbl_Ledger[[#This Row],[Amount]]*tbl_Ledger[[#This Row],[Rate_to_NGN]]),tbl_Ledger[[#This Row],[Amount]]*tbl_Ledger[[#This Row],[Rate_to_NGN]])</f>
        <v>58800</v>
      </c>
      <c r="R395" s="25" t="str">
        <f>_xlfn.XLOOKUP(tbl_Ledger[[#This Row],[Account_Code]], tbl_Accounts[Account_Code], tbl_Accounts[Type])</f>
        <v>Revenue</v>
      </c>
      <c r="S395" s="25" t="str">
        <f>_xlfn.XLOOKUP(tbl_Ledger[[#This Row],[Account_Code]], tbl_Accounts[Account_Code], tbl_Accounts[PL_Bucket])</f>
        <v>Revenue</v>
      </c>
      <c r="T395" s="25">
        <f t="shared" si="6"/>
        <v>58800</v>
      </c>
    </row>
    <row r="396" spans="1:20">
      <c r="A396" t="s">
        <v>1138</v>
      </c>
      <c r="B396" s="7">
        <v>45864</v>
      </c>
      <c r="C396" t="s">
        <v>126</v>
      </c>
      <c r="D396" t="s">
        <v>88</v>
      </c>
      <c r="E396" t="s">
        <v>127</v>
      </c>
      <c r="F396" s="12" t="s">
        <v>29</v>
      </c>
      <c r="G396" t="s">
        <v>30</v>
      </c>
      <c r="H396" t="s">
        <v>1139</v>
      </c>
      <c r="I396" t="s">
        <v>71</v>
      </c>
      <c r="J396" s="6">
        <v>50400</v>
      </c>
      <c r="K396" t="s">
        <v>129</v>
      </c>
      <c r="L396" t="s">
        <v>1140</v>
      </c>
      <c r="M396" t="s">
        <v>3</v>
      </c>
      <c r="N396" s="25" t="str">
        <f>TEXT(tbl_Ledger[[#This Row],[Date]],"yyyy-mm")</f>
        <v>2025-07</v>
      </c>
      <c r="O396" s="25" t="str">
        <f>TEXT(tbl_Ledger[[#This Row],[Date]],"yyyy-mm") &amp; TRIM(tbl_Ledger[[#This Row],[Currency]])</f>
        <v>2025-07NGN</v>
      </c>
      <c r="P396" s="25">
        <f>_xlfn.XLOOKUP(tbl_Ledger[[#This Row],[Key]], tbl_FX[Key], tbl_FX[Rate_to_NGN])</f>
        <v>1</v>
      </c>
      <c r="Q396" s="37">
        <f>IF(tbl_Ledger[[#This Row],[Account_Type]]="Expense",-ABS(tbl_Ledger[[#This Row],[Amount]]*tbl_Ledger[[#This Row],[Rate_to_NGN]]),tbl_Ledger[[#This Row],[Amount]]*tbl_Ledger[[#This Row],[Rate_to_NGN]])</f>
        <v>50400</v>
      </c>
      <c r="R396" s="25" t="str">
        <f>_xlfn.XLOOKUP(tbl_Ledger[[#This Row],[Account_Code]], tbl_Accounts[Account_Code], tbl_Accounts[Type])</f>
        <v>Revenue</v>
      </c>
      <c r="S396" s="25" t="str">
        <f>_xlfn.XLOOKUP(tbl_Ledger[[#This Row],[Account_Code]], tbl_Accounts[Account_Code], tbl_Accounts[PL_Bucket])</f>
        <v>Revenue</v>
      </c>
      <c r="T396" s="25">
        <f t="shared" si="6"/>
        <v>50400</v>
      </c>
    </row>
    <row r="397" spans="1:20">
      <c r="A397" t="s">
        <v>1141</v>
      </c>
      <c r="B397" s="7">
        <v>45864</v>
      </c>
      <c r="C397" t="s">
        <v>126</v>
      </c>
      <c r="D397" t="s">
        <v>88</v>
      </c>
      <c r="E397" t="s">
        <v>132</v>
      </c>
      <c r="F397" s="12" t="s">
        <v>29</v>
      </c>
      <c r="G397" t="s">
        <v>30</v>
      </c>
      <c r="H397" t="s">
        <v>1142</v>
      </c>
      <c r="I397" t="s">
        <v>71</v>
      </c>
      <c r="J397" s="6">
        <v>47900</v>
      </c>
      <c r="K397" t="s">
        <v>134</v>
      </c>
      <c r="L397" t="s">
        <v>1140</v>
      </c>
      <c r="M397" t="s">
        <v>3</v>
      </c>
      <c r="N397" s="25" t="str">
        <f>TEXT(tbl_Ledger[[#This Row],[Date]],"yyyy-mm")</f>
        <v>2025-07</v>
      </c>
      <c r="O397" s="25" t="str">
        <f>TEXT(tbl_Ledger[[#This Row],[Date]],"yyyy-mm") &amp; TRIM(tbl_Ledger[[#This Row],[Currency]])</f>
        <v>2025-07NGN</v>
      </c>
      <c r="P397" s="25">
        <f>_xlfn.XLOOKUP(tbl_Ledger[[#This Row],[Key]], tbl_FX[Key], tbl_FX[Rate_to_NGN])</f>
        <v>1</v>
      </c>
      <c r="Q397" s="37">
        <f>IF(tbl_Ledger[[#This Row],[Account_Type]]="Expense",-ABS(tbl_Ledger[[#This Row],[Amount]]*tbl_Ledger[[#This Row],[Rate_to_NGN]]),tbl_Ledger[[#This Row],[Amount]]*tbl_Ledger[[#This Row],[Rate_to_NGN]])</f>
        <v>47900</v>
      </c>
      <c r="R397" s="25" t="str">
        <f>_xlfn.XLOOKUP(tbl_Ledger[[#This Row],[Account_Code]], tbl_Accounts[Account_Code], tbl_Accounts[Type])</f>
        <v>Revenue</v>
      </c>
      <c r="S397" s="25" t="str">
        <f>_xlfn.XLOOKUP(tbl_Ledger[[#This Row],[Account_Code]], tbl_Accounts[Account_Code], tbl_Accounts[PL_Bucket])</f>
        <v>Revenue</v>
      </c>
      <c r="T397" s="25">
        <f t="shared" si="6"/>
        <v>47900</v>
      </c>
    </row>
    <row r="398" spans="1:20">
      <c r="A398" t="s">
        <v>1143</v>
      </c>
      <c r="B398" s="7">
        <v>45864</v>
      </c>
      <c r="C398" t="s">
        <v>126</v>
      </c>
      <c r="D398" t="s">
        <v>88</v>
      </c>
      <c r="E398" t="s">
        <v>136</v>
      </c>
      <c r="F398" s="12" t="s">
        <v>29</v>
      </c>
      <c r="G398" t="s">
        <v>30</v>
      </c>
      <c r="H398" t="s">
        <v>1144</v>
      </c>
      <c r="I398" t="s">
        <v>72</v>
      </c>
      <c r="J398" s="6">
        <v>26.34</v>
      </c>
      <c r="K398" t="s">
        <v>138</v>
      </c>
      <c r="L398" t="s">
        <v>1140</v>
      </c>
      <c r="M398" t="s">
        <v>3</v>
      </c>
      <c r="N398" s="25" t="str">
        <f>TEXT(tbl_Ledger[[#This Row],[Date]],"yyyy-mm")</f>
        <v>2025-07</v>
      </c>
      <c r="O398" s="25" t="str">
        <f>TEXT(tbl_Ledger[[#This Row],[Date]],"yyyy-mm") &amp; TRIM(tbl_Ledger[[#This Row],[Currency]])</f>
        <v>2025-07USD</v>
      </c>
      <c r="P398" s="25">
        <f>_xlfn.XLOOKUP(tbl_Ledger[[#This Row],[Key]], tbl_FX[Key], tbl_FX[Rate_to_NGN])</f>
        <v>1530</v>
      </c>
      <c r="Q398" s="37">
        <f>IF(tbl_Ledger[[#This Row],[Account_Type]]="Expense",-ABS(tbl_Ledger[[#This Row],[Amount]]*tbl_Ledger[[#This Row],[Rate_to_NGN]]),tbl_Ledger[[#This Row],[Amount]]*tbl_Ledger[[#This Row],[Rate_to_NGN]])</f>
        <v>40300.199999999997</v>
      </c>
      <c r="R398" s="25" t="str">
        <f>_xlfn.XLOOKUP(tbl_Ledger[[#This Row],[Account_Code]], tbl_Accounts[Account_Code], tbl_Accounts[Type])</f>
        <v>Revenue</v>
      </c>
      <c r="S398" s="25" t="str">
        <f>_xlfn.XLOOKUP(tbl_Ledger[[#This Row],[Account_Code]], tbl_Accounts[Account_Code], tbl_Accounts[PL_Bucket])</f>
        <v>Revenue</v>
      </c>
      <c r="T398" s="25">
        <f t="shared" si="6"/>
        <v>40300.199999999997</v>
      </c>
    </row>
    <row r="399" spans="1:20">
      <c r="A399" t="s">
        <v>1145</v>
      </c>
      <c r="B399" s="7">
        <v>45864</v>
      </c>
      <c r="C399" t="s">
        <v>126</v>
      </c>
      <c r="D399" t="s">
        <v>88</v>
      </c>
      <c r="E399" t="s">
        <v>140</v>
      </c>
      <c r="F399" s="12" t="s">
        <v>29</v>
      </c>
      <c r="G399" t="s">
        <v>30</v>
      </c>
      <c r="H399" t="s">
        <v>1146</v>
      </c>
      <c r="I399" t="s">
        <v>71</v>
      </c>
      <c r="J399" s="6">
        <v>41000</v>
      </c>
      <c r="K399" t="s">
        <v>3</v>
      </c>
      <c r="L399" t="s">
        <v>1147</v>
      </c>
      <c r="M399" t="s">
        <v>3</v>
      </c>
      <c r="N399" s="25" t="str">
        <f>TEXT(tbl_Ledger[[#This Row],[Date]],"yyyy-mm")</f>
        <v>2025-07</v>
      </c>
      <c r="O399" s="25" t="str">
        <f>TEXT(tbl_Ledger[[#This Row],[Date]],"yyyy-mm") &amp; TRIM(tbl_Ledger[[#This Row],[Currency]])</f>
        <v>2025-07NGN</v>
      </c>
      <c r="P399" s="25">
        <f>_xlfn.XLOOKUP(tbl_Ledger[[#This Row],[Key]], tbl_FX[Key], tbl_FX[Rate_to_NGN])</f>
        <v>1</v>
      </c>
      <c r="Q399" s="37">
        <f>IF(tbl_Ledger[[#This Row],[Account_Type]]="Expense",-ABS(tbl_Ledger[[#This Row],[Amount]]*tbl_Ledger[[#This Row],[Rate_to_NGN]]),tbl_Ledger[[#This Row],[Amount]]*tbl_Ledger[[#This Row],[Rate_to_NGN]])</f>
        <v>41000</v>
      </c>
      <c r="R399" s="25" t="str">
        <f>_xlfn.XLOOKUP(tbl_Ledger[[#This Row],[Account_Code]], tbl_Accounts[Account_Code], tbl_Accounts[Type])</f>
        <v>Revenue</v>
      </c>
      <c r="S399" s="25" t="str">
        <f>_xlfn.XLOOKUP(tbl_Ledger[[#This Row],[Account_Code]], tbl_Accounts[Account_Code], tbl_Accounts[PL_Bucket])</f>
        <v>Revenue</v>
      </c>
      <c r="T399" s="25">
        <f t="shared" si="6"/>
        <v>41000</v>
      </c>
    </row>
    <row r="400" spans="1:20">
      <c r="A400" t="s">
        <v>1148</v>
      </c>
      <c r="B400" s="7">
        <v>45864</v>
      </c>
      <c r="C400" t="s">
        <v>93</v>
      </c>
      <c r="D400" t="s">
        <v>94</v>
      </c>
      <c r="E400" t="s">
        <v>95</v>
      </c>
      <c r="F400" s="12" t="s">
        <v>31</v>
      </c>
      <c r="G400" t="s">
        <v>32</v>
      </c>
      <c r="H400" t="s">
        <v>1149</v>
      </c>
      <c r="I400" t="s">
        <v>71</v>
      </c>
      <c r="J400" s="6">
        <v>-181629</v>
      </c>
      <c r="K400" t="s">
        <v>3</v>
      </c>
      <c r="L400" t="s">
        <v>1150</v>
      </c>
      <c r="M400" t="s">
        <v>3</v>
      </c>
      <c r="N400" s="25" t="str">
        <f>TEXT(tbl_Ledger[[#This Row],[Date]],"yyyy-mm")</f>
        <v>2025-07</v>
      </c>
      <c r="O400" s="25" t="str">
        <f>TEXT(tbl_Ledger[[#This Row],[Date]],"yyyy-mm") &amp; TRIM(tbl_Ledger[[#This Row],[Currency]])</f>
        <v>2025-07NGN</v>
      </c>
      <c r="P400" s="25">
        <f>_xlfn.XLOOKUP(tbl_Ledger[[#This Row],[Key]], tbl_FX[Key], tbl_FX[Rate_to_NGN])</f>
        <v>1</v>
      </c>
      <c r="Q400" s="37">
        <f>IF(tbl_Ledger[[#This Row],[Account_Type]]="Expense",-ABS(tbl_Ledger[[#This Row],[Amount]]*tbl_Ledger[[#This Row],[Rate_to_NGN]]),tbl_Ledger[[#This Row],[Amount]]*tbl_Ledger[[#This Row],[Rate_to_NGN]])</f>
        <v>-181629</v>
      </c>
      <c r="R400" s="25" t="str">
        <f>_xlfn.XLOOKUP(tbl_Ledger[[#This Row],[Account_Code]], tbl_Accounts[Account_Code], tbl_Accounts[Type])</f>
        <v>Revenue</v>
      </c>
      <c r="S400" s="25" t="str">
        <f>_xlfn.XLOOKUP(tbl_Ledger[[#This Row],[Account_Code]], tbl_Accounts[Account_Code], tbl_Accounts[PL_Bucket])</f>
        <v>Revenue</v>
      </c>
      <c r="T400" s="25">
        <f t="shared" si="6"/>
        <v>181629</v>
      </c>
    </row>
    <row r="401" spans="1:20">
      <c r="A401" t="s">
        <v>1151</v>
      </c>
      <c r="B401" s="7">
        <v>45864</v>
      </c>
      <c r="C401" t="s">
        <v>87</v>
      </c>
      <c r="D401" t="s">
        <v>94</v>
      </c>
      <c r="E401" t="s">
        <v>3</v>
      </c>
      <c r="F401" s="12" t="s">
        <v>33</v>
      </c>
      <c r="G401" t="s">
        <v>34</v>
      </c>
      <c r="H401" t="s">
        <v>315</v>
      </c>
      <c r="I401" t="s">
        <v>71</v>
      </c>
      <c r="J401" s="6">
        <v>-394000</v>
      </c>
      <c r="K401" t="s">
        <v>316</v>
      </c>
      <c r="L401" t="s">
        <v>1152</v>
      </c>
      <c r="M401" t="s">
        <v>3</v>
      </c>
      <c r="N401" s="25" t="str">
        <f>TEXT(tbl_Ledger[[#This Row],[Date]],"yyyy-mm")</f>
        <v>2025-07</v>
      </c>
      <c r="O401" s="25" t="str">
        <f>TEXT(tbl_Ledger[[#This Row],[Date]],"yyyy-mm") &amp; TRIM(tbl_Ledger[[#This Row],[Currency]])</f>
        <v>2025-07NGN</v>
      </c>
      <c r="P401" s="25">
        <f>_xlfn.XLOOKUP(tbl_Ledger[[#This Row],[Key]], tbl_FX[Key], tbl_FX[Rate_to_NGN])</f>
        <v>1</v>
      </c>
      <c r="Q401" s="37">
        <f>IF(tbl_Ledger[[#This Row],[Account_Type]]="Expense",-ABS(tbl_Ledger[[#This Row],[Amount]]*tbl_Ledger[[#This Row],[Rate_to_NGN]]),tbl_Ledger[[#This Row],[Amount]]*tbl_Ledger[[#This Row],[Rate_to_NGN]])</f>
        <v>-394000</v>
      </c>
      <c r="R401" s="25" t="str">
        <f>_xlfn.XLOOKUP(tbl_Ledger[[#This Row],[Account_Code]], tbl_Accounts[Account_Code], tbl_Accounts[Type])</f>
        <v>COGS</v>
      </c>
      <c r="S401" s="25" t="str">
        <f>_xlfn.XLOOKUP(tbl_Ledger[[#This Row],[Account_Code]], tbl_Accounts[Account_Code], tbl_Accounts[PL_Bucket])</f>
        <v>COGS</v>
      </c>
      <c r="T401" s="25">
        <f t="shared" si="6"/>
        <v>-394000</v>
      </c>
    </row>
    <row r="402" spans="1:20">
      <c r="A402" t="s">
        <v>1153</v>
      </c>
      <c r="B402" s="7">
        <v>45864</v>
      </c>
      <c r="C402" t="s">
        <v>87</v>
      </c>
      <c r="D402" t="s">
        <v>94</v>
      </c>
      <c r="E402" t="s">
        <v>3</v>
      </c>
      <c r="F402" s="12" t="s">
        <v>44</v>
      </c>
      <c r="G402" t="s">
        <v>45</v>
      </c>
      <c r="H402" t="s">
        <v>667</v>
      </c>
      <c r="I402" t="s">
        <v>71</v>
      </c>
      <c r="J402" s="6">
        <v>-292000</v>
      </c>
      <c r="K402" t="s">
        <v>668</v>
      </c>
      <c r="L402" t="s">
        <v>1154</v>
      </c>
      <c r="M402" t="s">
        <v>3</v>
      </c>
      <c r="N402" s="25" t="str">
        <f>TEXT(tbl_Ledger[[#This Row],[Date]],"yyyy-mm")</f>
        <v>2025-07</v>
      </c>
      <c r="O402" s="25" t="str">
        <f>TEXT(tbl_Ledger[[#This Row],[Date]],"yyyy-mm") &amp; TRIM(tbl_Ledger[[#This Row],[Currency]])</f>
        <v>2025-07NGN</v>
      </c>
      <c r="P402" s="25">
        <f>_xlfn.XLOOKUP(tbl_Ledger[[#This Row],[Key]], tbl_FX[Key], tbl_FX[Rate_to_NGN])</f>
        <v>1</v>
      </c>
      <c r="Q402" s="37">
        <f>IF(tbl_Ledger[[#This Row],[Account_Type]]="Expense",-ABS(tbl_Ledger[[#This Row],[Amount]]*tbl_Ledger[[#This Row],[Rate_to_NGN]]),tbl_Ledger[[#This Row],[Amount]]*tbl_Ledger[[#This Row],[Rate_to_NGN]])</f>
        <v>-292000</v>
      </c>
      <c r="R402" s="25" t="str">
        <f>_xlfn.XLOOKUP(tbl_Ledger[[#This Row],[Account_Code]], tbl_Accounts[Account_Code], tbl_Accounts[Type])</f>
        <v>COGS</v>
      </c>
      <c r="S402" s="25" t="str">
        <f>_xlfn.XLOOKUP(tbl_Ledger[[#This Row],[Account_Code]], tbl_Accounts[Account_Code], tbl_Accounts[PL_Bucket])</f>
        <v>COGS</v>
      </c>
      <c r="T402" s="25">
        <f t="shared" si="6"/>
        <v>-292000</v>
      </c>
    </row>
    <row r="403" spans="1:20">
      <c r="A403" t="s">
        <v>1155</v>
      </c>
      <c r="B403" s="7">
        <v>45864</v>
      </c>
      <c r="C403" t="s">
        <v>87</v>
      </c>
      <c r="D403" t="s">
        <v>111</v>
      </c>
      <c r="E403" t="s">
        <v>3</v>
      </c>
      <c r="F403" s="12" t="s">
        <v>36</v>
      </c>
      <c r="G403" t="s">
        <v>37</v>
      </c>
      <c r="H403" t="s">
        <v>194</v>
      </c>
      <c r="I403" t="s">
        <v>71</v>
      </c>
      <c r="J403" s="6">
        <v>-1079000</v>
      </c>
      <c r="K403" t="s">
        <v>195</v>
      </c>
      <c r="L403" t="s">
        <v>1156</v>
      </c>
      <c r="M403" t="s">
        <v>3</v>
      </c>
      <c r="N403" s="25" t="str">
        <f>TEXT(tbl_Ledger[[#This Row],[Date]],"yyyy-mm")</f>
        <v>2025-07</v>
      </c>
      <c r="O403" s="25" t="str">
        <f>TEXT(tbl_Ledger[[#This Row],[Date]],"yyyy-mm") &amp; TRIM(tbl_Ledger[[#This Row],[Currency]])</f>
        <v>2025-07NGN</v>
      </c>
      <c r="P403" s="25">
        <f>_xlfn.XLOOKUP(tbl_Ledger[[#This Row],[Key]], tbl_FX[Key], tbl_FX[Rate_to_NGN])</f>
        <v>1</v>
      </c>
      <c r="Q403" s="37">
        <f>IF(tbl_Ledger[[#This Row],[Account_Type]]="Expense",-ABS(tbl_Ledger[[#This Row],[Amount]]*tbl_Ledger[[#This Row],[Rate_to_NGN]]),tbl_Ledger[[#This Row],[Amount]]*tbl_Ledger[[#This Row],[Rate_to_NGN]])</f>
        <v>-1079000</v>
      </c>
      <c r="R403" s="25" t="str">
        <f>_xlfn.XLOOKUP(tbl_Ledger[[#This Row],[Account_Code]], tbl_Accounts[Account_Code], tbl_Accounts[Type])</f>
        <v>COGS</v>
      </c>
      <c r="S403" s="25" t="str">
        <f>_xlfn.XLOOKUP(tbl_Ledger[[#This Row],[Account_Code]], tbl_Accounts[Account_Code], tbl_Accounts[PL_Bucket])</f>
        <v>COGS</v>
      </c>
      <c r="T403" s="25">
        <f t="shared" si="6"/>
        <v>-1079000</v>
      </c>
    </row>
    <row r="404" spans="1:20">
      <c r="A404" t="s">
        <v>1157</v>
      </c>
      <c r="B404" s="7">
        <v>45864</v>
      </c>
      <c r="C404" t="s">
        <v>87</v>
      </c>
      <c r="D404" t="s">
        <v>88</v>
      </c>
      <c r="E404" t="s">
        <v>3</v>
      </c>
      <c r="F404" s="12" t="s">
        <v>40</v>
      </c>
      <c r="G404" t="s">
        <v>41</v>
      </c>
      <c r="H404" t="s">
        <v>279</v>
      </c>
      <c r="I404" t="s">
        <v>71</v>
      </c>
      <c r="J404" s="6">
        <v>-329000</v>
      </c>
      <c r="K404" t="s">
        <v>280</v>
      </c>
      <c r="L404" t="s">
        <v>1158</v>
      </c>
      <c r="M404" t="s">
        <v>3</v>
      </c>
      <c r="N404" s="25" t="str">
        <f>TEXT(tbl_Ledger[[#This Row],[Date]],"yyyy-mm")</f>
        <v>2025-07</v>
      </c>
      <c r="O404" s="25" t="str">
        <f>TEXT(tbl_Ledger[[#This Row],[Date]],"yyyy-mm") &amp; TRIM(tbl_Ledger[[#This Row],[Currency]])</f>
        <v>2025-07NGN</v>
      </c>
      <c r="P404" s="25">
        <f>_xlfn.XLOOKUP(tbl_Ledger[[#This Row],[Key]], tbl_FX[Key], tbl_FX[Rate_to_NGN])</f>
        <v>1</v>
      </c>
      <c r="Q404" s="37">
        <f>IF(tbl_Ledger[[#This Row],[Account_Type]]="Expense",-ABS(tbl_Ledger[[#This Row],[Amount]]*tbl_Ledger[[#This Row],[Rate_to_NGN]]),tbl_Ledger[[#This Row],[Amount]]*tbl_Ledger[[#This Row],[Rate_to_NGN]])</f>
        <v>-329000</v>
      </c>
      <c r="R404" s="25" t="str">
        <f>_xlfn.XLOOKUP(tbl_Ledger[[#This Row],[Account_Code]], tbl_Accounts[Account_Code], tbl_Accounts[Type])</f>
        <v>COGS</v>
      </c>
      <c r="S404" s="25" t="str">
        <f>_xlfn.XLOOKUP(tbl_Ledger[[#This Row],[Account_Code]], tbl_Accounts[Account_Code], tbl_Accounts[PL_Bucket])</f>
        <v>COGS</v>
      </c>
      <c r="T404" s="25">
        <f t="shared" si="6"/>
        <v>-329000</v>
      </c>
    </row>
    <row r="405" spans="1:20">
      <c r="A405" t="s">
        <v>1159</v>
      </c>
      <c r="B405" s="7">
        <v>45865</v>
      </c>
      <c r="C405" t="s">
        <v>93</v>
      </c>
      <c r="D405" t="s">
        <v>94</v>
      </c>
      <c r="E405" t="s">
        <v>95</v>
      </c>
      <c r="F405" s="12" t="s">
        <v>24</v>
      </c>
      <c r="G405" t="s">
        <v>25</v>
      </c>
      <c r="H405" t="s">
        <v>1160</v>
      </c>
      <c r="I405" t="s">
        <v>71</v>
      </c>
      <c r="J405" s="6">
        <v>37500</v>
      </c>
      <c r="K405" t="s">
        <v>3</v>
      </c>
      <c r="L405" t="s">
        <v>1161</v>
      </c>
      <c r="M405" t="s">
        <v>3</v>
      </c>
      <c r="N405" s="25" t="str">
        <f>TEXT(tbl_Ledger[[#This Row],[Date]],"yyyy-mm")</f>
        <v>2025-07</v>
      </c>
      <c r="O405" s="25" t="str">
        <f>TEXT(tbl_Ledger[[#This Row],[Date]],"yyyy-mm") &amp; TRIM(tbl_Ledger[[#This Row],[Currency]])</f>
        <v>2025-07NGN</v>
      </c>
      <c r="P405" s="25">
        <f>_xlfn.XLOOKUP(tbl_Ledger[[#This Row],[Key]], tbl_FX[Key], tbl_FX[Rate_to_NGN])</f>
        <v>1</v>
      </c>
      <c r="Q405" s="37">
        <f>IF(tbl_Ledger[[#This Row],[Account_Type]]="Expense",-ABS(tbl_Ledger[[#This Row],[Amount]]*tbl_Ledger[[#This Row],[Rate_to_NGN]]),tbl_Ledger[[#This Row],[Amount]]*tbl_Ledger[[#This Row],[Rate_to_NGN]])</f>
        <v>37500</v>
      </c>
      <c r="R405" s="25" t="str">
        <f>_xlfn.XLOOKUP(tbl_Ledger[[#This Row],[Account_Code]], tbl_Accounts[Account_Code], tbl_Accounts[Type])</f>
        <v>Revenue</v>
      </c>
      <c r="S405" s="25" t="str">
        <f>_xlfn.XLOOKUP(tbl_Ledger[[#This Row],[Account_Code]], tbl_Accounts[Account_Code], tbl_Accounts[PL_Bucket])</f>
        <v>Revenue</v>
      </c>
      <c r="T405" s="25">
        <f t="shared" si="6"/>
        <v>37500</v>
      </c>
    </row>
    <row r="406" spans="1:20">
      <c r="A406" t="s">
        <v>1162</v>
      </c>
      <c r="B406" s="7">
        <v>45865</v>
      </c>
      <c r="C406" t="s">
        <v>93</v>
      </c>
      <c r="D406" t="s">
        <v>94</v>
      </c>
      <c r="E406" t="s">
        <v>99</v>
      </c>
      <c r="F406" s="12" t="s">
        <v>24</v>
      </c>
      <c r="G406" t="s">
        <v>25</v>
      </c>
      <c r="H406" t="s">
        <v>1163</v>
      </c>
      <c r="I406" t="s">
        <v>71</v>
      </c>
      <c r="J406" s="6">
        <v>38400</v>
      </c>
      <c r="K406" t="s">
        <v>3</v>
      </c>
      <c r="L406" t="s">
        <v>1164</v>
      </c>
      <c r="M406" t="s">
        <v>3</v>
      </c>
      <c r="N406" s="25" t="str">
        <f>TEXT(tbl_Ledger[[#This Row],[Date]],"yyyy-mm")</f>
        <v>2025-07</v>
      </c>
      <c r="O406" s="25" t="str">
        <f>TEXT(tbl_Ledger[[#This Row],[Date]],"yyyy-mm") &amp; TRIM(tbl_Ledger[[#This Row],[Currency]])</f>
        <v>2025-07NGN</v>
      </c>
      <c r="P406" s="25">
        <f>_xlfn.XLOOKUP(tbl_Ledger[[#This Row],[Key]], tbl_FX[Key], tbl_FX[Rate_to_NGN])</f>
        <v>1</v>
      </c>
      <c r="Q406" s="37">
        <f>IF(tbl_Ledger[[#This Row],[Account_Type]]="Expense",-ABS(tbl_Ledger[[#This Row],[Amount]]*tbl_Ledger[[#This Row],[Rate_to_NGN]]),tbl_Ledger[[#This Row],[Amount]]*tbl_Ledger[[#This Row],[Rate_to_NGN]])</f>
        <v>38400</v>
      </c>
      <c r="R406" s="25" t="str">
        <f>_xlfn.XLOOKUP(tbl_Ledger[[#This Row],[Account_Code]], tbl_Accounts[Account_Code], tbl_Accounts[Type])</f>
        <v>Revenue</v>
      </c>
      <c r="S406" s="25" t="str">
        <f>_xlfn.XLOOKUP(tbl_Ledger[[#This Row],[Account_Code]], tbl_Accounts[Account_Code], tbl_Accounts[PL_Bucket])</f>
        <v>Revenue</v>
      </c>
      <c r="T406" s="25">
        <f t="shared" si="6"/>
        <v>38400</v>
      </c>
    </row>
    <row r="407" spans="1:20">
      <c r="A407" t="s">
        <v>1165</v>
      </c>
      <c r="B407" s="7">
        <v>45865</v>
      </c>
      <c r="C407" t="s">
        <v>93</v>
      </c>
      <c r="D407" t="s">
        <v>94</v>
      </c>
      <c r="E407" t="s">
        <v>160</v>
      </c>
      <c r="F407" s="12" t="s">
        <v>24</v>
      </c>
      <c r="G407" t="s">
        <v>25</v>
      </c>
      <c r="H407" t="s">
        <v>1166</v>
      </c>
      <c r="I407" t="s">
        <v>71</v>
      </c>
      <c r="J407" s="6">
        <v>33300</v>
      </c>
      <c r="K407" t="s">
        <v>3</v>
      </c>
      <c r="L407" t="s">
        <v>1167</v>
      </c>
      <c r="M407" t="s">
        <v>3</v>
      </c>
      <c r="N407" s="25" t="str">
        <f>TEXT(tbl_Ledger[[#This Row],[Date]],"yyyy-mm")</f>
        <v>2025-07</v>
      </c>
      <c r="O407" s="25" t="str">
        <f>TEXT(tbl_Ledger[[#This Row],[Date]],"yyyy-mm") &amp; TRIM(tbl_Ledger[[#This Row],[Currency]])</f>
        <v>2025-07NGN</v>
      </c>
      <c r="P407" s="25">
        <f>_xlfn.XLOOKUP(tbl_Ledger[[#This Row],[Key]], tbl_FX[Key], tbl_FX[Rate_to_NGN])</f>
        <v>1</v>
      </c>
      <c r="Q407" s="37">
        <f>IF(tbl_Ledger[[#This Row],[Account_Type]]="Expense",-ABS(tbl_Ledger[[#This Row],[Amount]]*tbl_Ledger[[#This Row],[Rate_to_NGN]]),tbl_Ledger[[#This Row],[Amount]]*tbl_Ledger[[#This Row],[Rate_to_NGN]])</f>
        <v>33300</v>
      </c>
      <c r="R407" s="25" t="str">
        <f>_xlfn.XLOOKUP(tbl_Ledger[[#This Row],[Account_Code]], tbl_Accounts[Account_Code], tbl_Accounts[Type])</f>
        <v>Revenue</v>
      </c>
      <c r="S407" s="25" t="str">
        <f>_xlfn.XLOOKUP(tbl_Ledger[[#This Row],[Account_Code]], tbl_Accounts[Account_Code], tbl_Accounts[PL_Bucket])</f>
        <v>Revenue</v>
      </c>
      <c r="T407" s="25">
        <f t="shared" si="6"/>
        <v>33300</v>
      </c>
    </row>
    <row r="408" spans="1:20">
      <c r="A408" t="s">
        <v>1168</v>
      </c>
      <c r="B408" s="7">
        <v>45865</v>
      </c>
      <c r="C408" t="s">
        <v>93</v>
      </c>
      <c r="D408" t="s">
        <v>94</v>
      </c>
      <c r="E408" t="s">
        <v>107</v>
      </c>
      <c r="F408" s="12" t="s">
        <v>24</v>
      </c>
      <c r="G408" t="s">
        <v>25</v>
      </c>
      <c r="H408" t="s">
        <v>1169</v>
      </c>
      <c r="I408" t="s">
        <v>71</v>
      </c>
      <c r="J408" s="6">
        <v>37500</v>
      </c>
      <c r="K408" t="s">
        <v>3</v>
      </c>
      <c r="L408" t="s">
        <v>1170</v>
      </c>
      <c r="M408" t="s">
        <v>3</v>
      </c>
      <c r="N408" s="25" t="str">
        <f>TEXT(tbl_Ledger[[#This Row],[Date]],"yyyy-mm")</f>
        <v>2025-07</v>
      </c>
      <c r="O408" s="25" t="str">
        <f>TEXT(tbl_Ledger[[#This Row],[Date]],"yyyy-mm") &amp; TRIM(tbl_Ledger[[#This Row],[Currency]])</f>
        <v>2025-07NGN</v>
      </c>
      <c r="P408" s="25">
        <f>_xlfn.XLOOKUP(tbl_Ledger[[#This Row],[Key]], tbl_FX[Key], tbl_FX[Rate_to_NGN])</f>
        <v>1</v>
      </c>
      <c r="Q408" s="37">
        <f>IF(tbl_Ledger[[#This Row],[Account_Type]]="Expense",-ABS(tbl_Ledger[[#This Row],[Amount]]*tbl_Ledger[[#This Row],[Rate_to_NGN]]),tbl_Ledger[[#This Row],[Amount]]*tbl_Ledger[[#This Row],[Rate_to_NGN]])</f>
        <v>37500</v>
      </c>
      <c r="R408" s="25" t="str">
        <f>_xlfn.XLOOKUP(tbl_Ledger[[#This Row],[Account_Code]], tbl_Accounts[Account_Code], tbl_Accounts[Type])</f>
        <v>Revenue</v>
      </c>
      <c r="S408" s="25" t="str">
        <f>_xlfn.XLOOKUP(tbl_Ledger[[#This Row],[Account_Code]], tbl_Accounts[Account_Code], tbl_Accounts[PL_Bucket])</f>
        <v>Revenue</v>
      </c>
      <c r="T408" s="25">
        <f t="shared" si="6"/>
        <v>37500</v>
      </c>
    </row>
    <row r="409" spans="1:20">
      <c r="A409" t="s">
        <v>1171</v>
      </c>
      <c r="B409" s="7">
        <v>45865</v>
      </c>
      <c r="C409" t="s">
        <v>93</v>
      </c>
      <c r="D409" t="s">
        <v>111</v>
      </c>
      <c r="E409" t="s">
        <v>116</v>
      </c>
      <c r="F409" s="12" t="s">
        <v>24</v>
      </c>
      <c r="G409" t="s">
        <v>25</v>
      </c>
      <c r="H409" t="s">
        <v>1172</v>
      </c>
      <c r="I409" t="s">
        <v>71</v>
      </c>
      <c r="J409" s="6">
        <v>63600</v>
      </c>
      <c r="K409" t="s">
        <v>3</v>
      </c>
      <c r="L409" t="s">
        <v>1173</v>
      </c>
      <c r="M409" t="s">
        <v>3</v>
      </c>
      <c r="N409" s="25" t="str">
        <f>TEXT(tbl_Ledger[[#This Row],[Date]],"yyyy-mm")</f>
        <v>2025-07</v>
      </c>
      <c r="O409" s="25" t="str">
        <f>TEXT(tbl_Ledger[[#This Row],[Date]],"yyyy-mm") &amp; TRIM(tbl_Ledger[[#This Row],[Currency]])</f>
        <v>2025-07NGN</v>
      </c>
      <c r="P409" s="25">
        <f>_xlfn.XLOOKUP(tbl_Ledger[[#This Row],[Key]], tbl_FX[Key], tbl_FX[Rate_to_NGN])</f>
        <v>1</v>
      </c>
      <c r="Q409" s="37">
        <f>IF(tbl_Ledger[[#This Row],[Account_Type]]="Expense",-ABS(tbl_Ledger[[#This Row],[Amount]]*tbl_Ledger[[#This Row],[Rate_to_NGN]]),tbl_Ledger[[#This Row],[Amount]]*tbl_Ledger[[#This Row],[Rate_to_NGN]])</f>
        <v>63600</v>
      </c>
      <c r="R409" s="25" t="str">
        <f>_xlfn.XLOOKUP(tbl_Ledger[[#This Row],[Account_Code]], tbl_Accounts[Account_Code], tbl_Accounts[Type])</f>
        <v>Revenue</v>
      </c>
      <c r="S409" s="25" t="str">
        <f>_xlfn.XLOOKUP(tbl_Ledger[[#This Row],[Account_Code]], tbl_Accounts[Account_Code], tbl_Accounts[PL_Bucket])</f>
        <v>Revenue</v>
      </c>
      <c r="T409" s="25">
        <f t="shared" si="6"/>
        <v>63600</v>
      </c>
    </row>
    <row r="410" spans="1:20">
      <c r="A410" t="s">
        <v>1174</v>
      </c>
      <c r="B410" s="7">
        <v>45865</v>
      </c>
      <c r="C410" t="s">
        <v>93</v>
      </c>
      <c r="D410" t="s">
        <v>111</v>
      </c>
      <c r="E410" t="s">
        <v>119</v>
      </c>
      <c r="F410" s="12" t="s">
        <v>24</v>
      </c>
      <c r="G410" t="s">
        <v>25</v>
      </c>
      <c r="H410" t="s">
        <v>1175</v>
      </c>
      <c r="I410" t="s">
        <v>71</v>
      </c>
      <c r="J410" s="6">
        <v>60200</v>
      </c>
      <c r="K410" t="s">
        <v>3</v>
      </c>
      <c r="L410" t="s">
        <v>1173</v>
      </c>
      <c r="M410" t="s">
        <v>3</v>
      </c>
      <c r="N410" s="25" t="str">
        <f>TEXT(tbl_Ledger[[#This Row],[Date]],"yyyy-mm")</f>
        <v>2025-07</v>
      </c>
      <c r="O410" s="25" t="str">
        <f>TEXT(tbl_Ledger[[#This Row],[Date]],"yyyy-mm") &amp; TRIM(tbl_Ledger[[#This Row],[Currency]])</f>
        <v>2025-07NGN</v>
      </c>
      <c r="P410" s="25">
        <f>_xlfn.XLOOKUP(tbl_Ledger[[#This Row],[Key]], tbl_FX[Key], tbl_FX[Rate_to_NGN])</f>
        <v>1</v>
      </c>
      <c r="Q410" s="37">
        <f>IF(tbl_Ledger[[#This Row],[Account_Type]]="Expense",-ABS(tbl_Ledger[[#This Row],[Amount]]*tbl_Ledger[[#This Row],[Rate_to_NGN]]),tbl_Ledger[[#This Row],[Amount]]*tbl_Ledger[[#This Row],[Rate_to_NGN]])</f>
        <v>60200</v>
      </c>
      <c r="R410" s="25" t="str">
        <f>_xlfn.XLOOKUP(tbl_Ledger[[#This Row],[Account_Code]], tbl_Accounts[Account_Code], tbl_Accounts[Type])</f>
        <v>Revenue</v>
      </c>
      <c r="S410" s="25" t="str">
        <f>_xlfn.XLOOKUP(tbl_Ledger[[#This Row],[Account_Code]], tbl_Accounts[Account_Code], tbl_Accounts[PL_Bucket])</f>
        <v>Revenue</v>
      </c>
      <c r="T410" s="25">
        <f t="shared" si="6"/>
        <v>60200</v>
      </c>
    </row>
    <row r="411" spans="1:20">
      <c r="A411" t="s">
        <v>1176</v>
      </c>
      <c r="B411" s="7">
        <v>45865</v>
      </c>
      <c r="C411" t="s">
        <v>93</v>
      </c>
      <c r="D411" t="s">
        <v>111</v>
      </c>
      <c r="E411" t="s">
        <v>170</v>
      </c>
      <c r="F411" s="12" t="s">
        <v>24</v>
      </c>
      <c r="G411" t="s">
        <v>25</v>
      </c>
      <c r="H411" t="s">
        <v>1177</v>
      </c>
      <c r="I411" t="s">
        <v>71</v>
      </c>
      <c r="J411" s="6">
        <v>63400</v>
      </c>
      <c r="K411" t="s">
        <v>3</v>
      </c>
      <c r="L411" t="s">
        <v>1173</v>
      </c>
      <c r="M411" t="s">
        <v>3</v>
      </c>
      <c r="N411" s="25" t="str">
        <f>TEXT(tbl_Ledger[[#This Row],[Date]],"yyyy-mm")</f>
        <v>2025-07</v>
      </c>
      <c r="O411" s="25" t="str">
        <f>TEXT(tbl_Ledger[[#This Row],[Date]],"yyyy-mm") &amp; TRIM(tbl_Ledger[[#This Row],[Currency]])</f>
        <v>2025-07NGN</v>
      </c>
      <c r="P411" s="25">
        <f>_xlfn.XLOOKUP(tbl_Ledger[[#This Row],[Key]], tbl_FX[Key], tbl_FX[Rate_to_NGN])</f>
        <v>1</v>
      </c>
      <c r="Q411" s="37">
        <f>IF(tbl_Ledger[[#This Row],[Account_Type]]="Expense",-ABS(tbl_Ledger[[#This Row],[Amount]]*tbl_Ledger[[#This Row],[Rate_to_NGN]]),tbl_Ledger[[#This Row],[Amount]]*tbl_Ledger[[#This Row],[Rate_to_NGN]])</f>
        <v>63400</v>
      </c>
      <c r="R411" s="25" t="str">
        <f>_xlfn.XLOOKUP(tbl_Ledger[[#This Row],[Account_Code]], tbl_Accounts[Account_Code], tbl_Accounts[Type])</f>
        <v>Revenue</v>
      </c>
      <c r="S411" s="25" t="str">
        <f>_xlfn.XLOOKUP(tbl_Ledger[[#This Row],[Account_Code]], tbl_Accounts[Account_Code], tbl_Accounts[PL_Bucket])</f>
        <v>Revenue</v>
      </c>
      <c r="T411" s="25">
        <f t="shared" si="6"/>
        <v>63400</v>
      </c>
    </row>
    <row r="412" spans="1:20">
      <c r="A412" t="s">
        <v>1178</v>
      </c>
      <c r="B412" s="7">
        <v>45865</v>
      </c>
      <c r="C412" t="s">
        <v>93</v>
      </c>
      <c r="D412" t="s">
        <v>111</v>
      </c>
      <c r="E412" t="s">
        <v>122</v>
      </c>
      <c r="F412" s="12" t="s">
        <v>24</v>
      </c>
      <c r="G412" t="s">
        <v>25</v>
      </c>
      <c r="H412" t="s">
        <v>1179</v>
      </c>
      <c r="I412" t="s">
        <v>71</v>
      </c>
      <c r="J412" s="6">
        <v>61500</v>
      </c>
      <c r="K412" t="s">
        <v>3</v>
      </c>
      <c r="L412" t="s">
        <v>1180</v>
      </c>
      <c r="M412" t="s">
        <v>3</v>
      </c>
      <c r="N412" s="25" t="str">
        <f>TEXT(tbl_Ledger[[#This Row],[Date]],"yyyy-mm")</f>
        <v>2025-07</v>
      </c>
      <c r="O412" s="25" t="str">
        <f>TEXT(tbl_Ledger[[#This Row],[Date]],"yyyy-mm") &amp; TRIM(tbl_Ledger[[#This Row],[Currency]])</f>
        <v>2025-07NGN</v>
      </c>
      <c r="P412" s="25">
        <f>_xlfn.XLOOKUP(tbl_Ledger[[#This Row],[Key]], tbl_FX[Key], tbl_FX[Rate_to_NGN])</f>
        <v>1</v>
      </c>
      <c r="Q412" s="37">
        <f>IF(tbl_Ledger[[#This Row],[Account_Type]]="Expense",-ABS(tbl_Ledger[[#This Row],[Amount]]*tbl_Ledger[[#This Row],[Rate_to_NGN]]),tbl_Ledger[[#This Row],[Amount]]*tbl_Ledger[[#This Row],[Rate_to_NGN]])</f>
        <v>61500</v>
      </c>
      <c r="R412" s="25" t="str">
        <f>_xlfn.XLOOKUP(tbl_Ledger[[#This Row],[Account_Code]], tbl_Accounts[Account_Code], tbl_Accounts[Type])</f>
        <v>Revenue</v>
      </c>
      <c r="S412" s="25" t="str">
        <f>_xlfn.XLOOKUP(tbl_Ledger[[#This Row],[Account_Code]], tbl_Accounts[Account_Code], tbl_Accounts[PL_Bucket])</f>
        <v>Revenue</v>
      </c>
      <c r="T412" s="25">
        <f t="shared" si="6"/>
        <v>61500</v>
      </c>
    </row>
    <row r="413" spans="1:20">
      <c r="A413" t="s">
        <v>1181</v>
      </c>
      <c r="B413" s="7">
        <v>45865</v>
      </c>
      <c r="C413" t="s">
        <v>126</v>
      </c>
      <c r="D413" t="s">
        <v>88</v>
      </c>
      <c r="E413" t="s">
        <v>127</v>
      </c>
      <c r="F413" s="12" t="s">
        <v>29</v>
      </c>
      <c r="G413" t="s">
        <v>30</v>
      </c>
      <c r="H413" t="s">
        <v>1182</v>
      </c>
      <c r="I413" t="s">
        <v>72</v>
      </c>
      <c r="J413" s="6">
        <v>25.75</v>
      </c>
      <c r="K413" t="s">
        <v>129</v>
      </c>
      <c r="L413" t="s">
        <v>1183</v>
      </c>
      <c r="M413" t="s">
        <v>3</v>
      </c>
      <c r="N413" s="25" t="str">
        <f>TEXT(tbl_Ledger[[#This Row],[Date]],"yyyy-mm")</f>
        <v>2025-07</v>
      </c>
      <c r="O413" s="25" t="str">
        <f>TEXT(tbl_Ledger[[#This Row],[Date]],"yyyy-mm") &amp; TRIM(tbl_Ledger[[#This Row],[Currency]])</f>
        <v>2025-07USD</v>
      </c>
      <c r="P413" s="25">
        <f>_xlfn.XLOOKUP(tbl_Ledger[[#This Row],[Key]], tbl_FX[Key], tbl_FX[Rate_to_NGN])</f>
        <v>1530</v>
      </c>
      <c r="Q413" s="37">
        <f>IF(tbl_Ledger[[#This Row],[Account_Type]]="Expense",-ABS(tbl_Ledger[[#This Row],[Amount]]*tbl_Ledger[[#This Row],[Rate_to_NGN]]),tbl_Ledger[[#This Row],[Amount]]*tbl_Ledger[[#This Row],[Rate_to_NGN]])</f>
        <v>39397.5</v>
      </c>
      <c r="R413" s="25" t="str">
        <f>_xlfn.XLOOKUP(tbl_Ledger[[#This Row],[Account_Code]], tbl_Accounts[Account_Code], tbl_Accounts[Type])</f>
        <v>Revenue</v>
      </c>
      <c r="S413" s="25" t="str">
        <f>_xlfn.XLOOKUP(tbl_Ledger[[#This Row],[Account_Code]], tbl_Accounts[Account_Code], tbl_Accounts[PL_Bucket])</f>
        <v>Revenue</v>
      </c>
      <c r="T413" s="25">
        <f t="shared" si="6"/>
        <v>39397.5</v>
      </c>
    </row>
    <row r="414" spans="1:20">
      <c r="A414" t="s">
        <v>1184</v>
      </c>
      <c r="B414" s="7">
        <v>45865</v>
      </c>
      <c r="C414" t="s">
        <v>126</v>
      </c>
      <c r="D414" t="s">
        <v>88</v>
      </c>
      <c r="E414" t="s">
        <v>132</v>
      </c>
      <c r="F414" s="12" t="s">
        <v>29</v>
      </c>
      <c r="G414" t="s">
        <v>30</v>
      </c>
      <c r="H414" t="s">
        <v>1185</v>
      </c>
      <c r="I414" t="s">
        <v>72</v>
      </c>
      <c r="J414" s="6">
        <v>29.15</v>
      </c>
      <c r="K414" t="s">
        <v>134</v>
      </c>
      <c r="L414" t="s">
        <v>1183</v>
      </c>
      <c r="M414" t="s">
        <v>3</v>
      </c>
      <c r="N414" s="25" t="str">
        <f>TEXT(tbl_Ledger[[#This Row],[Date]],"yyyy-mm")</f>
        <v>2025-07</v>
      </c>
      <c r="O414" s="25" t="str">
        <f>TEXT(tbl_Ledger[[#This Row],[Date]],"yyyy-mm") &amp; TRIM(tbl_Ledger[[#This Row],[Currency]])</f>
        <v>2025-07USD</v>
      </c>
      <c r="P414" s="25">
        <f>_xlfn.XLOOKUP(tbl_Ledger[[#This Row],[Key]], tbl_FX[Key], tbl_FX[Rate_to_NGN])</f>
        <v>1530</v>
      </c>
      <c r="Q414" s="37">
        <f>IF(tbl_Ledger[[#This Row],[Account_Type]]="Expense",-ABS(tbl_Ledger[[#This Row],[Amount]]*tbl_Ledger[[#This Row],[Rate_to_NGN]]),tbl_Ledger[[#This Row],[Amount]]*tbl_Ledger[[#This Row],[Rate_to_NGN]])</f>
        <v>44599.5</v>
      </c>
      <c r="R414" s="25" t="str">
        <f>_xlfn.XLOOKUP(tbl_Ledger[[#This Row],[Account_Code]], tbl_Accounts[Account_Code], tbl_Accounts[Type])</f>
        <v>Revenue</v>
      </c>
      <c r="S414" s="25" t="str">
        <f>_xlfn.XLOOKUP(tbl_Ledger[[#This Row],[Account_Code]], tbl_Accounts[Account_Code], tbl_Accounts[PL_Bucket])</f>
        <v>Revenue</v>
      </c>
      <c r="T414" s="25">
        <f t="shared" si="6"/>
        <v>44599.5</v>
      </c>
    </row>
    <row r="415" spans="1:20">
      <c r="A415" t="s">
        <v>1186</v>
      </c>
      <c r="B415" s="7">
        <v>45865</v>
      </c>
      <c r="C415" t="s">
        <v>126</v>
      </c>
      <c r="D415" t="s">
        <v>88</v>
      </c>
      <c r="E415" t="s">
        <v>140</v>
      </c>
      <c r="F415" s="12" t="s">
        <v>29</v>
      </c>
      <c r="G415" t="s">
        <v>30</v>
      </c>
      <c r="H415" t="s">
        <v>1187</v>
      </c>
      <c r="I415" t="s">
        <v>71</v>
      </c>
      <c r="J415" s="6">
        <v>44700</v>
      </c>
      <c r="K415" t="s">
        <v>3</v>
      </c>
      <c r="L415" t="s">
        <v>1188</v>
      </c>
      <c r="M415" t="s">
        <v>3</v>
      </c>
      <c r="N415" s="25" t="str">
        <f>TEXT(tbl_Ledger[[#This Row],[Date]],"yyyy-mm")</f>
        <v>2025-07</v>
      </c>
      <c r="O415" s="25" t="str">
        <f>TEXT(tbl_Ledger[[#This Row],[Date]],"yyyy-mm") &amp; TRIM(tbl_Ledger[[#This Row],[Currency]])</f>
        <v>2025-07NGN</v>
      </c>
      <c r="P415" s="25">
        <f>_xlfn.XLOOKUP(tbl_Ledger[[#This Row],[Key]], tbl_FX[Key], tbl_FX[Rate_to_NGN])</f>
        <v>1</v>
      </c>
      <c r="Q415" s="37">
        <f>IF(tbl_Ledger[[#This Row],[Account_Type]]="Expense",-ABS(tbl_Ledger[[#This Row],[Amount]]*tbl_Ledger[[#This Row],[Rate_to_NGN]]),tbl_Ledger[[#This Row],[Amount]]*tbl_Ledger[[#This Row],[Rate_to_NGN]])</f>
        <v>44700</v>
      </c>
      <c r="R415" s="25" t="str">
        <f>_xlfn.XLOOKUP(tbl_Ledger[[#This Row],[Account_Code]], tbl_Accounts[Account_Code], tbl_Accounts[Type])</f>
        <v>Revenue</v>
      </c>
      <c r="S415" s="25" t="str">
        <f>_xlfn.XLOOKUP(tbl_Ledger[[#This Row],[Account_Code]], tbl_Accounts[Account_Code], tbl_Accounts[PL_Bucket])</f>
        <v>Revenue</v>
      </c>
      <c r="T415" s="25">
        <f t="shared" si="6"/>
        <v>44700</v>
      </c>
    </row>
    <row r="416" spans="1:20">
      <c r="A416" t="s">
        <v>1189</v>
      </c>
      <c r="B416" s="7">
        <v>45865</v>
      </c>
      <c r="C416" t="s">
        <v>87</v>
      </c>
      <c r="D416" t="s">
        <v>88</v>
      </c>
      <c r="E416" t="s">
        <v>3</v>
      </c>
      <c r="F416" s="12" t="s">
        <v>40</v>
      </c>
      <c r="G416" t="s">
        <v>41</v>
      </c>
      <c r="H416" t="s">
        <v>148</v>
      </c>
      <c r="I416" t="s">
        <v>71</v>
      </c>
      <c r="J416" s="6">
        <v>-478000</v>
      </c>
      <c r="K416" t="s">
        <v>90</v>
      </c>
      <c r="L416" t="s">
        <v>1190</v>
      </c>
      <c r="M416" t="s">
        <v>3</v>
      </c>
      <c r="N416" s="25" t="str">
        <f>TEXT(tbl_Ledger[[#This Row],[Date]],"yyyy-mm")</f>
        <v>2025-07</v>
      </c>
      <c r="O416" s="25" t="str">
        <f>TEXT(tbl_Ledger[[#This Row],[Date]],"yyyy-mm") &amp; TRIM(tbl_Ledger[[#This Row],[Currency]])</f>
        <v>2025-07NGN</v>
      </c>
      <c r="P416" s="25">
        <f>_xlfn.XLOOKUP(tbl_Ledger[[#This Row],[Key]], tbl_FX[Key], tbl_FX[Rate_to_NGN])</f>
        <v>1</v>
      </c>
      <c r="Q416" s="37">
        <f>IF(tbl_Ledger[[#This Row],[Account_Type]]="Expense",-ABS(tbl_Ledger[[#This Row],[Amount]]*tbl_Ledger[[#This Row],[Rate_to_NGN]]),tbl_Ledger[[#This Row],[Amount]]*tbl_Ledger[[#This Row],[Rate_to_NGN]])</f>
        <v>-478000</v>
      </c>
      <c r="R416" s="25" t="str">
        <f>_xlfn.XLOOKUP(tbl_Ledger[[#This Row],[Account_Code]], tbl_Accounts[Account_Code], tbl_Accounts[Type])</f>
        <v>COGS</v>
      </c>
      <c r="S416" s="25" t="str">
        <f>_xlfn.XLOOKUP(tbl_Ledger[[#This Row],[Account_Code]], tbl_Accounts[Account_Code], tbl_Accounts[PL_Bucket])</f>
        <v>COGS</v>
      </c>
      <c r="T416" s="25">
        <f t="shared" si="6"/>
        <v>-478000</v>
      </c>
    </row>
    <row r="417" spans="1:20">
      <c r="A417" t="s">
        <v>1191</v>
      </c>
      <c r="B417" s="7">
        <v>45866</v>
      </c>
      <c r="C417" t="s">
        <v>93</v>
      </c>
      <c r="D417" t="s">
        <v>94</v>
      </c>
      <c r="E417" t="s">
        <v>95</v>
      </c>
      <c r="F417" s="12" t="s">
        <v>24</v>
      </c>
      <c r="G417" t="s">
        <v>25</v>
      </c>
      <c r="H417" t="s">
        <v>1192</v>
      </c>
      <c r="I417" t="s">
        <v>71</v>
      </c>
      <c r="J417" s="6">
        <v>31600</v>
      </c>
      <c r="K417" t="s">
        <v>3</v>
      </c>
      <c r="L417" t="s">
        <v>1193</v>
      </c>
      <c r="M417" t="s">
        <v>3</v>
      </c>
      <c r="N417" s="25" t="str">
        <f>TEXT(tbl_Ledger[[#This Row],[Date]],"yyyy-mm")</f>
        <v>2025-07</v>
      </c>
      <c r="O417" s="25" t="str">
        <f>TEXT(tbl_Ledger[[#This Row],[Date]],"yyyy-mm") &amp; TRIM(tbl_Ledger[[#This Row],[Currency]])</f>
        <v>2025-07NGN</v>
      </c>
      <c r="P417" s="25">
        <f>_xlfn.XLOOKUP(tbl_Ledger[[#This Row],[Key]], tbl_FX[Key], tbl_FX[Rate_to_NGN])</f>
        <v>1</v>
      </c>
      <c r="Q417" s="37">
        <f>IF(tbl_Ledger[[#This Row],[Account_Type]]="Expense",-ABS(tbl_Ledger[[#This Row],[Amount]]*tbl_Ledger[[#This Row],[Rate_to_NGN]]),tbl_Ledger[[#This Row],[Amount]]*tbl_Ledger[[#This Row],[Rate_to_NGN]])</f>
        <v>31600</v>
      </c>
      <c r="R417" s="25" t="str">
        <f>_xlfn.XLOOKUP(tbl_Ledger[[#This Row],[Account_Code]], tbl_Accounts[Account_Code], tbl_Accounts[Type])</f>
        <v>Revenue</v>
      </c>
      <c r="S417" s="25" t="str">
        <f>_xlfn.XLOOKUP(tbl_Ledger[[#This Row],[Account_Code]], tbl_Accounts[Account_Code], tbl_Accounts[PL_Bucket])</f>
        <v>Revenue</v>
      </c>
      <c r="T417" s="25">
        <f t="shared" si="6"/>
        <v>31600</v>
      </c>
    </row>
    <row r="418" spans="1:20">
      <c r="A418" t="s">
        <v>1194</v>
      </c>
      <c r="B418" s="7">
        <v>45866</v>
      </c>
      <c r="C418" t="s">
        <v>93</v>
      </c>
      <c r="D418" t="s">
        <v>94</v>
      </c>
      <c r="E418" t="s">
        <v>99</v>
      </c>
      <c r="F418" s="12" t="s">
        <v>24</v>
      </c>
      <c r="G418" t="s">
        <v>25</v>
      </c>
      <c r="H418" t="s">
        <v>1195</v>
      </c>
      <c r="I418" t="s">
        <v>71</v>
      </c>
      <c r="J418" s="6">
        <v>27200</v>
      </c>
      <c r="K418" t="s">
        <v>3</v>
      </c>
      <c r="L418" t="s">
        <v>1196</v>
      </c>
      <c r="M418" t="s">
        <v>3</v>
      </c>
      <c r="N418" s="25" t="str">
        <f>TEXT(tbl_Ledger[[#This Row],[Date]],"yyyy-mm")</f>
        <v>2025-07</v>
      </c>
      <c r="O418" s="25" t="str">
        <f>TEXT(tbl_Ledger[[#This Row],[Date]],"yyyy-mm") &amp; TRIM(tbl_Ledger[[#This Row],[Currency]])</f>
        <v>2025-07NGN</v>
      </c>
      <c r="P418" s="25">
        <f>_xlfn.XLOOKUP(tbl_Ledger[[#This Row],[Key]], tbl_FX[Key], tbl_FX[Rate_to_NGN])</f>
        <v>1</v>
      </c>
      <c r="Q418" s="37">
        <f>IF(tbl_Ledger[[#This Row],[Account_Type]]="Expense",-ABS(tbl_Ledger[[#This Row],[Amount]]*tbl_Ledger[[#This Row],[Rate_to_NGN]]),tbl_Ledger[[#This Row],[Amount]]*tbl_Ledger[[#This Row],[Rate_to_NGN]])</f>
        <v>27200</v>
      </c>
      <c r="R418" s="25" t="str">
        <f>_xlfn.XLOOKUP(tbl_Ledger[[#This Row],[Account_Code]], tbl_Accounts[Account_Code], tbl_Accounts[Type])</f>
        <v>Revenue</v>
      </c>
      <c r="S418" s="25" t="str">
        <f>_xlfn.XLOOKUP(tbl_Ledger[[#This Row],[Account_Code]], tbl_Accounts[Account_Code], tbl_Accounts[PL_Bucket])</f>
        <v>Revenue</v>
      </c>
      <c r="T418" s="25">
        <f t="shared" si="6"/>
        <v>27200</v>
      </c>
    </row>
    <row r="419" spans="1:20">
      <c r="A419" t="s">
        <v>1197</v>
      </c>
      <c r="B419" s="7">
        <v>45866</v>
      </c>
      <c r="C419" t="s">
        <v>93</v>
      </c>
      <c r="D419" t="s">
        <v>94</v>
      </c>
      <c r="E419" t="s">
        <v>103</v>
      </c>
      <c r="F419" s="12" t="s">
        <v>24</v>
      </c>
      <c r="G419" t="s">
        <v>25</v>
      </c>
      <c r="H419" t="s">
        <v>1198</v>
      </c>
      <c r="I419" t="s">
        <v>71</v>
      </c>
      <c r="J419" s="6">
        <v>29400</v>
      </c>
      <c r="K419" t="s">
        <v>3</v>
      </c>
      <c r="L419" t="s">
        <v>1199</v>
      </c>
      <c r="M419" t="s">
        <v>3</v>
      </c>
      <c r="N419" s="25" t="str">
        <f>TEXT(tbl_Ledger[[#This Row],[Date]],"yyyy-mm")</f>
        <v>2025-07</v>
      </c>
      <c r="O419" s="25" t="str">
        <f>TEXT(tbl_Ledger[[#This Row],[Date]],"yyyy-mm") &amp; TRIM(tbl_Ledger[[#This Row],[Currency]])</f>
        <v>2025-07NGN</v>
      </c>
      <c r="P419" s="25">
        <f>_xlfn.XLOOKUP(tbl_Ledger[[#This Row],[Key]], tbl_FX[Key], tbl_FX[Rate_to_NGN])</f>
        <v>1</v>
      </c>
      <c r="Q419" s="37">
        <f>IF(tbl_Ledger[[#This Row],[Account_Type]]="Expense",-ABS(tbl_Ledger[[#This Row],[Amount]]*tbl_Ledger[[#This Row],[Rate_to_NGN]]),tbl_Ledger[[#This Row],[Amount]]*tbl_Ledger[[#This Row],[Rate_to_NGN]])</f>
        <v>29400</v>
      </c>
      <c r="R419" s="25" t="str">
        <f>_xlfn.XLOOKUP(tbl_Ledger[[#This Row],[Account_Code]], tbl_Accounts[Account_Code], tbl_Accounts[Type])</f>
        <v>Revenue</v>
      </c>
      <c r="S419" s="25" t="str">
        <f>_xlfn.XLOOKUP(tbl_Ledger[[#This Row],[Account_Code]], tbl_Accounts[Account_Code], tbl_Accounts[PL_Bucket])</f>
        <v>Revenue</v>
      </c>
      <c r="T419" s="25">
        <f t="shared" si="6"/>
        <v>29400</v>
      </c>
    </row>
    <row r="420" spans="1:20">
      <c r="A420" t="s">
        <v>1200</v>
      </c>
      <c r="B420" s="7">
        <v>45866</v>
      </c>
      <c r="C420" t="s">
        <v>93</v>
      </c>
      <c r="D420" t="s">
        <v>94</v>
      </c>
      <c r="E420" t="s">
        <v>160</v>
      </c>
      <c r="F420" s="12" t="s">
        <v>24</v>
      </c>
      <c r="G420" t="s">
        <v>25</v>
      </c>
      <c r="H420" t="s">
        <v>1201</v>
      </c>
      <c r="I420" t="s">
        <v>71</v>
      </c>
      <c r="J420" s="6">
        <v>30900</v>
      </c>
      <c r="K420" t="s">
        <v>3</v>
      </c>
      <c r="L420" t="s">
        <v>1199</v>
      </c>
      <c r="M420" t="s">
        <v>3</v>
      </c>
      <c r="N420" s="25" t="str">
        <f>TEXT(tbl_Ledger[[#This Row],[Date]],"yyyy-mm")</f>
        <v>2025-07</v>
      </c>
      <c r="O420" s="25" t="str">
        <f>TEXT(tbl_Ledger[[#This Row],[Date]],"yyyy-mm") &amp; TRIM(tbl_Ledger[[#This Row],[Currency]])</f>
        <v>2025-07NGN</v>
      </c>
      <c r="P420" s="25">
        <f>_xlfn.XLOOKUP(tbl_Ledger[[#This Row],[Key]], tbl_FX[Key], tbl_FX[Rate_to_NGN])</f>
        <v>1</v>
      </c>
      <c r="Q420" s="37">
        <f>IF(tbl_Ledger[[#This Row],[Account_Type]]="Expense",-ABS(tbl_Ledger[[#This Row],[Amount]]*tbl_Ledger[[#This Row],[Rate_to_NGN]]),tbl_Ledger[[#This Row],[Amount]]*tbl_Ledger[[#This Row],[Rate_to_NGN]])</f>
        <v>30900</v>
      </c>
      <c r="R420" s="25" t="str">
        <f>_xlfn.XLOOKUP(tbl_Ledger[[#This Row],[Account_Code]], tbl_Accounts[Account_Code], tbl_Accounts[Type])</f>
        <v>Revenue</v>
      </c>
      <c r="S420" s="25" t="str">
        <f>_xlfn.XLOOKUP(tbl_Ledger[[#This Row],[Account_Code]], tbl_Accounts[Account_Code], tbl_Accounts[PL_Bucket])</f>
        <v>Revenue</v>
      </c>
      <c r="T420" s="25">
        <f t="shared" si="6"/>
        <v>30900</v>
      </c>
    </row>
    <row r="421" spans="1:20">
      <c r="A421" t="s">
        <v>1202</v>
      </c>
      <c r="B421" s="7">
        <v>45866</v>
      </c>
      <c r="C421" t="s">
        <v>93</v>
      </c>
      <c r="D421" t="s">
        <v>94</v>
      </c>
      <c r="E421" t="s">
        <v>107</v>
      </c>
      <c r="F421" s="12" t="s">
        <v>24</v>
      </c>
      <c r="G421" t="s">
        <v>25</v>
      </c>
      <c r="H421" t="s">
        <v>1203</v>
      </c>
      <c r="I421" t="s">
        <v>71</v>
      </c>
      <c r="J421" s="6">
        <v>30400</v>
      </c>
      <c r="K421" t="s">
        <v>3</v>
      </c>
      <c r="L421" t="s">
        <v>1204</v>
      </c>
      <c r="M421" t="s">
        <v>3</v>
      </c>
      <c r="N421" s="25" t="str">
        <f>TEXT(tbl_Ledger[[#This Row],[Date]],"yyyy-mm")</f>
        <v>2025-07</v>
      </c>
      <c r="O421" s="25" t="str">
        <f>TEXT(tbl_Ledger[[#This Row],[Date]],"yyyy-mm") &amp; TRIM(tbl_Ledger[[#This Row],[Currency]])</f>
        <v>2025-07NGN</v>
      </c>
      <c r="P421" s="25">
        <f>_xlfn.XLOOKUP(tbl_Ledger[[#This Row],[Key]], tbl_FX[Key], tbl_FX[Rate_to_NGN])</f>
        <v>1</v>
      </c>
      <c r="Q421" s="37">
        <f>IF(tbl_Ledger[[#This Row],[Account_Type]]="Expense",-ABS(tbl_Ledger[[#This Row],[Amount]]*tbl_Ledger[[#This Row],[Rate_to_NGN]]),tbl_Ledger[[#This Row],[Amount]]*tbl_Ledger[[#This Row],[Rate_to_NGN]])</f>
        <v>30400</v>
      </c>
      <c r="R421" s="25" t="str">
        <f>_xlfn.XLOOKUP(tbl_Ledger[[#This Row],[Account_Code]], tbl_Accounts[Account_Code], tbl_Accounts[Type])</f>
        <v>Revenue</v>
      </c>
      <c r="S421" s="25" t="str">
        <f>_xlfn.XLOOKUP(tbl_Ledger[[#This Row],[Account_Code]], tbl_Accounts[Account_Code], tbl_Accounts[PL_Bucket])</f>
        <v>Revenue</v>
      </c>
      <c r="T421" s="25">
        <f t="shared" si="6"/>
        <v>30400</v>
      </c>
    </row>
    <row r="422" spans="1:20">
      <c r="A422" t="s">
        <v>1205</v>
      </c>
      <c r="B422" s="7">
        <v>45866</v>
      </c>
      <c r="C422" t="s">
        <v>93</v>
      </c>
      <c r="D422" t="s">
        <v>111</v>
      </c>
      <c r="E422" t="s">
        <v>112</v>
      </c>
      <c r="F422" s="12" t="s">
        <v>24</v>
      </c>
      <c r="G422" t="s">
        <v>25</v>
      </c>
      <c r="H422" t="s">
        <v>1206</v>
      </c>
      <c r="I422" t="s">
        <v>71</v>
      </c>
      <c r="J422" s="6">
        <v>46700</v>
      </c>
      <c r="K422" t="s">
        <v>3</v>
      </c>
      <c r="L422" t="s">
        <v>1207</v>
      </c>
      <c r="M422" t="s">
        <v>3</v>
      </c>
      <c r="N422" s="25" t="str">
        <f>TEXT(tbl_Ledger[[#This Row],[Date]],"yyyy-mm")</f>
        <v>2025-07</v>
      </c>
      <c r="O422" s="25" t="str">
        <f>TEXT(tbl_Ledger[[#This Row],[Date]],"yyyy-mm") &amp; TRIM(tbl_Ledger[[#This Row],[Currency]])</f>
        <v>2025-07NGN</v>
      </c>
      <c r="P422" s="25">
        <f>_xlfn.XLOOKUP(tbl_Ledger[[#This Row],[Key]], tbl_FX[Key], tbl_FX[Rate_to_NGN])</f>
        <v>1</v>
      </c>
      <c r="Q422" s="37">
        <f>IF(tbl_Ledger[[#This Row],[Account_Type]]="Expense",-ABS(tbl_Ledger[[#This Row],[Amount]]*tbl_Ledger[[#This Row],[Rate_to_NGN]]),tbl_Ledger[[#This Row],[Amount]]*tbl_Ledger[[#This Row],[Rate_to_NGN]])</f>
        <v>46700</v>
      </c>
      <c r="R422" s="25" t="str">
        <f>_xlfn.XLOOKUP(tbl_Ledger[[#This Row],[Account_Code]], tbl_Accounts[Account_Code], tbl_Accounts[Type])</f>
        <v>Revenue</v>
      </c>
      <c r="S422" s="25" t="str">
        <f>_xlfn.XLOOKUP(tbl_Ledger[[#This Row],[Account_Code]], tbl_Accounts[Account_Code], tbl_Accounts[PL_Bucket])</f>
        <v>Revenue</v>
      </c>
      <c r="T422" s="25">
        <f t="shared" si="6"/>
        <v>46700</v>
      </c>
    </row>
    <row r="423" spans="1:20">
      <c r="A423" t="s">
        <v>1208</v>
      </c>
      <c r="B423" s="7">
        <v>45866</v>
      </c>
      <c r="C423" t="s">
        <v>93</v>
      </c>
      <c r="D423" t="s">
        <v>111</v>
      </c>
      <c r="E423" t="s">
        <v>116</v>
      </c>
      <c r="F423" s="12" t="s">
        <v>24</v>
      </c>
      <c r="G423" t="s">
        <v>25</v>
      </c>
      <c r="H423" t="s">
        <v>1209</v>
      </c>
      <c r="I423" t="s">
        <v>71</v>
      </c>
      <c r="J423" s="6">
        <v>45900</v>
      </c>
      <c r="K423" t="s">
        <v>3</v>
      </c>
      <c r="L423" t="s">
        <v>1207</v>
      </c>
      <c r="M423" t="s">
        <v>3</v>
      </c>
      <c r="N423" s="25" t="str">
        <f>TEXT(tbl_Ledger[[#This Row],[Date]],"yyyy-mm")</f>
        <v>2025-07</v>
      </c>
      <c r="O423" s="25" t="str">
        <f>TEXT(tbl_Ledger[[#This Row],[Date]],"yyyy-mm") &amp; TRIM(tbl_Ledger[[#This Row],[Currency]])</f>
        <v>2025-07NGN</v>
      </c>
      <c r="P423" s="25">
        <f>_xlfn.XLOOKUP(tbl_Ledger[[#This Row],[Key]], tbl_FX[Key], tbl_FX[Rate_to_NGN])</f>
        <v>1</v>
      </c>
      <c r="Q423" s="37">
        <f>IF(tbl_Ledger[[#This Row],[Account_Type]]="Expense",-ABS(tbl_Ledger[[#This Row],[Amount]]*tbl_Ledger[[#This Row],[Rate_to_NGN]]),tbl_Ledger[[#This Row],[Amount]]*tbl_Ledger[[#This Row],[Rate_to_NGN]])</f>
        <v>45900</v>
      </c>
      <c r="R423" s="25" t="str">
        <f>_xlfn.XLOOKUP(tbl_Ledger[[#This Row],[Account_Code]], tbl_Accounts[Account_Code], tbl_Accounts[Type])</f>
        <v>Revenue</v>
      </c>
      <c r="S423" s="25" t="str">
        <f>_xlfn.XLOOKUP(tbl_Ledger[[#This Row],[Account_Code]], tbl_Accounts[Account_Code], tbl_Accounts[PL_Bucket])</f>
        <v>Revenue</v>
      </c>
      <c r="T423" s="25">
        <f t="shared" si="6"/>
        <v>45900</v>
      </c>
    </row>
    <row r="424" spans="1:20">
      <c r="A424" t="s">
        <v>1210</v>
      </c>
      <c r="B424" s="7">
        <v>45866</v>
      </c>
      <c r="C424" t="s">
        <v>93</v>
      </c>
      <c r="D424" t="s">
        <v>111</v>
      </c>
      <c r="E424" t="s">
        <v>119</v>
      </c>
      <c r="F424" s="12" t="s">
        <v>24</v>
      </c>
      <c r="G424" t="s">
        <v>25</v>
      </c>
      <c r="H424" t="s">
        <v>1211</v>
      </c>
      <c r="I424" t="s">
        <v>71</v>
      </c>
      <c r="J424" s="6">
        <v>46300</v>
      </c>
      <c r="K424" t="s">
        <v>3</v>
      </c>
      <c r="L424" t="s">
        <v>1207</v>
      </c>
      <c r="M424" t="s">
        <v>3</v>
      </c>
      <c r="N424" s="25" t="str">
        <f>TEXT(tbl_Ledger[[#This Row],[Date]],"yyyy-mm")</f>
        <v>2025-07</v>
      </c>
      <c r="O424" s="25" t="str">
        <f>TEXT(tbl_Ledger[[#This Row],[Date]],"yyyy-mm") &amp; TRIM(tbl_Ledger[[#This Row],[Currency]])</f>
        <v>2025-07NGN</v>
      </c>
      <c r="P424" s="25">
        <f>_xlfn.XLOOKUP(tbl_Ledger[[#This Row],[Key]], tbl_FX[Key], tbl_FX[Rate_to_NGN])</f>
        <v>1</v>
      </c>
      <c r="Q424" s="37">
        <f>IF(tbl_Ledger[[#This Row],[Account_Type]]="Expense",-ABS(tbl_Ledger[[#This Row],[Amount]]*tbl_Ledger[[#This Row],[Rate_to_NGN]]),tbl_Ledger[[#This Row],[Amount]]*tbl_Ledger[[#This Row],[Rate_to_NGN]])</f>
        <v>46300</v>
      </c>
      <c r="R424" s="25" t="str">
        <f>_xlfn.XLOOKUP(tbl_Ledger[[#This Row],[Account_Code]], tbl_Accounts[Account_Code], tbl_Accounts[Type])</f>
        <v>Revenue</v>
      </c>
      <c r="S424" s="25" t="str">
        <f>_xlfn.XLOOKUP(tbl_Ledger[[#This Row],[Account_Code]], tbl_Accounts[Account_Code], tbl_Accounts[PL_Bucket])</f>
        <v>Revenue</v>
      </c>
      <c r="T424" s="25">
        <f t="shared" si="6"/>
        <v>46300</v>
      </c>
    </row>
    <row r="425" spans="1:20">
      <c r="A425" t="s">
        <v>1212</v>
      </c>
      <c r="B425" s="7">
        <v>45866</v>
      </c>
      <c r="C425" t="s">
        <v>93</v>
      </c>
      <c r="D425" t="s">
        <v>111</v>
      </c>
      <c r="E425" t="s">
        <v>170</v>
      </c>
      <c r="F425" s="12" t="s">
        <v>24</v>
      </c>
      <c r="G425" t="s">
        <v>25</v>
      </c>
      <c r="H425" t="s">
        <v>1213</v>
      </c>
      <c r="I425" t="s">
        <v>71</v>
      </c>
      <c r="J425" s="6">
        <v>48900</v>
      </c>
      <c r="K425" t="s">
        <v>3</v>
      </c>
      <c r="L425" t="s">
        <v>1207</v>
      </c>
      <c r="M425" t="s">
        <v>3</v>
      </c>
      <c r="N425" s="25" t="str">
        <f>TEXT(tbl_Ledger[[#This Row],[Date]],"yyyy-mm")</f>
        <v>2025-07</v>
      </c>
      <c r="O425" s="25" t="str">
        <f>TEXT(tbl_Ledger[[#This Row],[Date]],"yyyy-mm") &amp; TRIM(tbl_Ledger[[#This Row],[Currency]])</f>
        <v>2025-07NGN</v>
      </c>
      <c r="P425" s="25">
        <f>_xlfn.XLOOKUP(tbl_Ledger[[#This Row],[Key]], tbl_FX[Key], tbl_FX[Rate_to_NGN])</f>
        <v>1</v>
      </c>
      <c r="Q425" s="37">
        <f>IF(tbl_Ledger[[#This Row],[Account_Type]]="Expense",-ABS(tbl_Ledger[[#This Row],[Amount]]*tbl_Ledger[[#This Row],[Rate_to_NGN]]),tbl_Ledger[[#This Row],[Amount]]*tbl_Ledger[[#This Row],[Rate_to_NGN]])</f>
        <v>48900</v>
      </c>
      <c r="R425" s="25" t="str">
        <f>_xlfn.XLOOKUP(tbl_Ledger[[#This Row],[Account_Code]], tbl_Accounts[Account_Code], tbl_Accounts[Type])</f>
        <v>Revenue</v>
      </c>
      <c r="S425" s="25" t="str">
        <f>_xlfn.XLOOKUP(tbl_Ledger[[#This Row],[Account_Code]], tbl_Accounts[Account_Code], tbl_Accounts[PL_Bucket])</f>
        <v>Revenue</v>
      </c>
      <c r="T425" s="25">
        <f t="shared" si="6"/>
        <v>48900</v>
      </c>
    </row>
    <row r="426" spans="1:20">
      <c r="A426" t="s">
        <v>1214</v>
      </c>
      <c r="B426" s="7">
        <v>45866</v>
      </c>
      <c r="C426" t="s">
        <v>93</v>
      </c>
      <c r="D426" t="s">
        <v>111</v>
      </c>
      <c r="E426" t="s">
        <v>122</v>
      </c>
      <c r="F426" s="12" t="s">
        <v>24</v>
      </c>
      <c r="G426" t="s">
        <v>25</v>
      </c>
      <c r="H426" t="s">
        <v>1215</v>
      </c>
      <c r="I426" t="s">
        <v>71</v>
      </c>
      <c r="J426" s="6">
        <v>47300</v>
      </c>
      <c r="K426" t="s">
        <v>3</v>
      </c>
      <c r="L426" t="s">
        <v>1216</v>
      </c>
      <c r="M426" t="s">
        <v>3</v>
      </c>
      <c r="N426" s="25" t="str">
        <f>TEXT(tbl_Ledger[[#This Row],[Date]],"yyyy-mm")</f>
        <v>2025-07</v>
      </c>
      <c r="O426" s="25" t="str">
        <f>TEXT(tbl_Ledger[[#This Row],[Date]],"yyyy-mm") &amp; TRIM(tbl_Ledger[[#This Row],[Currency]])</f>
        <v>2025-07NGN</v>
      </c>
      <c r="P426" s="25">
        <f>_xlfn.XLOOKUP(tbl_Ledger[[#This Row],[Key]], tbl_FX[Key], tbl_FX[Rate_to_NGN])</f>
        <v>1</v>
      </c>
      <c r="Q426" s="37">
        <f>IF(tbl_Ledger[[#This Row],[Account_Type]]="Expense",-ABS(tbl_Ledger[[#This Row],[Amount]]*tbl_Ledger[[#This Row],[Rate_to_NGN]]),tbl_Ledger[[#This Row],[Amount]]*tbl_Ledger[[#This Row],[Rate_to_NGN]])</f>
        <v>47300</v>
      </c>
      <c r="R426" s="25" t="str">
        <f>_xlfn.XLOOKUP(tbl_Ledger[[#This Row],[Account_Code]], tbl_Accounts[Account_Code], tbl_Accounts[Type])</f>
        <v>Revenue</v>
      </c>
      <c r="S426" s="25" t="str">
        <f>_xlfn.XLOOKUP(tbl_Ledger[[#This Row],[Account_Code]], tbl_Accounts[Account_Code], tbl_Accounts[PL_Bucket])</f>
        <v>Revenue</v>
      </c>
      <c r="T426" s="25">
        <f t="shared" si="6"/>
        <v>47300</v>
      </c>
    </row>
    <row r="427" spans="1:20">
      <c r="A427" t="s">
        <v>1217</v>
      </c>
      <c r="B427" s="7">
        <v>45866</v>
      </c>
      <c r="C427" t="s">
        <v>126</v>
      </c>
      <c r="D427" t="s">
        <v>88</v>
      </c>
      <c r="E427" t="s">
        <v>127</v>
      </c>
      <c r="F427" s="12" t="s">
        <v>29</v>
      </c>
      <c r="G427" t="s">
        <v>30</v>
      </c>
      <c r="H427" t="s">
        <v>1218</v>
      </c>
      <c r="I427" t="s">
        <v>71</v>
      </c>
      <c r="J427" s="6">
        <v>46500</v>
      </c>
      <c r="K427" t="s">
        <v>129</v>
      </c>
      <c r="L427" t="s">
        <v>1219</v>
      </c>
      <c r="M427" t="s">
        <v>3</v>
      </c>
      <c r="N427" s="25" t="str">
        <f>TEXT(tbl_Ledger[[#This Row],[Date]],"yyyy-mm")</f>
        <v>2025-07</v>
      </c>
      <c r="O427" s="25" t="str">
        <f>TEXT(tbl_Ledger[[#This Row],[Date]],"yyyy-mm") &amp; TRIM(tbl_Ledger[[#This Row],[Currency]])</f>
        <v>2025-07NGN</v>
      </c>
      <c r="P427" s="25">
        <f>_xlfn.XLOOKUP(tbl_Ledger[[#This Row],[Key]], tbl_FX[Key], tbl_FX[Rate_to_NGN])</f>
        <v>1</v>
      </c>
      <c r="Q427" s="37">
        <f>IF(tbl_Ledger[[#This Row],[Account_Type]]="Expense",-ABS(tbl_Ledger[[#This Row],[Amount]]*tbl_Ledger[[#This Row],[Rate_to_NGN]]),tbl_Ledger[[#This Row],[Amount]]*tbl_Ledger[[#This Row],[Rate_to_NGN]])</f>
        <v>46500</v>
      </c>
      <c r="R427" s="25" t="str">
        <f>_xlfn.XLOOKUP(tbl_Ledger[[#This Row],[Account_Code]], tbl_Accounts[Account_Code], tbl_Accounts[Type])</f>
        <v>Revenue</v>
      </c>
      <c r="S427" s="25" t="str">
        <f>_xlfn.XLOOKUP(tbl_Ledger[[#This Row],[Account_Code]], tbl_Accounts[Account_Code], tbl_Accounts[PL_Bucket])</f>
        <v>Revenue</v>
      </c>
      <c r="T427" s="25">
        <f t="shared" si="6"/>
        <v>46500</v>
      </c>
    </row>
    <row r="428" spans="1:20">
      <c r="A428" t="s">
        <v>1220</v>
      </c>
      <c r="B428" s="7">
        <v>45866</v>
      </c>
      <c r="C428" t="s">
        <v>126</v>
      </c>
      <c r="D428" t="s">
        <v>88</v>
      </c>
      <c r="E428" t="s">
        <v>132</v>
      </c>
      <c r="F428" s="12" t="s">
        <v>29</v>
      </c>
      <c r="G428" t="s">
        <v>30</v>
      </c>
      <c r="H428" t="s">
        <v>1221</v>
      </c>
      <c r="I428" t="s">
        <v>71</v>
      </c>
      <c r="J428" s="6">
        <v>50400</v>
      </c>
      <c r="K428" t="s">
        <v>134</v>
      </c>
      <c r="L428" t="s">
        <v>1219</v>
      </c>
      <c r="M428" t="s">
        <v>3</v>
      </c>
      <c r="N428" s="25" t="str">
        <f>TEXT(tbl_Ledger[[#This Row],[Date]],"yyyy-mm")</f>
        <v>2025-07</v>
      </c>
      <c r="O428" s="25" t="str">
        <f>TEXT(tbl_Ledger[[#This Row],[Date]],"yyyy-mm") &amp; TRIM(tbl_Ledger[[#This Row],[Currency]])</f>
        <v>2025-07NGN</v>
      </c>
      <c r="P428" s="25">
        <f>_xlfn.XLOOKUP(tbl_Ledger[[#This Row],[Key]], tbl_FX[Key], tbl_FX[Rate_to_NGN])</f>
        <v>1</v>
      </c>
      <c r="Q428" s="37">
        <f>IF(tbl_Ledger[[#This Row],[Account_Type]]="Expense",-ABS(tbl_Ledger[[#This Row],[Amount]]*tbl_Ledger[[#This Row],[Rate_to_NGN]]),tbl_Ledger[[#This Row],[Amount]]*tbl_Ledger[[#This Row],[Rate_to_NGN]])</f>
        <v>50400</v>
      </c>
      <c r="R428" s="25" t="str">
        <f>_xlfn.XLOOKUP(tbl_Ledger[[#This Row],[Account_Code]], tbl_Accounts[Account_Code], tbl_Accounts[Type])</f>
        <v>Revenue</v>
      </c>
      <c r="S428" s="25" t="str">
        <f>_xlfn.XLOOKUP(tbl_Ledger[[#This Row],[Account_Code]], tbl_Accounts[Account_Code], tbl_Accounts[PL_Bucket])</f>
        <v>Revenue</v>
      </c>
      <c r="T428" s="25">
        <f t="shared" si="6"/>
        <v>50400</v>
      </c>
    </row>
    <row r="429" spans="1:20">
      <c r="A429" t="s">
        <v>1222</v>
      </c>
      <c r="B429" s="7">
        <v>45866</v>
      </c>
      <c r="C429" t="s">
        <v>126</v>
      </c>
      <c r="D429" t="s">
        <v>88</v>
      </c>
      <c r="E429" t="s">
        <v>136</v>
      </c>
      <c r="F429" s="12" t="s">
        <v>29</v>
      </c>
      <c r="G429" t="s">
        <v>30</v>
      </c>
      <c r="H429" t="s">
        <v>1223</v>
      </c>
      <c r="I429" t="s">
        <v>72</v>
      </c>
      <c r="J429" s="6">
        <v>27.84</v>
      </c>
      <c r="K429" t="s">
        <v>138</v>
      </c>
      <c r="L429" t="s">
        <v>1219</v>
      </c>
      <c r="M429" t="s">
        <v>3</v>
      </c>
      <c r="N429" s="25" t="str">
        <f>TEXT(tbl_Ledger[[#This Row],[Date]],"yyyy-mm")</f>
        <v>2025-07</v>
      </c>
      <c r="O429" s="25" t="str">
        <f>TEXT(tbl_Ledger[[#This Row],[Date]],"yyyy-mm") &amp; TRIM(tbl_Ledger[[#This Row],[Currency]])</f>
        <v>2025-07USD</v>
      </c>
      <c r="P429" s="25">
        <f>_xlfn.XLOOKUP(tbl_Ledger[[#This Row],[Key]], tbl_FX[Key], tbl_FX[Rate_to_NGN])</f>
        <v>1530</v>
      </c>
      <c r="Q429" s="37">
        <f>IF(tbl_Ledger[[#This Row],[Account_Type]]="Expense",-ABS(tbl_Ledger[[#This Row],[Amount]]*tbl_Ledger[[#This Row],[Rate_to_NGN]]),tbl_Ledger[[#This Row],[Amount]]*tbl_Ledger[[#This Row],[Rate_to_NGN]])</f>
        <v>42595.199999999997</v>
      </c>
      <c r="R429" s="25" t="str">
        <f>_xlfn.XLOOKUP(tbl_Ledger[[#This Row],[Account_Code]], tbl_Accounts[Account_Code], tbl_Accounts[Type])</f>
        <v>Revenue</v>
      </c>
      <c r="S429" s="25" t="str">
        <f>_xlfn.XLOOKUP(tbl_Ledger[[#This Row],[Account_Code]], tbl_Accounts[Account_Code], tbl_Accounts[PL_Bucket])</f>
        <v>Revenue</v>
      </c>
      <c r="T429" s="25">
        <f t="shared" si="6"/>
        <v>42595.199999999997</v>
      </c>
    </row>
    <row r="430" spans="1:20">
      <c r="A430" t="s">
        <v>1224</v>
      </c>
      <c r="B430" s="7">
        <v>45866</v>
      </c>
      <c r="C430" t="s">
        <v>126</v>
      </c>
      <c r="D430" t="s">
        <v>88</v>
      </c>
      <c r="E430" t="s">
        <v>140</v>
      </c>
      <c r="F430" s="12" t="s">
        <v>29</v>
      </c>
      <c r="G430" t="s">
        <v>30</v>
      </c>
      <c r="H430" t="s">
        <v>1225</v>
      </c>
      <c r="I430" t="s">
        <v>71</v>
      </c>
      <c r="J430" s="6">
        <v>40400</v>
      </c>
      <c r="K430" t="s">
        <v>3</v>
      </c>
      <c r="L430" t="s">
        <v>1226</v>
      </c>
      <c r="M430" t="s">
        <v>3</v>
      </c>
      <c r="N430" s="25" t="str">
        <f>TEXT(tbl_Ledger[[#This Row],[Date]],"yyyy-mm")</f>
        <v>2025-07</v>
      </c>
      <c r="O430" s="25" t="str">
        <f>TEXT(tbl_Ledger[[#This Row],[Date]],"yyyy-mm") &amp; TRIM(tbl_Ledger[[#This Row],[Currency]])</f>
        <v>2025-07NGN</v>
      </c>
      <c r="P430" s="25">
        <f>_xlfn.XLOOKUP(tbl_Ledger[[#This Row],[Key]], tbl_FX[Key], tbl_FX[Rate_to_NGN])</f>
        <v>1</v>
      </c>
      <c r="Q430" s="37">
        <f>IF(tbl_Ledger[[#This Row],[Account_Type]]="Expense",-ABS(tbl_Ledger[[#This Row],[Amount]]*tbl_Ledger[[#This Row],[Rate_to_NGN]]),tbl_Ledger[[#This Row],[Amount]]*tbl_Ledger[[#This Row],[Rate_to_NGN]])</f>
        <v>40400</v>
      </c>
      <c r="R430" s="25" t="str">
        <f>_xlfn.XLOOKUP(tbl_Ledger[[#This Row],[Account_Code]], tbl_Accounts[Account_Code], tbl_Accounts[Type])</f>
        <v>Revenue</v>
      </c>
      <c r="S430" s="25" t="str">
        <f>_xlfn.XLOOKUP(tbl_Ledger[[#This Row],[Account_Code]], tbl_Accounts[Account_Code], tbl_Accounts[PL_Bucket])</f>
        <v>Revenue</v>
      </c>
      <c r="T430" s="25">
        <f t="shared" si="6"/>
        <v>40400</v>
      </c>
    </row>
    <row r="431" spans="1:20">
      <c r="A431" t="s">
        <v>1227</v>
      </c>
      <c r="B431" s="7">
        <v>45866</v>
      </c>
      <c r="C431" t="s">
        <v>87</v>
      </c>
      <c r="D431" t="s">
        <v>94</v>
      </c>
      <c r="E431" t="s">
        <v>3</v>
      </c>
      <c r="F431" s="12" t="s">
        <v>38</v>
      </c>
      <c r="G431" t="s">
        <v>39</v>
      </c>
      <c r="H431" t="s">
        <v>275</v>
      </c>
      <c r="I431" t="s">
        <v>71</v>
      </c>
      <c r="J431" s="6">
        <v>-98000</v>
      </c>
      <c r="K431" t="s">
        <v>276</v>
      </c>
      <c r="L431" t="s">
        <v>1228</v>
      </c>
      <c r="M431" t="s">
        <v>3</v>
      </c>
      <c r="N431" s="25" t="str">
        <f>TEXT(tbl_Ledger[[#This Row],[Date]],"yyyy-mm")</f>
        <v>2025-07</v>
      </c>
      <c r="O431" s="25" t="str">
        <f>TEXT(tbl_Ledger[[#This Row],[Date]],"yyyy-mm") &amp; TRIM(tbl_Ledger[[#This Row],[Currency]])</f>
        <v>2025-07NGN</v>
      </c>
      <c r="P431" s="25">
        <f>_xlfn.XLOOKUP(tbl_Ledger[[#This Row],[Key]], tbl_FX[Key], tbl_FX[Rate_to_NGN])</f>
        <v>1</v>
      </c>
      <c r="Q431" s="37">
        <f>IF(tbl_Ledger[[#This Row],[Account_Type]]="Expense",-ABS(tbl_Ledger[[#This Row],[Amount]]*tbl_Ledger[[#This Row],[Rate_to_NGN]]),tbl_Ledger[[#This Row],[Amount]]*tbl_Ledger[[#This Row],[Rate_to_NGN]])</f>
        <v>-98000</v>
      </c>
      <c r="R431" s="25" t="str">
        <f>_xlfn.XLOOKUP(tbl_Ledger[[#This Row],[Account_Code]], tbl_Accounts[Account_Code], tbl_Accounts[Type])</f>
        <v>COGS</v>
      </c>
      <c r="S431" s="25" t="str">
        <f>_xlfn.XLOOKUP(tbl_Ledger[[#This Row],[Account_Code]], tbl_Accounts[Account_Code], tbl_Accounts[PL_Bucket])</f>
        <v>COGS</v>
      </c>
      <c r="T431" s="25">
        <f t="shared" si="6"/>
        <v>-98000</v>
      </c>
    </row>
    <row r="432" spans="1:20">
      <c r="A432" t="s">
        <v>1229</v>
      </c>
      <c r="B432" s="7">
        <v>45866</v>
      </c>
      <c r="C432" t="s">
        <v>87</v>
      </c>
      <c r="D432" t="s">
        <v>111</v>
      </c>
      <c r="E432" t="s">
        <v>3</v>
      </c>
      <c r="F432" s="12" t="s">
        <v>36</v>
      </c>
      <c r="G432" t="s">
        <v>37</v>
      </c>
      <c r="H432" t="s">
        <v>144</v>
      </c>
      <c r="I432" t="s">
        <v>71</v>
      </c>
      <c r="J432" s="6">
        <v>-2067000</v>
      </c>
      <c r="K432" t="s">
        <v>145</v>
      </c>
      <c r="L432" t="s">
        <v>1230</v>
      </c>
      <c r="M432" t="s">
        <v>3</v>
      </c>
      <c r="N432" s="25" t="str">
        <f>TEXT(tbl_Ledger[[#This Row],[Date]],"yyyy-mm")</f>
        <v>2025-07</v>
      </c>
      <c r="O432" s="25" t="str">
        <f>TEXT(tbl_Ledger[[#This Row],[Date]],"yyyy-mm") &amp; TRIM(tbl_Ledger[[#This Row],[Currency]])</f>
        <v>2025-07NGN</v>
      </c>
      <c r="P432" s="25">
        <f>_xlfn.XLOOKUP(tbl_Ledger[[#This Row],[Key]], tbl_FX[Key], tbl_FX[Rate_to_NGN])</f>
        <v>1</v>
      </c>
      <c r="Q432" s="37">
        <f>IF(tbl_Ledger[[#This Row],[Account_Type]]="Expense",-ABS(tbl_Ledger[[#This Row],[Amount]]*tbl_Ledger[[#This Row],[Rate_to_NGN]]),tbl_Ledger[[#This Row],[Amount]]*tbl_Ledger[[#This Row],[Rate_to_NGN]])</f>
        <v>-2067000</v>
      </c>
      <c r="R432" s="25" t="str">
        <f>_xlfn.XLOOKUP(tbl_Ledger[[#This Row],[Account_Code]], tbl_Accounts[Account_Code], tbl_Accounts[Type])</f>
        <v>COGS</v>
      </c>
      <c r="S432" s="25" t="str">
        <f>_xlfn.XLOOKUP(tbl_Ledger[[#This Row],[Account_Code]], tbl_Accounts[Account_Code], tbl_Accounts[PL_Bucket])</f>
        <v>COGS</v>
      </c>
      <c r="T432" s="25">
        <f t="shared" si="6"/>
        <v>-2067000</v>
      </c>
    </row>
    <row r="433" spans="1:20">
      <c r="A433" t="s">
        <v>1231</v>
      </c>
      <c r="B433" s="7">
        <v>45866</v>
      </c>
      <c r="C433" t="s">
        <v>87</v>
      </c>
      <c r="D433" t="s">
        <v>111</v>
      </c>
      <c r="E433" t="s">
        <v>3</v>
      </c>
      <c r="F433" s="12" t="s">
        <v>36</v>
      </c>
      <c r="G433" t="s">
        <v>37</v>
      </c>
      <c r="H433" t="s">
        <v>986</v>
      </c>
      <c r="I433" t="s">
        <v>71</v>
      </c>
      <c r="J433" s="6">
        <v>-905000</v>
      </c>
      <c r="K433" t="s">
        <v>987</v>
      </c>
      <c r="L433" t="s">
        <v>1232</v>
      </c>
      <c r="M433" t="s">
        <v>3</v>
      </c>
      <c r="N433" s="25" t="str">
        <f>TEXT(tbl_Ledger[[#This Row],[Date]],"yyyy-mm")</f>
        <v>2025-07</v>
      </c>
      <c r="O433" s="25" t="str">
        <f>TEXT(tbl_Ledger[[#This Row],[Date]],"yyyy-mm") &amp; TRIM(tbl_Ledger[[#This Row],[Currency]])</f>
        <v>2025-07NGN</v>
      </c>
      <c r="P433" s="25">
        <f>_xlfn.XLOOKUP(tbl_Ledger[[#This Row],[Key]], tbl_FX[Key], tbl_FX[Rate_to_NGN])</f>
        <v>1</v>
      </c>
      <c r="Q433" s="37">
        <f>IF(tbl_Ledger[[#This Row],[Account_Type]]="Expense",-ABS(tbl_Ledger[[#This Row],[Amount]]*tbl_Ledger[[#This Row],[Rate_to_NGN]]),tbl_Ledger[[#This Row],[Amount]]*tbl_Ledger[[#This Row],[Rate_to_NGN]])</f>
        <v>-905000</v>
      </c>
      <c r="R433" s="25" t="str">
        <f>_xlfn.XLOOKUP(tbl_Ledger[[#This Row],[Account_Code]], tbl_Accounts[Account_Code], tbl_Accounts[Type])</f>
        <v>COGS</v>
      </c>
      <c r="S433" s="25" t="str">
        <f>_xlfn.XLOOKUP(tbl_Ledger[[#This Row],[Account_Code]], tbl_Accounts[Account_Code], tbl_Accounts[PL_Bucket])</f>
        <v>COGS</v>
      </c>
      <c r="T433" s="25">
        <f t="shared" si="6"/>
        <v>-905000</v>
      </c>
    </row>
    <row r="434" spans="1:20">
      <c r="A434" t="s">
        <v>1233</v>
      </c>
      <c r="B434" s="7">
        <v>45867</v>
      </c>
      <c r="C434" t="s">
        <v>93</v>
      </c>
      <c r="D434" t="s">
        <v>94</v>
      </c>
      <c r="E434" t="s">
        <v>95</v>
      </c>
      <c r="F434" s="12" t="s">
        <v>24</v>
      </c>
      <c r="G434" t="s">
        <v>25</v>
      </c>
      <c r="H434" t="s">
        <v>1234</v>
      </c>
      <c r="I434" t="s">
        <v>71</v>
      </c>
      <c r="J434" s="6">
        <v>27100</v>
      </c>
      <c r="K434" t="s">
        <v>3</v>
      </c>
      <c r="L434" t="s">
        <v>1235</v>
      </c>
      <c r="M434" t="s">
        <v>3</v>
      </c>
      <c r="N434" s="25" t="str">
        <f>TEXT(tbl_Ledger[[#This Row],[Date]],"yyyy-mm")</f>
        <v>2025-07</v>
      </c>
      <c r="O434" s="25" t="str">
        <f>TEXT(tbl_Ledger[[#This Row],[Date]],"yyyy-mm") &amp; TRIM(tbl_Ledger[[#This Row],[Currency]])</f>
        <v>2025-07NGN</v>
      </c>
      <c r="P434" s="25">
        <f>_xlfn.XLOOKUP(tbl_Ledger[[#This Row],[Key]], tbl_FX[Key], tbl_FX[Rate_to_NGN])</f>
        <v>1</v>
      </c>
      <c r="Q434" s="37">
        <f>IF(tbl_Ledger[[#This Row],[Account_Type]]="Expense",-ABS(tbl_Ledger[[#This Row],[Amount]]*tbl_Ledger[[#This Row],[Rate_to_NGN]]),tbl_Ledger[[#This Row],[Amount]]*tbl_Ledger[[#This Row],[Rate_to_NGN]])</f>
        <v>27100</v>
      </c>
      <c r="R434" s="25" t="str">
        <f>_xlfn.XLOOKUP(tbl_Ledger[[#This Row],[Account_Code]], tbl_Accounts[Account_Code], tbl_Accounts[Type])</f>
        <v>Revenue</v>
      </c>
      <c r="S434" s="25" t="str">
        <f>_xlfn.XLOOKUP(tbl_Ledger[[#This Row],[Account_Code]], tbl_Accounts[Account_Code], tbl_Accounts[PL_Bucket])</f>
        <v>Revenue</v>
      </c>
      <c r="T434" s="25">
        <f t="shared" si="6"/>
        <v>27100</v>
      </c>
    </row>
    <row r="435" spans="1:20">
      <c r="A435" t="s">
        <v>1236</v>
      </c>
      <c r="B435" s="7">
        <v>45867</v>
      </c>
      <c r="C435" t="s">
        <v>93</v>
      </c>
      <c r="D435" t="s">
        <v>94</v>
      </c>
      <c r="E435" t="s">
        <v>99</v>
      </c>
      <c r="F435" s="12" t="s">
        <v>24</v>
      </c>
      <c r="G435" t="s">
        <v>25</v>
      </c>
      <c r="H435" t="s">
        <v>1237</v>
      </c>
      <c r="I435" t="s">
        <v>71</v>
      </c>
      <c r="J435" s="6">
        <v>27100</v>
      </c>
      <c r="K435" t="s">
        <v>3</v>
      </c>
      <c r="L435" t="s">
        <v>1238</v>
      </c>
      <c r="M435" t="s">
        <v>3</v>
      </c>
      <c r="N435" s="25" t="str">
        <f>TEXT(tbl_Ledger[[#This Row],[Date]],"yyyy-mm")</f>
        <v>2025-07</v>
      </c>
      <c r="O435" s="25" t="str">
        <f>TEXT(tbl_Ledger[[#This Row],[Date]],"yyyy-mm") &amp; TRIM(tbl_Ledger[[#This Row],[Currency]])</f>
        <v>2025-07NGN</v>
      </c>
      <c r="P435" s="25">
        <f>_xlfn.XLOOKUP(tbl_Ledger[[#This Row],[Key]], tbl_FX[Key], tbl_FX[Rate_to_NGN])</f>
        <v>1</v>
      </c>
      <c r="Q435" s="37">
        <f>IF(tbl_Ledger[[#This Row],[Account_Type]]="Expense",-ABS(tbl_Ledger[[#This Row],[Amount]]*tbl_Ledger[[#This Row],[Rate_to_NGN]]),tbl_Ledger[[#This Row],[Amount]]*tbl_Ledger[[#This Row],[Rate_to_NGN]])</f>
        <v>27100</v>
      </c>
      <c r="R435" s="25" t="str">
        <f>_xlfn.XLOOKUP(tbl_Ledger[[#This Row],[Account_Code]], tbl_Accounts[Account_Code], tbl_Accounts[Type])</f>
        <v>Revenue</v>
      </c>
      <c r="S435" s="25" t="str">
        <f>_xlfn.XLOOKUP(tbl_Ledger[[#This Row],[Account_Code]], tbl_Accounts[Account_Code], tbl_Accounts[PL_Bucket])</f>
        <v>Revenue</v>
      </c>
      <c r="T435" s="25">
        <f t="shared" si="6"/>
        <v>27100</v>
      </c>
    </row>
    <row r="436" spans="1:20">
      <c r="A436" t="s">
        <v>1239</v>
      </c>
      <c r="B436" s="7">
        <v>45867</v>
      </c>
      <c r="C436" t="s">
        <v>93</v>
      </c>
      <c r="D436" t="s">
        <v>94</v>
      </c>
      <c r="E436" t="s">
        <v>103</v>
      </c>
      <c r="F436" s="12" t="s">
        <v>24</v>
      </c>
      <c r="G436" t="s">
        <v>25</v>
      </c>
      <c r="H436" t="s">
        <v>1240</v>
      </c>
      <c r="I436" t="s">
        <v>71</v>
      </c>
      <c r="J436" s="6">
        <v>28100</v>
      </c>
      <c r="K436" t="s">
        <v>3</v>
      </c>
      <c r="L436" t="s">
        <v>1241</v>
      </c>
      <c r="M436" t="s">
        <v>3</v>
      </c>
      <c r="N436" s="25" t="str">
        <f>TEXT(tbl_Ledger[[#This Row],[Date]],"yyyy-mm")</f>
        <v>2025-07</v>
      </c>
      <c r="O436" s="25" t="str">
        <f>TEXT(tbl_Ledger[[#This Row],[Date]],"yyyy-mm") &amp; TRIM(tbl_Ledger[[#This Row],[Currency]])</f>
        <v>2025-07NGN</v>
      </c>
      <c r="P436" s="25">
        <f>_xlfn.XLOOKUP(tbl_Ledger[[#This Row],[Key]], tbl_FX[Key], tbl_FX[Rate_to_NGN])</f>
        <v>1</v>
      </c>
      <c r="Q436" s="37">
        <f>IF(tbl_Ledger[[#This Row],[Account_Type]]="Expense",-ABS(tbl_Ledger[[#This Row],[Amount]]*tbl_Ledger[[#This Row],[Rate_to_NGN]]),tbl_Ledger[[#This Row],[Amount]]*tbl_Ledger[[#This Row],[Rate_to_NGN]])</f>
        <v>28100</v>
      </c>
      <c r="R436" s="25" t="str">
        <f>_xlfn.XLOOKUP(tbl_Ledger[[#This Row],[Account_Code]], tbl_Accounts[Account_Code], tbl_Accounts[Type])</f>
        <v>Revenue</v>
      </c>
      <c r="S436" s="25" t="str">
        <f>_xlfn.XLOOKUP(tbl_Ledger[[#This Row],[Account_Code]], tbl_Accounts[Account_Code], tbl_Accounts[PL_Bucket])</f>
        <v>Revenue</v>
      </c>
      <c r="T436" s="25">
        <f t="shared" si="6"/>
        <v>28100</v>
      </c>
    </row>
    <row r="437" spans="1:20">
      <c r="A437" t="s">
        <v>1242</v>
      </c>
      <c r="B437" s="7">
        <v>45867</v>
      </c>
      <c r="C437" t="s">
        <v>93</v>
      </c>
      <c r="D437" t="s">
        <v>94</v>
      </c>
      <c r="E437" t="s">
        <v>160</v>
      </c>
      <c r="F437" s="12" t="s">
        <v>24</v>
      </c>
      <c r="G437" t="s">
        <v>25</v>
      </c>
      <c r="H437" t="s">
        <v>1243</v>
      </c>
      <c r="I437" t="s">
        <v>71</v>
      </c>
      <c r="J437" s="6">
        <v>27700</v>
      </c>
      <c r="K437" t="s">
        <v>3</v>
      </c>
      <c r="L437" t="s">
        <v>1241</v>
      </c>
      <c r="M437" t="s">
        <v>3</v>
      </c>
      <c r="N437" s="25" t="str">
        <f>TEXT(tbl_Ledger[[#This Row],[Date]],"yyyy-mm")</f>
        <v>2025-07</v>
      </c>
      <c r="O437" s="25" t="str">
        <f>TEXT(tbl_Ledger[[#This Row],[Date]],"yyyy-mm") &amp; TRIM(tbl_Ledger[[#This Row],[Currency]])</f>
        <v>2025-07NGN</v>
      </c>
      <c r="P437" s="25">
        <f>_xlfn.XLOOKUP(tbl_Ledger[[#This Row],[Key]], tbl_FX[Key], tbl_FX[Rate_to_NGN])</f>
        <v>1</v>
      </c>
      <c r="Q437" s="37">
        <f>IF(tbl_Ledger[[#This Row],[Account_Type]]="Expense",-ABS(tbl_Ledger[[#This Row],[Amount]]*tbl_Ledger[[#This Row],[Rate_to_NGN]]),tbl_Ledger[[#This Row],[Amount]]*tbl_Ledger[[#This Row],[Rate_to_NGN]])</f>
        <v>27700</v>
      </c>
      <c r="R437" s="25" t="str">
        <f>_xlfn.XLOOKUP(tbl_Ledger[[#This Row],[Account_Code]], tbl_Accounts[Account_Code], tbl_Accounts[Type])</f>
        <v>Revenue</v>
      </c>
      <c r="S437" s="25" t="str">
        <f>_xlfn.XLOOKUP(tbl_Ledger[[#This Row],[Account_Code]], tbl_Accounts[Account_Code], tbl_Accounts[PL_Bucket])</f>
        <v>Revenue</v>
      </c>
      <c r="T437" s="25">
        <f t="shared" si="6"/>
        <v>27700</v>
      </c>
    </row>
    <row r="438" spans="1:20">
      <c r="A438" t="s">
        <v>1244</v>
      </c>
      <c r="B438" s="7">
        <v>45867</v>
      </c>
      <c r="C438" t="s">
        <v>93</v>
      </c>
      <c r="D438" t="s">
        <v>94</v>
      </c>
      <c r="E438" t="s">
        <v>107</v>
      </c>
      <c r="F438" s="12" t="s">
        <v>24</v>
      </c>
      <c r="G438" t="s">
        <v>25</v>
      </c>
      <c r="H438" t="s">
        <v>1245</v>
      </c>
      <c r="I438" t="s">
        <v>71</v>
      </c>
      <c r="J438" s="6">
        <v>29100</v>
      </c>
      <c r="K438" t="s">
        <v>3</v>
      </c>
      <c r="L438" t="s">
        <v>1246</v>
      </c>
      <c r="M438" t="s">
        <v>3</v>
      </c>
      <c r="N438" s="25" t="str">
        <f>TEXT(tbl_Ledger[[#This Row],[Date]],"yyyy-mm")</f>
        <v>2025-07</v>
      </c>
      <c r="O438" s="25" t="str">
        <f>TEXT(tbl_Ledger[[#This Row],[Date]],"yyyy-mm") &amp; TRIM(tbl_Ledger[[#This Row],[Currency]])</f>
        <v>2025-07NGN</v>
      </c>
      <c r="P438" s="25">
        <f>_xlfn.XLOOKUP(tbl_Ledger[[#This Row],[Key]], tbl_FX[Key], tbl_FX[Rate_to_NGN])</f>
        <v>1</v>
      </c>
      <c r="Q438" s="37">
        <f>IF(tbl_Ledger[[#This Row],[Account_Type]]="Expense",-ABS(tbl_Ledger[[#This Row],[Amount]]*tbl_Ledger[[#This Row],[Rate_to_NGN]]),tbl_Ledger[[#This Row],[Amount]]*tbl_Ledger[[#This Row],[Rate_to_NGN]])</f>
        <v>29100</v>
      </c>
      <c r="R438" s="25" t="str">
        <f>_xlfn.XLOOKUP(tbl_Ledger[[#This Row],[Account_Code]], tbl_Accounts[Account_Code], tbl_Accounts[Type])</f>
        <v>Revenue</v>
      </c>
      <c r="S438" s="25" t="str">
        <f>_xlfn.XLOOKUP(tbl_Ledger[[#This Row],[Account_Code]], tbl_Accounts[Account_Code], tbl_Accounts[PL_Bucket])</f>
        <v>Revenue</v>
      </c>
      <c r="T438" s="25">
        <f t="shared" si="6"/>
        <v>29100</v>
      </c>
    </row>
    <row r="439" spans="1:20">
      <c r="A439" t="s">
        <v>1247</v>
      </c>
      <c r="B439" s="7">
        <v>45867</v>
      </c>
      <c r="C439" t="s">
        <v>93</v>
      </c>
      <c r="D439" t="s">
        <v>111</v>
      </c>
      <c r="E439" t="s">
        <v>112</v>
      </c>
      <c r="F439" s="12" t="s">
        <v>24</v>
      </c>
      <c r="G439" t="s">
        <v>25</v>
      </c>
      <c r="H439" t="s">
        <v>1248</v>
      </c>
      <c r="I439" t="s">
        <v>71</v>
      </c>
      <c r="J439" s="6">
        <v>47100</v>
      </c>
      <c r="K439" t="s">
        <v>3</v>
      </c>
      <c r="L439" t="s">
        <v>1249</v>
      </c>
      <c r="M439" t="s">
        <v>3</v>
      </c>
      <c r="N439" s="25" t="str">
        <f>TEXT(tbl_Ledger[[#This Row],[Date]],"yyyy-mm")</f>
        <v>2025-07</v>
      </c>
      <c r="O439" s="25" t="str">
        <f>TEXT(tbl_Ledger[[#This Row],[Date]],"yyyy-mm") &amp; TRIM(tbl_Ledger[[#This Row],[Currency]])</f>
        <v>2025-07NGN</v>
      </c>
      <c r="P439" s="25">
        <f>_xlfn.XLOOKUP(tbl_Ledger[[#This Row],[Key]], tbl_FX[Key], tbl_FX[Rate_to_NGN])</f>
        <v>1</v>
      </c>
      <c r="Q439" s="37">
        <f>IF(tbl_Ledger[[#This Row],[Account_Type]]="Expense",-ABS(tbl_Ledger[[#This Row],[Amount]]*tbl_Ledger[[#This Row],[Rate_to_NGN]]),tbl_Ledger[[#This Row],[Amount]]*tbl_Ledger[[#This Row],[Rate_to_NGN]])</f>
        <v>47100</v>
      </c>
      <c r="R439" s="25" t="str">
        <f>_xlfn.XLOOKUP(tbl_Ledger[[#This Row],[Account_Code]], tbl_Accounts[Account_Code], tbl_Accounts[Type])</f>
        <v>Revenue</v>
      </c>
      <c r="S439" s="25" t="str">
        <f>_xlfn.XLOOKUP(tbl_Ledger[[#This Row],[Account_Code]], tbl_Accounts[Account_Code], tbl_Accounts[PL_Bucket])</f>
        <v>Revenue</v>
      </c>
      <c r="T439" s="25">
        <f t="shared" si="6"/>
        <v>47100</v>
      </c>
    </row>
    <row r="440" spans="1:20">
      <c r="A440" t="s">
        <v>1250</v>
      </c>
      <c r="B440" s="7">
        <v>45867</v>
      </c>
      <c r="C440" t="s">
        <v>93</v>
      </c>
      <c r="D440" t="s">
        <v>111</v>
      </c>
      <c r="E440" t="s">
        <v>116</v>
      </c>
      <c r="F440" s="12" t="s">
        <v>24</v>
      </c>
      <c r="G440" t="s">
        <v>25</v>
      </c>
      <c r="H440" t="s">
        <v>1251</v>
      </c>
      <c r="I440" t="s">
        <v>71</v>
      </c>
      <c r="J440" s="6">
        <v>47800</v>
      </c>
      <c r="K440" t="s">
        <v>3</v>
      </c>
      <c r="L440" t="s">
        <v>1249</v>
      </c>
      <c r="M440" t="s">
        <v>3</v>
      </c>
      <c r="N440" s="25" t="str">
        <f>TEXT(tbl_Ledger[[#This Row],[Date]],"yyyy-mm")</f>
        <v>2025-07</v>
      </c>
      <c r="O440" s="25" t="str">
        <f>TEXT(tbl_Ledger[[#This Row],[Date]],"yyyy-mm") &amp; TRIM(tbl_Ledger[[#This Row],[Currency]])</f>
        <v>2025-07NGN</v>
      </c>
      <c r="P440" s="25">
        <f>_xlfn.XLOOKUP(tbl_Ledger[[#This Row],[Key]], tbl_FX[Key], tbl_FX[Rate_to_NGN])</f>
        <v>1</v>
      </c>
      <c r="Q440" s="37">
        <f>IF(tbl_Ledger[[#This Row],[Account_Type]]="Expense",-ABS(tbl_Ledger[[#This Row],[Amount]]*tbl_Ledger[[#This Row],[Rate_to_NGN]]),tbl_Ledger[[#This Row],[Amount]]*tbl_Ledger[[#This Row],[Rate_to_NGN]])</f>
        <v>47800</v>
      </c>
      <c r="R440" s="25" t="str">
        <f>_xlfn.XLOOKUP(tbl_Ledger[[#This Row],[Account_Code]], tbl_Accounts[Account_Code], tbl_Accounts[Type])</f>
        <v>Revenue</v>
      </c>
      <c r="S440" s="25" t="str">
        <f>_xlfn.XLOOKUP(tbl_Ledger[[#This Row],[Account_Code]], tbl_Accounts[Account_Code], tbl_Accounts[PL_Bucket])</f>
        <v>Revenue</v>
      </c>
      <c r="T440" s="25">
        <f t="shared" si="6"/>
        <v>47800</v>
      </c>
    </row>
    <row r="441" spans="1:20">
      <c r="A441" t="s">
        <v>1252</v>
      </c>
      <c r="B441" s="7">
        <v>45867</v>
      </c>
      <c r="C441" t="s">
        <v>93</v>
      </c>
      <c r="D441" t="s">
        <v>111</v>
      </c>
      <c r="E441" t="s">
        <v>119</v>
      </c>
      <c r="F441" s="12" t="s">
        <v>24</v>
      </c>
      <c r="G441" t="s">
        <v>25</v>
      </c>
      <c r="H441" t="s">
        <v>1253</v>
      </c>
      <c r="I441" t="s">
        <v>71</v>
      </c>
      <c r="J441" s="6">
        <v>50800</v>
      </c>
      <c r="K441" t="s">
        <v>3</v>
      </c>
      <c r="L441" t="s">
        <v>1249</v>
      </c>
      <c r="M441" t="s">
        <v>3</v>
      </c>
      <c r="N441" s="25" t="str">
        <f>TEXT(tbl_Ledger[[#This Row],[Date]],"yyyy-mm")</f>
        <v>2025-07</v>
      </c>
      <c r="O441" s="25" t="str">
        <f>TEXT(tbl_Ledger[[#This Row],[Date]],"yyyy-mm") &amp; TRIM(tbl_Ledger[[#This Row],[Currency]])</f>
        <v>2025-07NGN</v>
      </c>
      <c r="P441" s="25">
        <f>_xlfn.XLOOKUP(tbl_Ledger[[#This Row],[Key]], tbl_FX[Key], tbl_FX[Rate_to_NGN])</f>
        <v>1</v>
      </c>
      <c r="Q441" s="37">
        <f>IF(tbl_Ledger[[#This Row],[Account_Type]]="Expense",-ABS(tbl_Ledger[[#This Row],[Amount]]*tbl_Ledger[[#This Row],[Rate_to_NGN]]),tbl_Ledger[[#This Row],[Amount]]*tbl_Ledger[[#This Row],[Rate_to_NGN]])</f>
        <v>50800</v>
      </c>
      <c r="R441" s="25" t="str">
        <f>_xlfn.XLOOKUP(tbl_Ledger[[#This Row],[Account_Code]], tbl_Accounts[Account_Code], tbl_Accounts[Type])</f>
        <v>Revenue</v>
      </c>
      <c r="S441" s="25" t="str">
        <f>_xlfn.XLOOKUP(tbl_Ledger[[#This Row],[Account_Code]], tbl_Accounts[Account_Code], tbl_Accounts[PL_Bucket])</f>
        <v>Revenue</v>
      </c>
      <c r="T441" s="25">
        <f t="shared" si="6"/>
        <v>50800</v>
      </c>
    </row>
    <row r="442" spans="1:20">
      <c r="A442" t="s">
        <v>1254</v>
      </c>
      <c r="B442" s="7">
        <v>45867</v>
      </c>
      <c r="C442" t="s">
        <v>93</v>
      </c>
      <c r="D442" t="s">
        <v>111</v>
      </c>
      <c r="E442" t="s">
        <v>170</v>
      </c>
      <c r="F442" s="12" t="s">
        <v>24</v>
      </c>
      <c r="G442" t="s">
        <v>25</v>
      </c>
      <c r="H442" t="s">
        <v>1255</v>
      </c>
      <c r="I442" t="s">
        <v>71</v>
      </c>
      <c r="J442" s="6">
        <v>50600</v>
      </c>
      <c r="K442" t="s">
        <v>3</v>
      </c>
      <c r="L442" t="s">
        <v>1249</v>
      </c>
      <c r="M442" t="s">
        <v>3</v>
      </c>
      <c r="N442" s="25" t="str">
        <f>TEXT(tbl_Ledger[[#This Row],[Date]],"yyyy-mm")</f>
        <v>2025-07</v>
      </c>
      <c r="O442" s="25" t="str">
        <f>TEXT(tbl_Ledger[[#This Row],[Date]],"yyyy-mm") &amp; TRIM(tbl_Ledger[[#This Row],[Currency]])</f>
        <v>2025-07NGN</v>
      </c>
      <c r="P442" s="25">
        <f>_xlfn.XLOOKUP(tbl_Ledger[[#This Row],[Key]], tbl_FX[Key], tbl_FX[Rate_to_NGN])</f>
        <v>1</v>
      </c>
      <c r="Q442" s="37">
        <f>IF(tbl_Ledger[[#This Row],[Account_Type]]="Expense",-ABS(tbl_Ledger[[#This Row],[Amount]]*tbl_Ledger[[#This Row],[Rate_to_NGN]]),tbl_Ledger[[#This Row],[Amount]]*tbl_Ledger[[#This Row],[Rate_to_NGN]])</f>
        <v>50600</v>
      </c>
      <c r="R442" s="25" t="str">
        <f>_xlfn.XLOOKUP(tbl_Ledger[[#This Row],[Account_Code]], tbl_Accounts[Account_Code], tbl_Accounts[Type])</f>
        <v>Revenue</v>
      </c>
      <c r="S442" s="25" t="str">
        <f>_xlfn.XLOOKUP(tbl_Ledger[[#This Row],[Account_Code]], tbl_Accounts[Account_Code], tbl_Accounts[PL_Bucket])</f>
        <v>Revenue</v>
      </c>
      <c r="T442" s="25">
        <f t="shared" si="6"/>
        <v>50600</v>
      </c>
    </row>
    <row r="443" spans="1:20">
      <c r="A443" t="s">
        <v>1256</v>
      </c>
      <c r="B443" s="7">
        <v>45867</v>
      </c>
      <c r="C443" t="s">
        <v>93</v>
      </c>
      <c r="D443" t="s">
        <v>111</v>
      </c>
      <c r="E443" t="s">
        <v>122</v>
      </c>
      <c r="F443" s="12" t="s">
        <v>24</v>
      </c>
      <c r="G443" t="s">
        <v>25</v>
      </c>
      <c r="H443" t="s">
        <v>1257</v>
      </c>
      <c r="I443" t="s">
        <v>71</v>
      </c>
      <c r="J443" s="6">
        <v>49000</v>
      </c>
      <c r="K443" t="s">
        <v>3</v>
      </c>
      <c r="L443" t="s">
        <v>1258</v>
      </c>
      <c r="M443" t="s">
        <v>3</v>
      </c>
      <c r="N443" s="25" t="str">
        <f>TEXT(tbl_Ledger[[#This Row],[Date]],"yyyy-mm")</f>
        <v>2025-07</v>
      </c>
      <c r="O443" s="25" t="str">
        <f>TEXT(tbl_Ledger[[#This Row],[Date]],"yyyy-mm") &amp; TRIM(tbl_Ledger[[#This Row],[Currency]])</f>
        <v>2025-07NGN</v>
      </c>
      <c r="P443" s="25">
        <f>_xlfn.XLOOKUP(tbl_Ledger[[#This Row],[Key]], tbl_FX[Key], tbl_FX[Rate_to_NGN])</f>
        <v>1</v>
      </c>
      <c r="Q443" s="37">
        <f>IF(tbl_Ledger[[#This Row],[Account_Type]]="Expense",-ABS(tbl_Ledger[[#This Row],[Amount]]*tbl_Ledger[[#This Row],[Rate_to_NGN]]),tbl_Ledger[[#This Row],[Amount]]*tbl_Ledger[[#This Row],[Rate_to_NGN]])</f>
        <v>49000</v>
      </c>
      <c r="R443" s="25" t="str">
        <f>_xlfn.XLOOKUP(tbl_Ledger[[#This Row],[Account_Code]], tbl_Accounts[Account_Code], tbl_Accounts[Type])</f>
        <v>Revenue</v>
      </c>
      <c r="S443" s="25" t="str">
        <f>_xlfn.XLOOKUP(tbl_Ledger[[#This Row],[Account_Code]], tbl_Accounts[Account_Code], tbl_Accounts[PL_Bucket])</f>
        <v>Revenue</v>
      </c>
      <c r="T443" s="25">
        <f t="shared" si="6"/>
        <v>49000</v>
      </c>
    </row>
    <row r="444" spans="1:20">
      <c r="A444" t="s">
        <v>1259</v>
      </c>
      <c r="B444" s="7">
        <v>45867</v>
      </c>
      <c r="C444" t="s">
        <v>126</v>
      </c>
      <c r="D444" t="s">
        <v>88</v>
      </c>
      <c r="E444" t="s">
        <v>127</v>
      </c>
      <c r="F444" s="12" t="s">
        <v>29</v>
      </c>
      <c r="G444" t="s">
        <v>30</v>
      </c>
      <c r="H444" t="s">
        <v>1260</v>
      </c>
      <c r="I444" t="s">
        <v>71</v>
      </c>
      <c r="J444" s="6">
        <v>44000</v>
      </c>
      <c r="K444" t="s">
        <v>129</v>
      </c>
      <c r="L444" t="s">
        <v>1261</v>
      </c>
      <c r="M444" t="s">
        <v>3</v>
      </c>
      <c r="N444" s="25" t="str">
        <f>TEXT(tbl_Ledger[[#This Row],[Date]],"yyyy-mm")</f>
        <v>2025-07</v>
      </c>
      <c r="O444" s="25" t="str">
        <f>TEXT(tbl_Ledger[[#This Row],[Date]],"yyyy-mm") &amp; TRIM(tbl_Ledger[[#This Row],[Currency]])</f>
        <v>2025-07NGN</v>
      </c>
      <c r="P444" s="25">
        <f>_xlfn.XLOOKUP(tbl_Ledger[[#This Row],[Key]], tbl_FX[Key], tbl_FX[Rate_to_NGN])</f>
        <v>1</v>
      </c>
      <c r="Q444" s="37">
        <f>IF(tbl_Ledger[[#This Row],[Account_Type]]="Expense",-ABS(tbl_Ledger[[#This Row],[Amount]]*tbl_Ledger[[#This Row],[Rate_to_NGN]]),tbl_Ledger[[#This Row],[Amount]]*tbl_Ledger[[#This Row],[Rate_to_NGN]])</f>
        <v>44000</v>
      </c>
      <c r="R444" s="25" t="str">
        <f>_xlfn.XLOOKUP(tbl_Ledger[[#This Row],[Account_Code]], tbl_Accounts[Account_Code], tbl_Accounts[Type])</f>
        <v>Revenue</v>
      </c>
      <c r="S444" s="25" t="str">
        <f>_xlfn.XLOOKUP(tbl_Ledger[[#This Row],[Account_Code]], tbl_Accounts[Account_Code], tbl_Accounts[PL_Bucket])</f>
        <v>Revenue</v>
      </c>
      <c r="T444" s="25">
        <f t="shared" si="6"/>
        <v>44000</v>
      </c>
    </row>
    <row r="445" spans="1:20">
      <c r="A445" t="s">
        <v>1262</v>
      </c>
      <c r="B445" s="7">
        <v>45867</v>
      </c>
      <c r="C445" t="s">
        <v>126</v>
      </c>
      <c r="D445" t="s">
        <v>88</v>
      </c>
      <c r="E445" t="s">
        <v>136</v>
      </c>
      <c r="F445" s="12" t="s">
        <v>29</v>
      </c>
      <c r="G445" t="s">
        <v>30</v>
      </c>
      <c r="H445" t="s">
        <v>1263</v>
      </c>
      <c r="I445" t="s">
        <v>71</v>
      </c>
      <c r="J445" s="6">
        <v>45400</v>
      </c>
      <c r="K445" t="s">
        <v>138</v>
      </c>
      <c r="L445" t="s">
        <v>1261</v>
      </c>
      <c r="M445" t="s">
        <v>3</v>
      </c>
      <c r="N445" s="25" t="str">
        <f>TEXT(tbl_Ledger[[#This Row],[Date]],"yyyy-mm")</f>
        <v>2025-07</v>
      </c>
      <c r="O445" s="25" t="str">
        <f>TEXT(tbl_Ledger[[#This Row],[Date]],"yyyy-mm") &amp; TRIM(tbl_Ledger[[#This Row],[Currency]])</f>
        <v>2025-07NGN</v>
      </c>
      <c r="P445" s="25">
        <f>_xlfn.XLOOKUP(tbl_Ledger[[#This Row],[Key]], tbl_FX[Key], tbl_FX[Rate_to_NGN])</f>
        <v>1</v>
      </c>
      <c r="Q445" s="37">
        <f>IF(tbl_Ledger[[#This Row],[Account_Type]]="Expense",-ABS(tbl_Ledger[[#This Row],[Amount]]*tbl_Ledger[[#This Row],[Rate_to_NGN]]),tbl_Ledger[[#This Row],[Amount]]*tbl_Ledger[[#This Row],[Rate_to_NGN]])</f>
        <v>45400</v>
      </c>
      <c r="R445" s="25" t="str">
        <f>_xlfn.XLOOKUP(tbl_Ledger[[#This Row],[Account_Code]], tbl_Accounts[Account_Code], tbl_Accounts[Type])</f>
        <v>Revenue</v>
      </c>
      <c r="S445" s="25" t="str">
        <f>_xlfn.XLOOKUP(tbl_Ledger[[#This Row],[Account_Code]], tbl_Accounts[Account_Code], tbl_Accounts[PL_Bucket])</f>
        <v>Revenue</v>
      </c>
      <c r="T445" s="25">
        <f t="shared" si="6"/>
        <v>45400</v>
      </c>
    </row>
    <row r="446" spans="1:20">
      <c r="A446" t="s">
        <v>1264</v>
      </c>
      <c r="B446" s="7">
        <v>45867</v>
      </c>
      <c r="C446" t="s">
        <v>126</v>
      </c>
      <c r="D446" t="s">
        <v>88</v>
      </c>
      <c r="E446" t="s">
        <v>140</v>
      </c>
      <c r="F446" s="12" t="s">
        <v>29</v>
      </c>
      <c r="G446" t="s">
        <v>30</v>
      </c>
      <c r="H446" t="s">
        <v>1265</v>
      </c>
      <c r="I446" t="s">
        <v>71</v>
      </c>
      <c r="J446" s="6">
        <v>46100</v>
      </c>
      <c r="K446" t="s">
        <v>3</v>
      </c>
      <c r="L446" t="s">
        <v>1266</v>
      </c>
      <c r="M446" t="s">
        <v>3</v>
      </c>
      <c r="N446" s="25" t="str">
        <f>TEXT(tbl_Ledger[[#This Row],[Date]],"yyyy-mm")</f>
        <v>2025-07</v>
      </c>
      <c r="O446" s="25" t="str">
        <f>TEXT(tbl_Ledger[[#This Row],[Date]],"yyyy-mm") &amp; TRIM(tbl_Ledger[[#This Row],[Currency]])</f>
        <v>2025-07NGN</v>
      </c>
      <c r="P446" s="25">
        <f>_xlfn.XLOOKUP(tbl_Ledger[[#This Row],[Key]], tbl_FX[Key], tbl_FX[Rate_to_NGN])</f>
        <v>1</v>
      </c>
      <c r="Q446" s="37">
        <f>IF(tbl_Ledger[[#This Row],[Account_Type]]="Expense",-ABS(tbl_Ledger[[#This Row],[Amount]]*tbl_Ledger[[#This Row],[Rate_to_NGN]]),tbl_Ledger[[#This Row],[Amount]]*tbl_Ledger[[#This Row],[Rate_to_NGN]])</f>
        <v>46100</v>
      </c>
      <c r="R446" s="25" t="str">
        <f>_xlfn.XLOOKUP(tbl_Ledger[[#This Row],[Account_Code]], tbl_Accounts[Account_Code], tbl_Accounts[Type])</f>
        <v>Revenue</v>
      </c>
      <c r="S446" s="25" t="str">
        <f>_xlfn.XLOOKUP(tbl_Ledger[[#This Row],[Account_Code]], tbl_Accounts[Account_Code], tbl_Accounts[PL_Bucket])</f>
        <v>Revenue</v>
      </c>
      <c r="T446" s="25">
        <f t="shared" si="6"/>
        <v>46100</v>
      </c>
    </row>
    <row r="447" spans="1:20">
      <c r="A447" t="s">
        <v>1267</v>
      </c>
      <c r="B447" s="7">
        <v>45867</v>
      </c>
      <c r="C447" t="s">
        <v>87</v>
      </c>
      <c r="D447" t="s">
        <v>111</v>
      </c>
      <c r="E447" t="s">
        <v>3</v>
      </c>
      <c r="F447" s="12" t="s">
        <v>36</v>
      </c>
      <c r="G447" t="s">
        <v>37</v>
      </c>
      <c r="H447" t="s">
        <v>194</v>
      </c>
      <c r="I447" t="s">
        <v>71</v>
      </c>
      <c r="J447" s="6">
        <v>-842000</v>
      </c>
      <c r="K447" t="s">
        <v>195</v>
      </c>
      <c r="L447" t="s">
        <v>1268</v>
      </c>
      <c r="M447" t="s">
        <v>3</v>
      </c>
      <c r="N447" s="25" t="str">
        <f>TEXT(tbl_Ledger[[#This Row],[Date]],"yyyy-mm")</f>
        <v>2025-07</v>
      </c>
      <c r="O447" s="25" t="str">
        <f>TEXT(tbl_Ledger[[#This Row],[Date]],"yyyy-mm") &amp; TRIM(tbl_Ledger[[#This Row],[Currency]])</f>
        <v>2025-07NGN</v>
      </c>
      <c r="P447" s="25">
        <f>_xlfn.XLOOKUP(tbl_Ledger[[#This Row],[Key]], tbl_FX[Key], tbl_FX[Rate_to_NGN])</f>
        <v>1</v>
      </c>
      <c r="Q447" s="37">
        <f>IF(tbl_Ledger[[#This Row],[Account_Type]]="Expense",-ABS(tbl_Ledger[[#This Row],[Amount]]*tbl_Ledger[[#This Row],[Rate_to_NGN]]),tbl_Ledger[[#This Row],[Amount]]*tbl_Ledger[[#This Row],[Rate_to_NGN]])</f>
        <v>-842000</v>
      </c>
      <c r="R447" s="25" t="str">
        <f>_xlfn.XLOOKUP(tbl_Ledger[[#This Row],[Account_Code]], tbl_Accounts[Account_Code], tbl_Accounts[Type])</f>
        <v>COGS</v>
      </c>
      <c r="S447" s="25" t="str">
        <f>_xlfn.XLOOKUP(tbl_Ledger[[#This Row],[Account_Code]], tbl_Accounts[Account_Code], tbl_Accounts[PL_Bucket])</f>
        <v>COGS</v>
      </c>
      <c r="T447" s="25">
        <f t="shared" si="6"/>
        <v>-842000</v>
      </c>
    </row>
    <row r="448" spans="1:20">
      <c r="A448" t="s">
        <v>1269</v>
      </c>
      <c r="B448" s="7">
        <v>45867</v>
      </c>
      <c r="C448" t="s">
        <v>87</v>
      </c>
      <c r="D448" t="s">
        <v>111</v>
      </c>
      <c r="E448" t="s">
        <v>3</v>
      </c>
      <c r="F448" s="12" t="s">
        <v>38</v>
      </c>
      <c r="G448" t="s">
        <v>39</v>
      </c>
      <c r="H448" t="s">
        <v>275</v>
      </c>
      <c r="I448" t="s">
        <v>71</v>
      </c>
      <c r="J448" s="6">
        <v>-129000</v>
      </c>
      <c r="K448" t="s">
        <v>276</v>
      </c>
      <c r="L448" t="s">
        <v>1270</v>
      </c>
      <c r="M448" t="s">
        <v>3</v>
      </c>
      <c r="N448" s="25" t="str">
        <f>TEXT(tbl_Ledger[[#This Row],[Date]],"yyyy-mm")</f>
        <v>2025-07</v>
      </c>
      <c r="O448" s="25" t="str">
        <f>TEXT(tbl_Ledger[[#This Row],[Date]],"yyyy-mm") &amp; TRIM(tbl_Ledger[[#This Row],[Currency]])</f>
        <v>2025-07NGN</v>
      </c>
      <c r="P448" s="25">
        <f>_xlfn.XLOOKUP(tbl_Ledger[[#This Row],[Key]], tbl_FX[Key], tbl_FX[Rate_to_NGN])</f>
        <v>1</v>
      </c>
      <c r="Q448" s="37">
        <f>IF(tbl_Ledger[[#This Row],[Account_Type]]="Expense",-ABS(tbl_Ledger[[#This Row],[Amount]]*tbl_Ledger[[#This Row],[Rate_to_NGN]]),tbl_Ledger[[#This Row],[Amount]]*tbl_Ledger[[#This Row],[Rate_to_NGN]])</f>
        <v>-129000</v>
      </c>
      <c r="R448" s="25" t="str">
        <f>_xlfn.XLOOKUP(tbl_Ledger[[#This Row],[Account_Code]], tbl_Accounts[Account_Code], tbl_Accounts[Type])</f>
        <v>COGS</v>
      </c>
      <c r="S448" s="25" t="str">
        <f>_xlfn.XLOOKUP(tbl_Ledger[[#This Row],[Account_Code]], tbl_Accounts[Account_Code], tbl_Accounts[PL_Bucket])</f>
        <v>COGS</v>
      </c>
      <c r="T448" s="25">
        <f t="shared" si="6"/>
        <v>-129000</v>
      </c>
    </row>
    <row r="449" spans="1:20">
      <c r="A449" t="s">
        <v>1271</v>
      </c>
      <c r="B449" s="7">
        <v>45867</v>
      </c>
      <c r="C449" t="s">
        <v>87</v>
      </c>
      <c r="D449" t="s">
        <v>88</v>
      </c>
      <c r="E449" t="s">
        <v>3</v>
      </c>
      <c r="F449" s="12" t="s">
        <v>42</v>
      </c>
      <c r="G449" t="s">
        <v>43</v>
      </c>
      <c r="H449" t="s">
        <v>397</v>
      </c>
      <c r="I449" t="s">
        <v>71</v>
      </c>
      <c r="J449" s="6">
        <v>-741000</v>
      </c>
      <c r="K449" t="s">
        <v>398</v>
      </c>
      <c r="L449" t="s">
        <v>1272</v>
      </c>
      <c r="M449" t="s">
        <v>3</v>
      </c>
      <c r="N449" s="25" t="str">
        <f>TEXT(tbl_Ledger[[#This Row],[Date]],"yyyy-mm")</f>
        <v>2025-07</v>
      </c>
      <c r="O449" s="25" t="str">
        <f>TEXT(tbl_Ledger[[#This Row],[Date]],"yyyy-mm") &amp; TRIM(tbl_Ledger[[#This Row],[Currency]])</f>
        <v>2025-07NGN</v>
      </c>
      <c r="P449" s="25">
        <f>_xlfn.XLOOKUP(tbl_Ledger[[#This Row],[Key]], tbl_FX[Key], tbl_FX[Rate_to_NGN])</f>
        <v>1</v>
      </c>
      <c r="Q449" s="37">
        <f>IF(tbl_Ledger[[#This Row],[Account_Type]]="Expense",-ABS(tbl_Ledger[[#This Row],[Amount]]*tbl_Ledger[[#This Row],[Rate_to_NGN]]),tbl_Ledger[[#This Row],[Amount]]*tbl_Ledger[[#This Row],[Rate_to_NGN]])</f>
        <v>-741000</v>
      </c>
      <c r="R449" s="25" t="str">
        <f>_xlfn.XLOOKUP(tbl_Ledger[[#This Row],[Account_Code]], tbl_Accounts[Account_Code], tbl_Accounts[Type])</f>
        <v>COGS</v>
      </c>
      <c r="S449" s="25" t="str">
        <f>_xlfn.XLOOKUP(tbl_Ledger[[#This Row],[Account_Code]], tbl_Accounts[Account_Code], tbl_Accounts[PL_Bucket])</f>
        <v>COGS</v>
      </c>
      <c r="T449" s="25">
        <f t="shared" si="6"/>
        <v>-741000</v>
      </c>
    </row>
    <row r="450" spans="1:20">
      <c r="A450" t="s">
        <v>1273</v>
      </c>
      <c r="B450" s="7">
        <v>45867</v>
      </c>
      <c r="C450" t="s">
        <v>1274</v>
      </c>
      <c r="D450" t="s">
        <v>94</v>
      </c>
      <c r="E450" t="s">
        <v>3</v>
      </c>
      <c r="F450" s="12" t="s">
        <v>59</v>
      </c>
      <c r="G450" t="s">
        <v>60</v>
      </c>
      <c r="H450" t="s">
        <v>1275</v>
      </c>
      <c r="I450" t="s">
        <v>71</v>
      </c>
      <c r="J450" s="6">
        <v>-99073</v>
      </c>
      <c r="K450" t="s">
        <v>1276</v>
      </c>
      <c r="L450" t="s">
        <v>1277</v>
      </c>
      <c r="M450" t="s">
        <v>3</v>
      </c>
      <c r="N450" s="25" t="str">
        <f>TEXT(tbl_Ledger[[#This Row],[Date]],"yyyy-mm")</f>
        <v>2025-07</v>
      </c>
      <c r="O450" s="25" t="str">
        <f>TEXT(tbl_Ledger[[#This Row],[Date]],"yyyy-mm") &amp; TRIM(tbl_Ledger[[#This Row],[Currency]])</f>
        <v>2025-07NGN</v>
      </c>
      <c r="P450" s="25">
        <f>_xlfn.XLOOKUP(tbl_Ledger[[#This Row],[Key]], tbl_FX[Key], tbl_FX[Rate_to_NGN])</f>
        <v>1</v>
      </c>
      <c r="Q450" s="37">
        <f>IF(tbl_Ledger[[#This Row],[Account_Type]]="Expense",-ABS(tbl_Ledger[[#This Row],[Amount]]*tbl_Ledger[[#This Row],[Rate_to_NGN]]),tbl_Ledger[[#This Row],[Amount]]*tbl_Ledger[[#This Row],[Rate_to_NGN]])</f>
        <v>-99073</v>
      </c>
      <c r="R450" s="25" t="str">
        <f>_xlfn.XLOOKUP(tbl_Ledger[[#This Row],[Account_Code]], tbl_Accounts[Account_Code], tbl_Accounts[Type])</f>
        <v>Opex</v>
      </c>
      <c r="S450" s="25" t="str">
        <f>_xlfn.XLOOKUP(tbl_Ledger[[#This Row],[Account_Code]], tbl_Accounts[Account_Code], tbl_Accounts[PL_Bucket])</f>
        <v>Opex</v>
      </c>
      <c r="T450" s="25">
        <f t="shared" ref="T450:T513" si="7">IF(AND(S450="Revenue",F450&lt;&gt;4900),ABS(Q450),-ABS(Q450))</f>
        <v>-99073</v>
      </c>
    </row>
    <row r="451" spans="1:20">
      <c r="A451" t="s">
        <v>1278</v>
      </c>
      <c r="B451" s="7">
        <v>45867</v>
      </c>
      <c r="C451" t="s">
        <v>1274</v>
      </c>
      <c r="D451" t="s">
        <v>111</v>
      </c>
      <c r="E451" t="s">
        <v>3</v>
      </c>
      <c r="F451" s="12" t="s">
        <v>59</v>
      </c>
      <c r="G451" t="s">
        <v>60</v>
      </c>
      <c r="H451" t="s">
        <v>1275</v>
      </c>
      <c r="I451" t="s">
        <v>71</v>
      </c>
      <c r="J451" s="6">
        <v>-188043</v>
      </c>
      <c r="K451" t="s">
        <v>1276</v>
      </c>
      <c r="L451" t="s">
        <v>1279</v>
      </c>
      <c r="M451" t="s">
        <v>3</v>
      </c>
      <c r="N451" s="25" t="str">
        <f>TEXT(tbl_Ledger[[#This Row],[Date]],"yyyy-mm")</f>
        <v>2025-07</v>
      </c>
      <c r="O451" s="25" t="str">
        <f>TEXT(tbl_Ledger[[#This Row],[Date]],"yyyy-mm") &amp; TRIM(tbl_Ledger[[#This Row],[Currency]])</f>
        <v>2025-07NGN</v>
      </c>
      <c r="P451" s="25">
        <f>_xlfn.XLOOKUP(tbl_Ledger[[#This Row],[Key]], tbl_FX[Key], tbl_FX[Rate_to_NGN])</f>
        <v>1</v>
      </c>
      <c r="Q451" s="37">
        <f>IF(tbl_Ledger[[#This Row],[Account_Type]]="Expense",-ABS(tbl_Ledger[[#This Row],[Amount]]*tbl_Ledger[[#This Row],[Rate_to_NGN]]),tbl_Ledger[[#This Row],[Amount]]*tbl_Ledger[[#This Row],[Rate_to_NGN]])</f>
        <v>-188043</v>
      </c>
      <c r="R451" s="25" t="str">
        <f>_xlfn.XLOOKUP(tbl_Ledger[[#This Row],[Account_Code]], tbl_Accounts[Account_Code], tbl_Accounts[Type])</f>
        <v>Opex</v>
      </c>
      <c r="S451" s="25" t="str">
        <f>_xlfn.XLOOKUP(tbl_Ledger[[#This Row],[Account_Code]], tbl_Accounts[Account_Code], tbl_Accounts[PL_Bucket])</f>
        <v>Opex</v>
      </c>
      <c r="T451" s="25">
        <f t="shared" si="7"/>
        <v>-188043</v>
      </c>
    </row>
    <row r="452" spans="1:20">
      <c r="A452" t="s">
        <v>1280</v>
      </c>
      <c r="B452" s="7">
        <v>45867</v>
      </c>
      <c r="C452" t="s">
        <v>1274</v>
      </c>
      <c r="D452" t="s">
        <v>88</v>
      </c>
      <c r="E452" t="s">
        <v>3</v>
      </c>
      <c r="F452" s="12" t="s">
        <v>59</v>
      </c>
      <c r="G452" t="s">
        <v>60</v>
      </c>
      <c r="H452" t="s">
        <v>1275</v>
      </c>
      <c r="I452" t="s">
        <v>71</v>
      </c>
      <c r="J452" s="6">
        <v>-85934</v>
      </c>
      <c r="K452" t="s">
        <v>1276</v>
      </c>
      <c r="L452" t="s">
        <v>1281</v>
      </c>
      <c r="M452" t="s">
        <v>3</v>
      </c>
      <c r="N452" s="25" t="str">
        <f>TEXT(tbl_Ledger[[#This Row],[Date]],"yyyy-mm")</f>
        <v>2025-07</v>
      </c>
      <c r="O452" s="25" t="str">
        <f>TEXT(tbl_Ledger[[#This Row],[Date]],"yyyy-mm") &amp; TRIM(tbl_Ledger[[#This Row],[Currency]])</f>
        <v>2025-07NGN</v>
      </c>
      <c r="P452" s="25">
        <f>_xlfn.XLOOKUP(tbl_Ledger[[#This Row],[Key]], tbl_FX[Key], tbl_FX[Rate_to_NGN])</f>
        <v>1</v>
      </c>
      <c r="Q452" s="37">
        <f>IF(tbl_Ledger[[#This Row],[Account_Type]]="Expense",-ABS(tbl_Ledger[[#This Row],[Amount]]*tbl_Ledger[[#This Row],[Rate_to_NGN]]),tbl_Ledger[[#This Row],[Amount]]*tbl_Ledger[[#This Row],[Rate_to_NGN]])</f>
        <v>-85934</v>
      </c>
      <c r="R452" s="25" t="str">
        <f>_xlfn.XLOOKUP(tbl_Ledger[[#This Row],[Account_Code]], tbl_Accounts[Account_Code], tbl_Accounts[Type])</f>
        <v>Opex</v>
      </c>
      <c r="S452" s="25" t="str">
        <f>_xlfn.XLOOKUP(tbl_Ledger[[#This Row],[Account_Code]], tbl_Accounts[Account_Code], tbl_Accounts[PL_Bucket])</f>
        <v>Opex</v>
      </c>
      <c r="T452" s="25">
        <f t="shared" si="7"/>
        <v>-85934</v>
      </c>
    </row>
    <row r="453" spans="1:20">
      <c r="A453" t="s">
        <v>1282</v>
      </c>
      <c r="B453" s="7">
        <v>45868</v>
      </c>
      <c r="C453" t="s">
        <v>93</v>
      </c>
      <c r="D453" t="s">
        <v>94</v>
      </c>
      <c r="E453" t="s">
        <v>95</v>
      </c>
      <c r="F453" s="12" t="s">
        <v>24</v>
      </c>
      <c r="G453" t="s">
        <v>25</v>
      </c>
      <c r="H453" t="s">
        <v>1283</v>
      </c>
      <c r="I453" t="s">
        <v>71</v>
      </c>
      <c r="J453" s="6">
        <v>30700</v>
      </c>
      <c r="K453" t="s">
        <v>3</v>
      </c>
      <c r="L453" t="s">
        <v>1284</v>
      </c>
      <c r="M453" t="s">
        <v>3</v>
      </c>
      <c r="N453" s="25" t="str">
        <f>TEXT(tbl_Ledger[[#This Row],[Date]],"yyyy-mm")</f>
        <v>2025-07</v>
      </c>
      <c r="O453" s="25" t="str">
        <f>TEXT(tbl_Ledger[[#This Row],[Date]],"yyyy-mm") &amp; TRIM(tbl_Ledger[[#This Row],[Currency]])</f>
        <v>2025-07NGN</v>
      </c>
      <c r="P453" s="25">
        <f>_xlfn.XLOOKUP(tbl_Ledger[[#This Row],[Key]], tbl_FX[Key], tbl_FX[Rate_to_NGN])</f>
        <v>1</v>
      </c>
      <c r="Q453" s="37">
        <f>IF(tbl_Ledger[[#This Row],[Account_Type]]="Expense",-ABS(tbl_Ledger[[#This Row],[Amount]]*tbl_Ledger[[#This Row],[Rate_to_NGN]]),tbl_Ledger[[#This Row],[Amount]]*tbl_Ledger[[#This Row],[Rate_to_NGN]])</f>
        <v>30700</v>
      </c>
      <c r="R453" s="25" t="str">
        <f>_xlfn.XLOOKUP(tbl_Ledger[[#This Row],[Account_Code]], tbl_Accounts[Account_Code], tbl_Accounts[Type])</f>
        <v>Revenue</v>
      </c>
      <c r="S453" s="25" t="str">
        <f>_xlfn.XLOOKUP(tbl_Ledger[[#This Row],[Account_Code]], tbl_Accounts[Account_Code], tbl_Accounts[PL_Bucket])</f>
        <v>Revenue</v>
      </c>
      <c r="T453" s="25">
        <f t="shared" si="7"/>
        <v>30700</v>
      </c>
    </row>
    <row r="454" spans="1:20">
      <c r="A454" t="s">
        <v>1285</v>
      </c>
      <c r="B454" s="7">
        <v>45868</v>
      </c>
      <c r="C454" t="s">
        <v>93</v>
      </c>
      <c r="D454" t="s">
        <v>94</v>
      </c>
      <c r="E454" t="s">
        <v>99</v>
      </c>
      <c r="F454" s="12" t="s">
        <v>24</v>
      </c>
      <c r="G454" t="s">
        <v>25</v>
      </c>
      <c r="H454" t="s">
        <v>1286</v>
      </c>
      <c r="I454" t="s">
        <v>71</v>
      </c>
      <c r="J454" s="6">
        <v>27100</v>
      </c>
      <c r="K454" t="s">
        <v>3</v>
      </c>
      <c r="L454" t="s">
        <v>1287</v>
      </c>
      <c r="M454" t="s">
        <v>3</v>
      </c>
      <c r="N454" s="25" t="str">
        <f>TEXT(tbl_Ledger[[#This Row],[Date]],"yyyy-mm")</f>
        <v>2025-07</v>
      </c>
      <c r="O454" s="25" t="str">
        <f>TEXT(tbl_Ledger[[#This Row],[Date]],"yyyy-mm") &amp; TRIM(tbl_Ledger[[#This Row],[Currency]])</f>
        <v>2025-07NGN</v>
      </c>
      <c r="P454" s="25">
        <f>_xlfn.XLOOKUP(tbl_Ledger[[#This Row],[Key]], tbl_FX[Key], tbl_FX[Rate_to_NGN])</f>
        <v>1</v>
      </c>
      <c r="Q454" s="37">
        <f>IF(tbl_Ledger[[#This Row],[Account_Type]]="Expense",-ABS(tbl_Ledger[[#This Row],[Amount]]*tbl_Ledger[[#This Row],[Rate_to_NGN]]),tbl_Ledger[[#This Row],[Amount]]*tbl_Ledger[[#This Row],[Rate_to_NGN]])</f>
        <v>27100</v>
      </c>
      <c r="R454" s="25" t="str">
        <f>_xlfn.XLOOKUP(tbl_Ledger[[#This Row],[Account_Code]], tbl_Accounts[Account_Code], tbl_Accounts[Type])</f>
        <v>Revenue</v>
      </c>
      <c r="S454" s="25" t="str">
        <f>_xlfn.XLOOKUP(tbl_Ledger[[#This Row],[Account_Code]], tbl_Accounts[Account_Code], tbl_Accounts[PL_Bucket])</f>
        <v>Revenue</v>
      </c>
      <c r="T454" s="25">
        <f t="shared" si="7"/>
        <v>27100</v>
      </c>
    </row>
    <row r="455" spans="1:20">
      <c r="A455" t="s">
        <v>1288</v>
      </c>
      <c r="B455" s="7">
        <v>45868</v>
      </c>
      <c r="C455" t="s">
        <v>93</v>
      </c>
      <c r="D455" t="s">
        <v>94</v>
      </c>
      <c r="E455" t="s">
        <v>103</v>
      </c>
      <c r="F455" s="12" t="s">
        <v>24</v>
      </c>
      <c r="G455" t="s">
        <v>25</v>
      </c>
      <c r="H455" t="s">
        <v>1289</v>
      </c>
      <c r="I455" t="s">
        <v>71</v>
      </c>
      <c r="J455" s="6">
        <v>28400</v>
      </c>
      <c r="K455" t="s">
        <v>3</v>
      </c>
      <c r="L455" t="s">
        <v>1290</v>
      </c>
      <c r="M455" t="s">
        <v>3</v>
      </c>
      <c r="N455" s="25" t="str">
        <f>TEXT(tbl_Ledger[[#This Row],[Date]],"yyyy-mm")</f>
        <v>2025-07</v>
      </c>
      <c r="O455" s="25" t="str">
        <f>TEXT(tbl_Ledger[[#This Row],[Date]],"yyyy-mm") &amp; TRIM(tbl_Ledger[[#This Row],[Currency]])</f>
        <v>2025-07NGN</v>
      </c>
      <c r="P455" s="25">
        <f>_xlfn.XLOOKUP(tbl_Ledger[[#This Row],[Key]], tbl_FX[Key], tbl_FX[Rate_to_NGN])</f>
        <v>1</v>
      </c>
      <c r="Q455" s="37">
        <f>IF(tbl_Ledger[[#This Row],[Account_Type]]="Expense",-ABS(tbl_Ledger[[#This Row],[Amount]]*tbl_Ledger[[#This Row],[Rate_to_NGN]]),tbl_Ledger[[#This Row],[Amount]]*tbl_Ledger[[#This Row],[Rate_to_NGN]])</f>
        <v>28400</v>
      </c>
      <c r="R455" s="25" t="str">
        <f>_xlfn.XLOOKUP(tbl_Ledger[[#This Row],[Account_Code]], tbl_Accounts[Account_Code], tbl_Accounts[Type])</f>
        <v>Revenue</v>
      </c>
      <c r="S455" s="25" t="str">
        <f>_xlfn.XLOOKUP(tbl_Ledger[[#This Row],[Account_Code]], tbl_Accounts[Account_Code], tbl_Accounts[PL_Bucket])</f>
        <v>Revenue</v>
      </c>
      <c r="T455" s="25">
        <f t="shared" si="7"/>
        <v>28400</v>
      </c>
    </row>
    <row r="456" spans="1:20">
      <c r="A456" t="s">
        <v>1291</v>
      </c>
      <c r="B456" s="7">
        <v>45868</v>
      </c>
      <c r="C456" t="s">
        <v>93</v>
      </c>
      <c r="D456" t="s">
        <v>94</v>
      </c>
      <c r="E456" t="s">
        <v>160</v>
      </c>
      <c r="F456" s="12" t="s">
        <v>24</v>
      </c>
      <c r="G456" t="s">
        <v>25</v>
      </c>
      <c r="H456" t="s">
        <v>1292</v>
      </c>
      <c r="I456" t="s">
        <v>71</v>
      </c>
      <c r="J456" s="6">
        <v>29500</v>
      </c>
      <c r="K456" t="s">
        <v>3</v>
      </c>
      <c r="L456" t="s">
        <v>1290</v>
      </c>
      <c r="M456" t="s">
        <v>3</v>
      </c>
      <c r="N456" s="25" t="str">
        <f>TEXT(tbl_Ledger[[#This Row],[Date]],"yyyy-mm")</f>
        <v>2025-07</v>
      </c>
      <c r="O456" s="25" t="str">
        <f>TEXT(tbl_Ledger[[#This Row],[Date]],"yyyy-mm") &amp; TRIM(tbl_Ledger[[#This Row],[Currency]])</f>
        <v>2025-07NGN</v>
      </c>
      <c r="P456" s="25">
        <f>_xlfn.XLOOKUP(tbl_Ledger[[#This Row],[Key]], tbl_FX[Key], tbl_FX[Rate_to_NGN])</f>
        <v>1</v>
      </c>
      <c r="Q456" s="37">
        <f>IF(tbl_Ledger[[#This Row],[Account_Type]]="Expense",-ABS(tbl_Ledger[[#This Row],[Amount]]*tbl_Ledger[[#This Row],[Rate_to_NGN]]),tbl_Ledger[[#This Row],[Amount]]*tbl_Ledger[[#This Row],[Rate_to_NGN]])</f>
        <v>29500</v>
      </c>
      <c r="R456" s="25" t="str">
        <f>_xlfn.XLOOKUP(tbl_Ledger[[#This Row],[Account_Code]], tbl_Accounts[Account_Code], tbl_Accounts[Type])</f>
        <v>Revenue</v>
      </c>
      <c r="S456" s="25" t="str">
        <f>_xlfn.XLOOKUP(tbl_Ledger[[#This Row],[Account_Code]], tbl_Accounts[Account_Code], tbl_Accounts[PL_Bucket])</f>
        <v>Revenue</v>
      </c>
      <c r="T456" s="25">
        <f t="shared" si="7"/>
        <v>29500</v>
      </c>
    </row>
    <row r="457" spans="1:20">
      <c r="A457" t="s">
        <v>1293</v>
      </c>
      <c r="B457" s="7">
        <v>45868</v>
      </c>
      <c r="C457" t="s">
        <v>93</v>
      </c>
      <c r="D457" t="s">
        <v>94</v>
      </c>
      <c r="E457" t="s">
        <v>107</v>
      </c>
      <c r="F457" s="12" t="s">
        <v>24</v>
      </c>
      <c r="G457" t="s">
        <v>25</v>
      </c>
      <c r="H457" t="s">
        <v>1294</v>
      </c>
      <c r="I457" t="s">
        <v>71</v>
      </c>
      <c r="J457" s="6">
        <v>27800</v>
      </c>
      <c r="K457" t="s">
        <v>3</v>
      </c>
      <c r="L457" t="s">
        <v>1295</v>
      </c>
      <c r="M457" t="s">
        <v>3</v>
      </c>
      <c r="N457" s="25" t="str">
        <f>TEXT(tbl_Ledger[[#This Row],[Date]],"yyyy-mm")</f>
        <v>2025-07</v>
      </c>
      <c r="O457" s="25" t="str">
        <f>TEXT(tbl_Ledger[[#This Row],[Date]],"yyyy-mm") &amp; TRIM(tbl_Ledger[[#This Row],[Currency]])</f>
        <v>2025-07NGN</v>
      </c>
      <c r="P457" s="25">
        <f>_xlfn.XLOOKUP(tbl_Ledger[[#This Row],[Key]], tbl_FX[Key], tbl_FX[Rate_to_NGN])</f>
        <v>1</v>
      </c>
      <c r="Q457" s="37">
        <f>IF(tbl_Ledger[[#This Row],[Account_Type]]="Expense",-ABS(tbl_Ledger[[#This Row],[Amount]]*tbl_Ledger[[#This Row],[Rate_to_NGN]]),tbl_Ledger[[#This Row],[Amount]]*tbl_Ledger[[#This Row],[Rate_to_NGN]])</f>
        <v>27800</v>
      </c>
      <c r="R457" s="25" t="str">
        <f>_xlfn.XLOOKUP(tbl_Ledger[[#This Row],[Account_Code]], tbl_Accounts[Account_Code], tbl_Accounts[Type])</f>
        <v>Revenue</v>
      </c>
      <c r="S457" s="25" t="str">
        <f>_xlfn.XLOOKUP(tbl_Ledger[[#This Row],[Account_Code]], tbl_Accounts[Account_Code], tbl_Accounts[PL_Bucket])</f>
        <v>Revenue</v>
      </c>
      <c r="T457" s="25">
        <f t="shared" si="7"/>
        <v>27800</v>
      </c>
    </row>
    <row r="458" spans="1:20">
      <c r="A458" t="s">
        <v>1296</v>
      </c>
      <c r="B458" s="7">
        <v>45868</v>
      </c>
      <c r="C458" t="s">
        <v>93</v>
      </c>
      <c r="D458" t="s">
        <v>111</v>
      </c>
      <c r="E458" t="s">
        <v>112</v>
      </c>
      <c r="F458" s="12" t="s">
        <v>24</v>
      </c>
      <c r="G458" t="s">
        <v>25</v>
      </c>
      <c r="H458" t="s">
        <v>1297</v>
      </c>
      <c r="I458" t="s">
        <v>71</v>
      </c>
      <c r="J458" s="6">
        <v>45600</v>
      </c>
      <c r="K458" t="s">
        <v>3</v>
      </c>
      <c r="L458" t="s">
        <v>1298</v>
      </c>
      <c r="M458" t="s">
        <v>3</v>
      </c>
      <c r="N458" s="25" t="str">
        <f>TEXT(tbl_Ledger[[#This Row],[Date]],"yyyy-mm")</f>
        <v>2025-07</v>
      </c>
      <c r="O458" s="25" t="str">
        <f>TEXT(tbl_Ledger[[#This Row],[Date]],"yyyy-mm") &amp; TRIM(tbl_Ledger[[#This Row],[Currency]])</f>
        <v>2025-07NGN</v>
      </c>
      <c r="P458" s="25">
        <f>_xlfn.XLOOKUP(tbl_Ledger[[#This Row],[Key]], tbl_FX[Key], tbl_FX[Rate_to_NGN])</f>
        <v>1</v>
      </c>
      <c r="Q458" s="37">
        <f>IF(tbl_Ledger[[#This Row],[Account_Type]]="Expense",-ABS(tbl_Ledger[[#This Row],[Amount]]*tbl_Ledger[[#This Row],[Rate_to_NGN]]),tbl_Ledger[[#This Row],[Amount]]*tbl_Ledger[[#This Row],[Rate_to_NGN]])</f>
        <v>45600</v>
      </c>
      <c r="R458" s="25" t="str">
        <f>_xlfn.XLOOKUP(tbl_Ledger[[#This Row],[Account_Code]], tbl_Accounts[Account_Code], tbl_Accounts[Type])</f>
        <v>Revenue</v>
      </c>
      <c r="S458" s="25" t="str">
        <f>_xlfn.XLOOKUP(tbl_Ledger[[#This Row],[Account_Code]], tbl_Accounts[Account_Code], tbl_Accounts[PL_Bucket])</f>
        <v>Revenue</v>
      </c>
      <c r="T458" s="25">
        <f t="shared" si="7"/>
        <v>45600</v>
      </c>
    </row>
    <row r="459" spans="1:20">
      <c r="A459" t="s">
        <v>1299</v>
      </c>
      <c r="B459" s="7">
        <v>45868</v>
      </c>
      <c r="C459" t="s">
        <v>93</v>
      </c>
      <c r="D459" t="s">
        <v>111</v>
      </c>
      <c r="E459" t="s">
        <v>116</v>
      </c>
      <c r="F459" s="12" t="s">
        <v>24</v>
      </c>
      <c r="G459" t="s">
        <v>25</v>
      </c>
      <c r="H459" t="s">
        <v>1300</v>
      </c>
      <c r="I459" t="s">
        <v>71</v>
      </c>
      <c r="J459" s="6">
        <v>50100</v>
      </c>
      <c r="K459" t="s">
        <v>3</v>
      </c>
      <c r="L459" t="s">
        <v>1298</v>
      </c>
      <c r="M459" t="s">
        <v>3</v>
      </c>
      <c r="N459" s="25" t="str">
        <f>TEXT(tbl_Ledger[[#This Row],[Date]],"yyyy-mm")</f>
        <v>2025-07</v>
      </c>
      <c r="O459" s="25" t="str">
        <f>TEXT(tbl_Ledger[[#This Row],[Date]],"yyyy-mm") &amp; TRIM(tbl_Ledger[[#This Row],[Currency]])</f>
        <v>2025-07NGN</v>
      </c>
      <c r="P459" s="25">
        <f>_xlfn.XLOOKUP(tbl_Ledger[[#This Row],[Key]], tbl_FX[Key], tbl_FX[Rate_to_NGN])</f>
        <v>1</v>
      </c>
      <c r="Q459" s="37">
        <f>IF(tbl_Ledger[[#This Row],[Account_Type]]="Expense",-ABS(tbl_Ledger[[#This Row],[Amount]]*tbl_Ledger[[#This Row],[Rate_to_NGN]]),tbl_Ledger[[#This Row],[Amount]]*tbl_Ledger[[#This Row],[Rate_to_NGN]])</f>
        <v>50100</v>
      </c>
      <c r="R459" s="25" t="str">
        <f>_xlfn.XLOOKUP(tbl_Ledger[[#This Row],[Account_Code]], tbl_Accounts[Account_Code], tbl_Accounts[Type])</f>
        <v>Revenue</v>
      </c>
      <c r="S459" s="25" t="str">
        <f>_xlfn.XLOOKUP(tbl_Ledger[[#This Row],[Account_Code]], tbl_Accounts[Account_Code], tbl_Accounts[PL_Bucket])</f>
        <v>Revenue</v>
      </c>
      <c r="T459" s="25">
        <f t="shared" si="7"/>
        <v>50100</v>
      </c>
    </row>
    <row r="460" spans="1:20">
      <c r="A460" t="s">
        <v>1301</v>
      </c>
      <c r="B460" s="7">
        <v>45868</v>
      </c>
      <c r="C460" t="s">
        <v>93</v>
      </c>
      <c r="D460" t="s">
        <v>111</v>
      </c>
      <c r="E460" t="s">
        <v>170</v>
      </c>
      <c r="F460" s="12" t="s">
        <v>24</v>
      </c>
      <c r="G460" t="s">
        <v>25</v>
      </c>
      <c r="H460" t="s">
        <v>1302</v>
      </c>
      <c r="I460" t="s">
        <v>71</v>
      </c>
      <c r="J460" s="6">
        <v>48600</v>
      </c>
      <c r="K460" t="s">
        <v>3</v>
      </c>
      <c r="L460" t="s">
        <v>1298</v>
      </c>
      <c r="M460" t="s">
        <v>3</v>
      </c>
      <c r="N460" s="25" t="str">
        <f>TEXT(tbl_Ledger[[#This Row],[Date]],"yyyy-mm")</f>
        <v>2025-07</v>
      </c>
      <c r="O460" s="25" t="str">
        <f>TEXT(tbl_Ledger[[#This Row],[Date]],"yyyy-mm") &amp; TRIM(tbl_Ledger[[#This Row],[Currency]])</f>
        <v>2025-07NGN</v>
      </c>
      <c r="P460" s="25">
        <f>_xlfn.XLOOKUP(tbl_Ledger[[#This Row],[Key]], tbl_FX[Key], tbl_FX[Rate_to_NGN])</f>
        <v>1</v>
      </c>
      <c r="Q460" s="37">
        <f>IF(tbl_Ledger[[#This Row],[Account_Type]]="Expense",-ABS(tbl_Ledger[[#This Row],[Amount]]*tbl_Ledger[[#This Row],[Rate_to_NGN]]),tbl_Ledger[[#This Row],[Amount]]*tbl_Ledger[[#This Row],[Rate_to_NGN]])</f>
        <v>48600</v>
      </c>
      <c r="R460" s="25" t="str">
        <f>_xlfn.XLOOKUP(tbl_Ledger[[#This Row],[Account_Code]], tbl_Accounts[Account_Code], tbl_Accounts[Type])</f>
        <v>Revenue</v>
      </c>
      <c r="S460" s="25" t="str">
        <f>_xlfn.XLOOKUP(tbl_Ledger[[#This Row],[Account_Code]], tbl_Accounts[Account_Code], tbl_Accounts[PL_Bucket])</f>
        <v>Revenue</v>
      </c>
      <c r="T460" s="25">
        <f t="shared" si="7"/>
        <v>48600</v>
      </c>
    </row>
    <row r="461" spans="1:20">
      <c r="A461" t="s">
        <v>1303</v>
      </c>
      <c r="B461" s="7">
        <v>45868</v>
      </c>
      <c r="C461" t="s">
        <v>93</v>
      </c>
      <c r="D461" t="s">
        <v>111</v>
      </c>
      <c r="E461" t="s">
        <v>122</v>
      </c>
      <c r="F461" s="12" t="s">
        <v>24</v>
      </c>
      <c r="G461" t="s">
        <v>25</v>
      </c>
      <c r="H461" t="s">
        <v>1304</v>
      </c>
      <c r="I461" t="s">
        <v>71</v>
      </c>
      <c r="J461" s="6">
        <v>48000</v>
      </c>
      <c r="K461" t="s">
        <v>3</v>
      </c>
      <c r="L461" t="s">
        <v>1305</v>
      </c>
      <c r="M461" t="s">
        <v>3</v>
      </c>
      <c r="N461" s="25" t="str">
        <f>TEXT(tbl_Ledger[[#This Row],[Date]],"yyyy-mm")</f>
        <v>2025-07</v>
      </c>
      <c r="O461" s="25" t="str">
        <f>TEXT(tbl_Ledger[[#This Row],[Date]],"yyyy-mm") &amp; TRIM(tbl_Ledger[[#This Row],[Currency]])</f>
        <v>2025-07NGN</v>
      </c>
      <c r="P461" s="25">
        <f>_xlfn.XLOOKUP(tbl_Ledger[[#This Row],[Key]], tbl_FX[Key], tbl_FX[Rate_to_NGN])</f>
        <v>1</v>
      </c>
      <c r="Q461" s="37">
        <f>IF(tbl_Ledger[[#This Row],[Account_Type]]="Expense",-ABS(tbl_Ledger[[#This Row],[Amount]]*tbl_Ledger[[#This Row],[Rate_to_NGN]]),tbl_Ledger[[#This Row],[Amount]]*tbl_Ledger[[#This Row],[Rate_to_NGN]])</f>
        <v>48000</v>
      </c>
      <c r="R461" s="25" t="str">
        <f>_xlfn.XLOOKUP(tbl_Ledger[[#This Row],[Account_Code]], tbl_Accounts[Account_Code], tbl_Accounts[Type])</f>
        <v>Revenue</v>
      </c>
      <c r="S461" s="25" t="str">
        <f>_xlfn.XLOOKUP(tbl_Ledger[[#This Row],[Account_Code]], tbl_Accounts[Account_Code], tbl_Accounts[PL_Bucket])</f>
        <v>Revenue</v>
      </c>
      <c r="T461" s="25">
        <f t="shared" si="7"/>
        <v>48000</v>
      </c>
    </row>
    <row r="462" spans="1:20">
      <c r="A462" t="s">
        <v>1306</v>
      </c>
      <c r="B462" s="7">
        <v>45868</v>
      </c>
      <c r="C462" t="s">
        <v>126</v>
      </c>
      <c r="D462" t="s">
        <v>88</v>
      </c>
      <c r="E462" t="s">
        <v>127</v>
      </c>
      <c r="F462" s="12" t="s">
        <v>29</v>
      </c>
      <c r="G462" t="s">
        <v>30</v>
      </c>
      <c r="H462" t="s">
        <v>1307</v>
      </c>
      <c r="I462" t="s">
        <v>72</v>
      </c>
      <c r="J462" s="6">
        <v>27.78</v>
      </c>
      <c r="K462" t="s">
        <v>129</v>
      </c>
      <c r="L462" t="s">
        <v>1308</v>
      </c>
      <c r="M462" t="s">
        <v>3</v>
      </c>
      <c r="N462" s="25" t="str">
        <f>TEXT(tbl_Ledger[[#This Row],[Date]],"yyyy-mm")</f>
        <v>2025-07</v>
      </c>
      <c r="O462" s="25" t="str">
        <f>TEXT(tbl_Ledger[[#This Row],[Date]],"yyyy-mm") &amp; TRIM(tbl_Ledger[[#This Row],[Currency]])</f>
        <v>2025-07USD</v>
      </c>
      <c r="P462" s="25">
        <f>_xlfn.XLOOKUP(tbl_Ledger[[#This Row],[Key]], tbl_FX[Key], tbl_FX[Rate_to_NGN])</f>
        <v>1530</v>
      </c>
      <c r="Q462" s="37">
        <f>IF(tbl_Ledger[[#This Row],[Account_Type]]="Expense",-ABS(tbl_Ledger[[#This Row],[Amount]]*tbl_Ledger[[#This Row],[Rate_to_NGN]]),tbl_Ledger[[#This Row],[Amount]]*tbl_Ledger[[#This Row],[Rate_to_NGN]])</f>
        <v>42503.4</v>
      </c>
      <c r="R462" s="25" t="str">
        <f>_xlfn.XLOOKUP(tbl_Ledger[[#This Row],[Account_Code]], tbl_Accounts[Account_Code], tbl_Accounts[Type])</f>
        <v>Revenue</v>
      </c>
      <c r="S462" s="25" t="str">
        <f>_xlfn.XLOOKUP(tbl_Ledger[[#This Row],[Account_Code]], tbl_Accounts[Account_Code], tbl_Accounts[PL_Bucket])</f>
        <v>Revenue</v>
      </c>
      <c r="T462" s="25">
        <f t="shared" si="7"/>
        <v>42503.4</v>
      </c>
    </row>
    <row r="463" spans="1:20">
      <c r="A463" t="s">
        <v>1309</v>
      </c>
      <c r="B463" s="7">
        <v>45868</v>
      </c>
      <c r="C463" t="s">
        <v>126</v>
      </c>
      <c r="D463" t="s">
        <v>88</v>
      </c>
      <c r="E463" t="s">
        <v>132</v>
      </c>
      <c r="F463" s="12" t="s">
        <v>29</v>
      </c>
      <c r="G463" t="s">
        <v>30</v>
      </c>
      <c r="H463" t="s">
        <v>1310</v>
      </c>
      <c r="I463" t="s">
        <v>72</v>
      </c>
      <c r="J463" s="6">
        <v>30.72</v>
      </c>
      <c r="K463" t="s">
        <v>134</v>
      </c>
      <c r="L463" t="s">
        <v>1308</v>
      </c>
      <c r="M463" t="s">
        <v>3</v>
      </c>
      <c r="N463" s="25" t="str">
        <f>TEXT(tbl_Ledger[[#This Row],[Date]],"yyyy-mm")</f>
        <v>2025-07</v>
      </c>
      <c r="O463" s="25" t="str">
        <f>TEXT(tbl_Ledger[[#This Row],[Date]],"yyyy-mm") &amp; TRIM(tbl_Ledger[[#This Row],[Currency]])</f>
        <v>2025-07USD</v>
      </c>
      <c r="P463" s="25">
        <f>_xlfn.XLOOKUP(tbl_Ledger[[#This Row],[Key]], tbl_FX[Key], tbl_FX[Rate_to_NGN])</f>
        <v>1530</v>
      </c>
      <c r="Q463" s="37">
        <f>IF(tbl_Ledger[[#This Row],[Account_Type]]="Expense",-ABS(tbl_Ledger[[#This Row],[Amount]]*tbl_Ledger[[#This Row],[Rate_to_NGN]]),tbl_Ledger[[#This Row],[Amount]]*tbl_Ledger[[#This Row],[Rate_to_NGN]])</f>
        <v>47001.599999999999</v>
      </c>
      <c r="R463" s="25" t="str">
        <f>_xlfn.XLOOKUP(tbl_Ledger[[#This Row],[Account_Code]], tbl_Accounts[Account_Code], tbl_Accounts[Type])</f>
        <v>Revenue</v>
      </c>
      <c r="S463" s="25" t="str">
        <f>_xlfn.XLOOKUP(tbl_Ledger[[#This Row],[Account_Code]], tbl_Accounts[Account_Code], tbl_Accounts[PL_Bucket])</f>
        <v>Revenue</v>
      </c>
      <c r="T463" s="25">
        <f t="shared" si="7"/>
        <v>47001.599999999999</v>
      </c>
    </row>
    <row r="464" spans="1:20">
      <c r="A464" t="s">
        <v>1311</v>
      </c>
      <c r="B464" s="7">
        <v>45868</v>
      </c>
      <c r="C464" t="s">
        <v>126</v>
      </c>
      <c r="D464" t="s">
        <v>88</v>
      </c>
      <c r="E464" t="s">
        <v>136</v>
      </c>
      <c r="F464" s="12" t="s">
        <v>29</v>
      </c>
      <c r="G464" t="s">
        <v>30</v>
      </c>
      <c r="H464" t="s">
        <v>1312</v>
      </c>
      <c r="I464" t="s">
        <v>71</v>
      </c>
      <c r="J464" s="6">
        <v>44900</v>
      </c>
      <c r="K464" t="s">
        <v>138</v>
      </c>
      <c r="L464" t="s">
        <v>1308</v>
      </c>
      <c r="M464" t="s">
        <v>3</v>
      </c>
      <c r="N464" s="25" t="str">
        <f>TEXT(tbl_Ledger[[#This Row],[Date]],"yyyy-mm")</f>
        <v>2025-07</v>
      </c>
      <c r="O464" s="25" t="str">
        <f>TEXT(tbl_Ledger[[#This Row],[Date]],"yyyy-mm") &amp; TRIM(tbl_Ledger[[#This Row],[Currency]])</f>
        <v>2025-07NGN</v>
      </c>
      <c r="P464" s="25">
        <f>_xlfn.XLOOKUP(tbl_Ledger[[#This Row],[Key]], tbl_FX[Key], tbl_FX[Rate_to_NGN])</f>
        <v>1</v>
      </c>
      <c r="Q464" s="37">
        <f>IF(tbl_Ledger[[#This Row],[Account_Type]]="Expense",-ABS(tbl_Ledger[[#This Row],[Amount]]*tbl_Ledger[[#This Row],[Rate_to_NGN]]),tbl_Ledger[[#This Row],[Amount]]*tbl_Ledger[[#This Row],[Rate_to_NGN]])</f>
        <v>44900</v>
      </c>
      <c r="R464" s="25" t="str">
        <f>_xlfn.XLOOKUP(tbl_Ledger[[#This Row],[Account_Code]], tbl_Accounts[Account_Code], tbl_Accounts[Type])</f>
        <v>Revenue</v>
      </c>
      <c r="S464" s="25" t="str">
        <f>_xlfn.XLOOKUP(tbl_Ledger[[#This Row],[Account_Code]], tbl_Accounts[Account_Code], tbl_Accounts[PL_Bucket])</f>
        <v>Revenue</v>
      </c>
      <c r="T464" s="25">
        <f t="shared" si="7"/>
        <v>44900</v>
      </c>
    </row>
    <row r="465" spans="1:20">
      <c r="A465" t="s">
        <v>1313</v>
      </c>
      <c r="B465" s="7">
        <v>45868</v>
      </c>
      <c r="C465" t="s">
        <v>87</v>
      </c>
      <c r="D465" t="s">
        <v>111</v>
      </c>
      <c r="E465" t="s">
        <v>3</v>
      </c>
      <c r="F465" s="12" t="s">
        <v>36</v>
      </c>
      <c r="G465" t="s">
        <v>37</v>
      </c>
      <c r="H465" t="s">
        <v>986</v>
      </c>
      <c r="I465" t="s">
        <v>71</v>
      </c>
      <c r="J465" s="6">
        <v>-1035000</v>
      </c>
      <c r="K465" t="s">
        <v>987</v>
      </c>
      <c r="L465" t="s">
        <v>1314</v>
      </c>
      <c r="M465" t="s">
        <v>3</v>
      </c>
      <c r="N465" s="25" t="str">
        <f>TEXT(tbl_Ledger[[#This Row],[Date]],"yyyy-mm")</f>
        <v>2025-07</v>
      </c>
      <c r="O465" s="25" t="str">
        <f>TEXT(tbl_Ledger[[#This Row],[Date]],"yyyy-mm") &amp; TRIM(tbl_Ledger[[#This Row],[Currency]])</f>
        <v>2025-07NGN</v>
      </c>
      <c r="P465" s="25">
        <f>_xlfn.XLOOKUP(tbl_Ledger[[#This Row],[Key]], tbl_FX[Key], tbl_FX[Rate_to_NGN])</f>
        <v>1</v>
      </c>
      <c r="Q465" s="37">
        <f>IF(tbl_Ledger[[#This Row],[Account_Type]]="Expense",-ABS(tbl_Ledger[[#This Row],[Amount]]*tbl_Ledger[[#This Row],[Rate_to_NGN]]),tbl_Ledger[[#This Row],[Amount]]*tbl_Ledger[[#This Row],[Rate_to_NGN]])</f>
        <v>-1035000</v>
      </c>
      <c r="R465" s="25" t="str">
        <f>_xlfn.XLOOKUP(tbl_Ledger[[#This Row],[Account_Code]], tbl_Accounts[Account_Code], tbl_Accounts[Type])</f>
        <v>COGS</v>
      </c>
      <c r="S465" s="25" t="str">
        <f>_xlfn.XLOOKUP(tbl_Ledger[[#This Row],[Account_Code]], tbl_Accounts[Account_Code], tbl_Accounts[PL_Bucket])</f>
        <v>COGS</v>
      </c>
      <c r="T465" s="25">
        <f t="shared" si="7"/>
        <v>-1035000</v>
      </c>
    </row>
    <row r="466" spans="1:20">
      <c r="A466" t="s">
        <v>1315</v>
      </c>
      <c r="B466" s="7">
        <v>45869</v>
      </c>
      <c r="C466" t="s">
        <v>93</v>
      </c>
      <c r="D466" t="s">
        <v>94</v>
      </c>
      <c r="E466" t="s">
        <v>95</v>
      </c>
      <c r="F466" s="12" t="s">
        <v>24</v>
      </c>
      <c r="G466" t="s">
        <v>25</v>
      </c>
      <c r="H466" t="s">
        <v>1316</v>
      </c>
      <c r="I466" t="s">
        <v>71</v>
      </c>
      <c r="J466" s="6">
        <v>30500</v>
      </c>
      <c r="K466" t="s">
        <v>3</v>
      </c>
      <c r="L466" t="s">
        <v>1317</v>
      </c>
      <c r="M466" t="s">
        <v>3</v>
      </c>
      <c r="N466" s="25" t="str">
        <f>TEXT(tbl_Ledger[[#This Row],[Date]],"yyyy-mm")</f>
        <v>2025-07</v>
      </c>
      <c r="O466" s="25" t="str">
        <f>TEXT(tbl_Ledger[[#This Row],[Date]],"yyyy-mm") &amp; TRIM(tbl_Ledger[[#This Row],[Currency]])</f>
        <v>2025-07NGN</v>
      </c>
      <c r="P466" s="25">
        <f>_xlfn.XLOOKUP(tbl_Ledger[[#This Row],[Key]], tbl_FX[Key], tbl_FX[Rate_to_NGN])</f>
        <v>1</v>
      </c>
      <c r="Q466" s="37">
        <f>IF(tbl_Ledger[[#This Row],[Account_Type]]="Expense",-ABS(tbl_Ledger[[#This Row],[Amount]]*tbl_Ledger[[#This Row],[Rate_to_NGN]]),tbl_Ledger[[#This Row],[Amount]]*tbl_Ledger[[#This Row],[Rate_to_NGN]])</f>
        <v>30500</v>
      </c>
      <c r="R466" s="25" t="str">
        <f>_xlfn.XLOOKUP(tbl_Ledger[[#This Row],[Account_Code]], tbl_Accounts[Account_Code], tbl_Accounts[Type])</f>
        <v>Revenue</v>
      </c>
      <c r="S466" s="25" t="str">
        <f>_xlfn.XLOOKUP(tbl_Ledger[[#This Row],[Account_Code]], tbl_Accounts[Account_Code], tbl_Accounts[PL_Bucket])</f>
        <v>Revenue</v>
      </c>
      <c r="T466" s="25">
        <f t="shared" si="7"/>
        <v>30500</v>
      </c>
    </row>
    <row r="467" spans="1:20">
      <c r="A467" t="s">
        <v>1318</v>
      </c>
      <c r="B467" s="7">
        <v>45869</v>
      </c>
      <c r="C467" t="s">
        <v>93</v>
      </c>
      <c r="D467" t="s">
        <v>94</v>
      </c>
      <c r="E467" t="s">
        <v>99</v>
      </c>
      <c r="F467" s="12" t="s">
        <v>24</v>
      </c>
      <c r="G467" t="s">
        <v>25</v>
      </c>
      <c r="H467" t="s">
        <v>1319</v>
      </c>
      <c r="I467" t="s">
        <v>71</v>
      </c>
      <c r="J467" s="6">
        <v>26600</v>
      </c>
      <c r="K467" t="s">
        <v>3</v>
      </c>
      <c r="L467" t="s">
        <v>1320</v>
      </c>
      <c r="M467" t="s">
        <v>3</v>
      </c>
      <c r="N467" s="25" t="str">
        <f>TEXT(tbl_Ledger[[#This Row],[Date]],"yyyy-mm")</f>
        <v>2025-07</v>
      </c>
      <c r="O467" s="25" t="str">
        <f>TEXT(tbl_Ledger[[#This Row],[Date]],"yyyy-mm") &amp; TRIM(tbl_Ledger[[#This Row],[Currency]])</f>
        <v>2025-07NGN</v>
      </c>
      <c r="P467" s="25">
        <f>_xlfn.XLOOKUP(tbl_Ledger[[#This Row],[Key]], tbl_FX[Key], tbl_FX[Rate_to_NGN])</f>
        <v>1</v>
      </c>
      <c r="Q467" s="37">
        <f>IF(tbl_Ledger[[#This Row],[Account_Type]]="Expense",-ABS(tbl_Ledger[[#This Row],[Amount]]*tbl_Ledger[[#This Row],[Rate_to_NGN]]),tbl_Ledger[[#This Row],[Amount]]*tbl_Ledger[[#This Row],[Rate_to_NGN]])</f>
        <v>26600</v>
      </c>
      <c r="R467" s="25" t="str">
        <f>_xlfn.XLOOKUP(tbl_Ledger[[#This Row],[Account_Code]], tbl_Accounts[Account_Code], tbl_Accounts[Type])</f>
        <v>Revenue</v>
      </c>
      <c r="S467" s="25" t="str">
        <f>_xlfn.XLOOKUP(tbl_Ledger[[#This Row],[Account_Code]], tbl_Accounts[Account_Code], tbl_Accounts[PL_Bucket])</f>
        <v>Revenue</v>
      </c>
      <c r="T467" s="25">
        <f t="shared" si="7"/>
        <v>26600</v>
      </c>
    </row>
    <row r="468" spans="1:20">
      <c r="A468" t="s">
        <v>1321</v>
      </c>
      <c r="B468" s="7">
        <v>45869</v>
      </c>
      <c r="C468" t="s">
        <v>93</v>
      </c>
      <c r="D468" t="s">
        <v>94</v>
      </c>
      <c r="E468" t="s">
        <v>103</v>
      </c>
      <c r="F468" s="12" t="s">
        <v>24</v>
      </c>
      <c r="G468" t="s">
        <v>25</v>
      </c>
      <c r="H468" t="s">
        <v>1322</v>
      </c>
      <c r="I468" t="s">
        <v>71</v>
      </c>
      <c r="J468" s="6">
        <v>28500</v>
      </c>
      <c r="K468" t="s">
        <v>3</v>
      </c>
      <c r="L468" t="s">
        <v>1323</v>
      </c>
      <c r="M468" t="s">
        <v>3</v>
      </c>
      <c r="N468" s="25" t="str">
        <f>TEXT(tbl_Ledger[[#This Row],[Date]],"yyyy-mm")</f>
        <v>2025-07</v>
      </c>
      <c r="O468" s="25" t="str">
        <f>TEXT(tbl_Ledger[[#This Row],[Date]],"yyyy-mm") &amp; TRIM(tbl_Ledger[[#This Row],[Currency]])</f>
        <v>2025-07NGN</v>
      </c>
      <c r="P468" s="25">
        <f>_xlfn.XLOOKUP(tbl_Ledger[[#This Row],[Key]], tbl_FX[Key], tbl_FX[Rate_to_NGN])</f>
        <v>1</v>
      </c>
      <c r="Q468" s="37">
        <f>IF(tbl_Ledger[[#This Row],[Account_Type]]="Expense",-ABS(tbl_Ledger[[#This Row],[Amount]]*tbl_Ledger[[#This Row],[Rate_to_NGN]]),tbl_Ledger[[#This Row],[Amount]]*tbl_Ledger[[#This Row],[Rate_to_NGN]])</f>
        <v>28500</v>
      </c>
      <c r="R468" s="25" t="str">
        <f>_xlfn.XLOOKUP(tbl_Ledger[[#This Row],[Account_Code]], tbl_Accounts[Account_Code], tbl_Accounts[Type])</f>
        <v>Revenue</v>
      </c>
      <c r="S468" s="25" t="str">
        <f>_xlfn.XLOOKUP(tbl_Ledger[[#This Row],[Account_Code]], tbl_Accounts[Account_Code], tbl_Accounts[PL_Bucket])</f>
        <v>Revenue</v>
      </c>
      <c r="T468" s="25">
        <f t="shared" si="7"/>
        <v>28500</v>
      </c>
    </row>
    <row r="469" spans="1:20">
      <c r="A469" t="s">
        <v>1324</v>
      </c>
      <c r="B469" s="7">
        <v>45869</v>
      </c>
      <c r="C469" t="s">
        <v>93</v>
      </c>
      <c r="D469" t="s">
        <v>94</v>
      </c>
      <c r="E469" t="s">
        <v>160</v>
      </c>
      <c r="F469" s="12" t="s">
        <v>24</v>
      </c>
      <c r="G469" t="s">
        <v>25</v>
      </c>
      <c r="H469" t="s">
        <v>1325</v>
      </c>
      <c r="I469" t="s">
        <v>71</v>
      </c>
      <c r="J469" s="6">
        <v>30800</v>
      </c>
      <c r="K469" t="s">
        <v>3</v>
      </c>
      <c r="L469" t="s">
        <v>1323</v>
      </c>
      <c r="M469" t="s">
        <v>3</v>
      </c>
      <c r="N469" s="25" t="str">
        <f>TEXT(tbl_Ledger[[#This Row],[Date]],"yyyy-mm")</f>
        <v>2025-07</v>
      </c>
      <c r="O469" s="25" t="str">
        <f>TEXT(tbl_Ledger[[#This Row],[Date]],"yyyy-mm") &amp; TRIM(tbl_Ledger[[#This Row],[Currency]])</f>
        <v>2025-07NGN</v>
      </c>
      <c r="P469" s="25">
        <f>_xlfn.XLOOKUP(tbl_Ledger[[#This Row],[Key]], tbl_FX[Key], tbl_FX[Rate_to_NGN])</f>
        <v>1</v>
      </c>
      <c r="Q469" s="37">
        <f>IF(tbl_Ledger[[#This Row],[Account_Type]]="Expense",-ABS(tbl_Ledger[[#This Row],[Amount]]*tbl_Ledger[[#This Row],[Rate_to_NGN]]),tbl_Ledger[[#This Row],[Amount]]*tbl_Ledger[[#This Row],[Rate_to_NGN]])</f>
        <v>30800</v>
      </c>
      <c r="R469" s="25" t="str">
        <f>_xlfn.XLOOKUP(tbl_Ledger[[#This Row],[Account_Code]], tbl_Accounts[Account_Code], tbl_Accounts[Type])</f>
        <v>Revenue</v>
      </c>
      <c r="S469" s="25" t="str">
        <f>_xlfn.XLOOKUP(tbl_Ledger[[#This Row],[Account_Code]], tbl_Accounts[Account_Code], tbl_Accounts[PL_Bucket])</f>
        <v>Revenue</v>
      </c>
      <c r="T469" s="25">
        <f t="shared" si="7"/>
        <v>30800</v>
      </c>
    </row>
    <row r="470" spans="1:20">
      <c r="A470" t="s">
        <v>1326</v>
      </c>
      <c r="B470" s="7">
        <v>45869</v>
      </c>
      <c r="C470" t="s">
        <v>93</v>
      </c>
      <c r="D470" t="s">
        <v>94</v>
      </c>
      <c r="E470" t="s">
        <v>107</v>
      </c>
      <c r="F470" s="12" t="s">
        <v>24</v>
      </c>
      <c r="G470" t="s">
        <v>25</v>
      </c>
      <c r="H470" t="s">
        <v>1327</v>
      </c>
      <c r="I470" t="s">
        <v>71</v>
      </c>
      <c r="J470" s="6">
        <v>28600</v>
      </c>
      <c r="K470" t="s">
        <v>3</v>
      </c>
      <c r="L470" t="s">
        <v>1328</v>
      </c>
      <c r="M470" t="s">
        <v>3</v>
      </c>
      <c r="N470" s="25" t="str">
        <f>TEXT(tbl_Ledger[[#This Row],[Date]],"yyyy-mm")</f>
        <v>2025-07</v>
      </c>
      <c r="O470" s="25" t="str">
        <f>TEXT(tbl_Ledger[[#This Row],[Date]],"yyyy-mm") &amp; TRIM(tbl_Ledger[[#This Row],[Currency]])</f>
        <v>2025-07NGN</v>
      </c>
      <c r="P470" s="25">
        <f>_xlfn.XLOOKUP(tbl_Ledger[[#This Row],[Key]], tbl_FX[Key], tbl_FX[Rate_to_NGN])</f>
        <v>1</v>
      </c>
      <c r="Q470" s="37">
        <f>IF(tbl_Ledger[[#This Row],[Account_Type]]="Expense",-ABS(tbl_Ledger[[#This Row],[Amount]]*tbl_Ledger[[#This Row],[Rate_to_NGN]]),tbl_Ledger[[#This Row],[Amount]]*tbl_Ledger[[#This Row],[Rate_to_NGN]])</f>
        <v>28600</v>
      </c>
      <c r="R470" s="25" t="str">
        <f>_xlfn.XLOOKUP(tbl_Ledger[[#This Row],[Account_Code]], tbl_Accounts[Account_Code], tbl_Accounts[Type])</f>
        <v>Revenue</v>
      </c>
      <c r="S470" s="25" t="str">
        <f>_xlfn.XLOOKUP(tbl_Ledger[[#This Row],[Account_Code]], tbl_Accounts[Account_Code], tbl_Accounts[PL_Bucket])</f>
        <v>Revenue</v>
      </c>
      <c r="T470" s="25">
        <f t="shared" si="7"/>
        <v>28600</v>
      </c>
    </row>
    <row r="471" spans="1:20">
      <c r="A471" t="s">
        <v>1329</v>
      </c>
      <c r="B471" s="7">
        <v>45869</v>
      </c>
      <c r="C471" t="s">
        <v>93</v>
      </c>
      <c r="D471" t="s">
        <v>111</v>
      </c>
      <c r="E471" t="s">
        <v>112</v>
      </c>
      <c r="F471" s="12" t="s">
        <v>24</v>
      </c>
      <c r="G471" t="s">
        <v>25</v>
      </c>
      <c r="H471" t="s">
        <v>1330</v>
      </c>
      <c r="I471" t="s">
        <v>71</v>
      </c>
      <c r="J471" s="6">
        <v>47100</v>
      </c>
      <c r="K471" t="s">
        <v>3</v>
      </c>
      <c r="L471" t="s">
        <v>1331</v>
      </c>
      <c r="M471" t="s">
        <v>3</v>
      </c>
      <c r="N471" s="25" t="str">
        <f>TEXT(tbl_Ledger[[#This Row],[Date]],"yyyy-mm")</f>
        <v>2025-07</v>
      </c>
      <c r="O471" s="25" t="str">
        <f>TEXT(tbl_Ledger[[#This Row],[Date]],"yyyy-mm") &amp; TRIM(tbl_Ledger[[#This Row],[Currency]])</f>
        <v>2025-07NGN</v>
      </c>
      <c r="P471" s="25">
        <f>_xlfn.XLOOKUP(tbl_Ledger[[#This Row],[Key]], tbl_FX[Key], tbl_FX[Rate_to_NGN])</f>
        <v>1</v>
      </c>
      <c r="Q471" s="37">
        <f>IF(tbl_Ledger[[#This Row],[Account_Type]]="Expense",-ABS(tbl_Ledger[[#This Row],[Amount]]*tbl_Ledger[[#This Row],[Rate_to_NGN]]),tbl_Ledger[[#This Row],[Amount]]*tbl_Ledger[[#This Row],[Rate_to_NGN]])</f>
        <v>47100</v>
      </c>
      <c r="R471" s="25" t="str">
        <f>_xlfn.XLOOKUP(tbl_Ledger[[#This Row],[Account_Code]], tbl_Accounts[Account_Code], tbl_Accounts[Type])</f>
        <v>Revenue</v>
      </c>
      <c r="S471" s="25" t="str">
        <f>_xlfn.XLOOKUP(tbl_Ledger[[#This Row],[Account_Code]], tbl_Accounts[Account_Code], tbl_Accounts[PL_Bucket])</f>
        <v>Revenue</v>
      </c>
      <c r="T471" s="25">
        <f t="shared" si="7"/>
        <v>47100</v>
      </c>
    </row>
    <row r="472" spans="1:20">
      <c r="A472" t="s">
        <v>1332</v>
      </c>
      <c r="B472" s="7">
        <v>45869</v>
      </c>
      <c r="C472" t="s">
        <v>93</v>
      </c>
      <c r="D472" t="s">
        <v>111</v>
      </c>
      <c r="E472" t="s">
        <v>116</v>
      </c>
      <c r="F472" s="12" t="s">
        <v>24</v>
      </c>
      <c r="G472" t="s">
        <v>25</v>
      </c>
      <c r="H472" t="s">
        <v>1333</v>
      </c>
      <c r="I472" t="s">
        <v>71</v>
      </c>
      <c r="J472" s="6">
        <v>49500</v>
      </c>
      <c r="K472" t="s">
        <v>3</v>
      </c>
      <c r="L472" t="s">
        <v>1331</v>
      </c>
      <c r="M472" t="s">
        <v>3</v>
      </c>
      <c r="N472" s="25" t="str">
        <f>TEXT(tbl_Ledger[[#This Row],[Date]],"yyyy-mm")</f>
        <v>2025-07</v>
      </c>
      <c r="O472" s="25" t="str">
        <f>TEXT(tbl_Ledger[[#This Row],[Date]],"yyyy-mm") &amp; TRIM(tbl_Ledger[[#This Row],[Currency]])</f>
        <v>2025-07NGN</v>
      </c>
      <c r="P472" s="25">
        <f>_xlfn.XLOOKUP(tbl_Ledger[[#This Row],[Key]], tbl_FX[Key], tbl_FX[Rate_to_NGN])</f>
        <v>1</v>
      </c>
      <c r="Q472" s="37">
        <f>IF(tbl_Ledger[[#This Row],[Account_Type]]="Expense",-ABS(tbl_Ledger[[#This Row],[Amount]]*tbl_Ledger[[#This Row],[Rate_to_NGN]]),tbl_Ledger[[#This Row],[Amount]]*tbl_Ledger[[#This Row],[Rate_to_NGN]])</f>
        <v>49500</v>
      </c>
      <c r="R472" s="25" t="str">
        <f>_xlfn.XLOOKUP(tbl_Ledger[[#This Row],[Account_Code]], tbl_Accounts[Account_Code], tbl_Accounts[Type])</f>
        <v>Revenue</v>
      </c>
      <c r="S472" s="25" t="str">
        <f>_xlfn.XLOOKUP(tbl_Ledger[[#This Row],[Account_Code]], tbl_Accounts[Account_Code], tbl_Accounts[PL_Bucket])</f>
        <v>Revenue</v>
      </c>
      <c r="T472" s="25">
        <f t="shared" si="7"/>
        <v>49500</v>
      </c>
    </row>
    <row r="473" spans="1:20">
      <c r="A473" t="s">
        <v>1334</v>
      </c>
      <c r="B473" s="7">
        <v>45869</v>
      </c>
      <c r="C473" t="s">
        <v>93</v>
      </c>
      <c r="D473" t="s">
        <v>111</v>
      </c>
      <c r="E473" t="s">
        <v>119</v>
      </c>
      <c r="F473" s="12" t="s">
        <v>24</v>
      </c>
      <c r="G473" t="s">
        <v>25</v>
      </c>
      <c r="H473" t="s">
        <v>1335</v>
      </c>
      <c r="I473" t="s">
        <v>71</v>
      </c>
      <c r="J473" s="6">
        <v>47600</v>
      </c>
      <c r="K473" t="s">
        <v>3</v>
      </c>
      <c r="L473" t="s">
        <v>1331</v>
      </c>
      <c r="M473" t="s">
        <v>3</v>
      </c>
      <c r="N473" s="25" t="str">
        <f>TEXT(tbl_Ledger[[#This Row],[Date]],"yyyy-mm")</f>
        <v>2025-07</v>
      </c>
      <c r="O473" s="25" t="str">
        <f>TEXT(tbl_Ledger[[#This Row],[Date]],"yyyy-mm") &amp; TRIM(tbl_Ledger[[#This Row],[Currency]])</f>
        <v>2025-07NGN</v>
      </c>
      <c r="P473" s="25">
        <f>_xlfn.XLOOKUP(tbl_Ledger[[#This Row],[Key]], tbl_FX[Key], tbl_FX[Rate_to_NGN])</f>
        <v>1</v>
      </c>
      <c r="Q473" s="37">
        <f>IF(tbl_Ledger[[#This Row],[Account_Type]]="Expense",-ABS(tbl_Ledger[[#This Row],[Amount]]*tbl_Ledger[[#This Row],[Rate_to_NGN]]),tbl_Ledger[[#This Row],[Amount]]*tbl_Ledger[[#This Row],[Rate_to_NGN]])</f>
        <v>47600</v>
      </c>
      <c r="R473" s="25" t="str">
        <f>_xlfn.XLOOKUP(tbl_Ledger[[#This Row],[Account_Code]], tbl_Accounts[Account_Code], tbl_Accounts[Type])</f>
        <v>Revenue</v>
      </c>
      <c r="S473" s="25" t="str">
        <f>_xlfn.XLOOKUP(tbl_Ledger[[#This Row],[Account_Code]], tbl_Accounts[Account_Code], tbl_Accounts[PL_Bucket])</f>
        <v>Revenue</v>
      </c>
      <c r="T473" s="25">
        <f t="shared" si="7"/>
        <v>47600</v>
      </c>
    </row>
    <row r="474" spans="1:20">
      <c r="A474" t="s">
        <v>1336</v>
      </c>
      <c r="B474" s="7">
        <v>45869</v>
      </c>
      <c r="C474" t="s">
        <v>93</v>
      </c>
      <c r="D474" t="s">
        <v>111</v>
      </c>
      <c r="E474" t="s">
        <v>170</v>
      </c>
      <c r="F474" s="12" t="s">
        <v>24</v>
      </c>
      <c r="G474" t="s">
        <v>25</v>
      </c>
      <c r="H474" t="s">
        <v>1337</v>
      </c>
      <c r="I474" t="s">
        <v>71</v>
      </c>
      <c r="J474" s="6">
        <v>49800</v>
      </c>
      <c r="K474" t="s">
        <v>3</v>
      </c>
      <c r="L474" t="s">
        <v>1331</v>
      </c>
      <c r="M474" t="s">
        <v>3</v>
      </c>
      <c r="N474" s="25" t="str">
        <f>TEXT(tbl_Ledger[[#This Row],[Date]],"yyyy-mm")</f>
        <v>2025-07</v>
      </c>
      <c r="O474" s="25" t="str">
        <f>TEXT(tbl_Ledger[[#This Row],[Date]],"yyyy-mm") &amp; TRIM(tbl_Ledger[[#This Row],[Currency]])</f>
        <v>2025-07NGN</v>
      </c>
      <c r="P474" s="25">
        <f>_xlfn.XLOOKUP(tbl_Ledger[[#This Row],[Key]], tbl_FX[Key], tbl_FX[Rate_to_NGN])</f>
        <v>1</v>
      </c>
      <c r="Q474" s="37">
        <f>IF(tbl_Ledger[[#This Row],[Account_Type]]="Expense",-ABS(tbl_Ledger[[#This Row],[Amount]]*tbl_Ledger[[#This Row],[Rate_to_NGN]]),tbl_Ledger[[#This Row],[Amount]]*tbl_Ledger[[#This Row],[Rate_to_NGN]])</f>
        <v>49800</v>
      </c>
      <c r="R474" s="25" t="str">
        <f>_xlfn.XLOOKUP(tbl_Ledger[[#This Row],[Account_Code]], tbl_Accounts[Account_Code], tbl_Accounts[Type])</f>
        <v>Revenue</v>
      </c>
      <c r="S474" s="25" t="str">
        <f>_xlfn.XLOOKUP(tbl_Ledger[[#This Row],[Account_Code]], tbl_Accounts[Account_Code], tbl_Accounts[PL_Bucket])</f>
        <v>Revenue</v>
      </c>
      <c r="T474" s="25">
        <f t="shared" si="7"/>
        <v>49800</v>
      </c>
    </row>
    <row r="475" spans="1:20">
      <c r="A475" t="s">
        <v>1338</v>
      </c>
      <c r="B475" s="7">
        <v>45869</v>
      </c>
      <c r="C475" t="s">
        <v>93</v>
      </c>
      <c r="D475" t="s">
        <v>111</v>
      </c>
      <c r="E475" t="s">
        <v>122</v>
      </c>
      <c r="F475" s="12" t="s">
        <v>24</v>
      </c>
      <c r="G475" t="s">
        <v>25</v>
      </c>
      <c r="H475" t="s">
        <v>1339</v>
      </c>
      <c r="I475" t="s">
        <v>71</v>
      </c>
      <c r="J475" s="6">
        <v>45400</v>
      </c>
      <c r="K475" t="s">
        <v>3</v>
      </c>
      <c r="L475" t="s">
        <v>1340</v>
      </c>
      <c r="M475" t="s">
        <v>3</v>
      </c>
      <c r="N475" s="25" t="str">
        <f>TEXT(tbl_Ledger[[#This Row],[Date]],"yyyy-mm")</f>
        <v>2025-07</v>
      </c>
      <c r="O475" s="25" t="str">
        <f>TEXT(tbl_Ledger[[#This Row],[Date]],"yyyy-mm") &amp; TRIM(tbl_Ledger[[#This Row],[Currency]])</f>
        <v>2025-07NGN</v>
      </c>
      <c r="P475" s="25">
        <f>_xlfn.XLOOKUP(tbl_Ledger[[#This Row],[Key]], tbl_FX[Key], tbl_FX[Rate_to_NGN])</f>
        <v>1</v>
      </c>
      <c r="Q475" s="37">
        <f>IF(tbl_Ledger[[#This Row],[Account_Type]]="Expense",-ABS(tbl_Ledger[[#This Row],[Amount]]*tbl_Ledger[[#This Row],[Rate_to_NGN]]),tbl_Ledger[[#This Row],[Amount]]*tbl_Ledger[[#This Row],[Rate_to_NGN]])</f>
        <v>45400</v>
      </c>
      <c r="R475" s="25" t="str">
        <f>_xlfn.XLOOKUP(tbl_Ledger[[#This Row],[Account_Code]], tbl_Accounts[Account_Code], tbl_Accounts[Type])</f>
        <v>Revenue</v>
      </c>
      <c r="S475" s="25" t="str">
        <f>_xlfn.XLOOKUP(tbl_Ledger[[#This Row],[Account_Code]], tbl_Accounts[Account_Code], tbl_Accounts[PL_Bucket])</f>
        <v>Revenue</v>
      </c>
      <c r="T475" s="25">
        <f t="shared" si="7"/>
        <v>45400</v>
      </c>
    </row>
    <row r="476" spans="1:20">
      <c r="A476" t="s">
        <v>1341</v>
      </c>
      <c r="B476" s="7">
        <v>45869</v>
      </c>
      <c r="C476" t="s">
        <v>126</v>
      </c>
      <c r="D476" t="s">
        <v>88</v>
      </c>
      <c r="E476" t="s">
        <v>127</v>
      </c>
      <c r="F476" s="12" t="s">
        <v>29</v>
      </c>
      <c r="G476" t="s">
        <v>30</v>
      </c>
      <c r="H476" t="s">
        <v>1342</v>
      </c>
      <c r="I476" t="s">
        <v>71</v>
      </c>
      <c r="J476" s="6">
        <v>44100</v>
      </c>
      <c r="K476" t="s">
        <v>129</v>
      </c>
      <c r="L476" t="s">
        <v>1343</v>
      </c>
      <c r="M476" t="s">
        <v>3</v>
      </c>
      <c r="N476" s="25" t="str">
        <f>TEXT(tbl_Ledger[[#This Row],[Date]],"yyyy-mm")</f>
        <v>2025-07</v>
      </c>
      <c r="O476" s="25" t="str">
        <f>TEXT(tbl_Ledger[[#This Row],[Date]],"yyyy-mm") &amp; TRIM(tbl_Ledger[[#This Row],[Currency]])</f>
        <v>2025-07NGN</v>
      </c>
      <c r="P476" s="25">
        <f>_xlfn.XLOOKUP(tbl_Ledger[[#This Row],[Key]], tbl_FX[Key], tbl_FX[Rate_to_NGN])</f>
        <v>1</v>
      </c>
      <c r="Q476" s="37">
        <f>IF(tbl_Ledger[[#This Row],[Account_Type]]="Expense",-ABS(tbl_Ledger[[#This Row],[Amount]]*tbl_Ledger[[#This Row],[Rate_to_NGN]]),tbl_Ledger[[#This Row],[Amount]]*tbl_Ledger[[#This Row],[Rate_to_NGN]])</f>
        <v>44100</v>
      </c>
      <c r="R476" s="25" t="str">
        <f>_xlfn.XLOOKUP(tbl_Ledger[[#This Row],[Account_Code]], tbl_Accounts[Account_Code], tbl_Accounts[Type])</f>
        <v>Revenue</v>
      </c>
      <c r="S476" s="25" t="str">
        <f>_xlfn.XLOOKUP(tbl_Ledger[[#This Row],[Account_Code]], tbl_Accounts[Account_Code], tbl_Accounts[PL_Bucket])</f>
        <v>Revenue</v>
      </c>
      <c r="T476" s="25">
        <f t="shared" si="7"/>
        <v>44100</v>
      </c>
    </row>
    <row r="477" spans="1:20">
      <c r="A477" t="s">
        <v>1344</v>
      </c>
      <c r="B477" s="7">
        <v>45869</v>
      </c>
      <c r="C477" t="s">
        <v>126</v>
      </c>
      <c r="D477" t="s">
        <v>88</v>
      </c>
      <c r="E477" t="s">
        <v>132</v>
      </c>
      <c r="F477" s="12" t="s">
        <v>29</v>
      </c>
      <c r="G477" t="s">
        <v>30</v>
      </c>
      <c r="H477" t="s">
        <v>1345</v>
      </c>
      <c r="I477" t="s">
        <v>71</v>
      </c>
      <c r="J477" s="6">
        <v>44900</v>
      </c>
      <c r="K477" t="s">
        <v>134</v>
      </c>
      <c r="L477" t="s">
        <v>1343</v>
      </c>
      <c r="M477" t="s">
        <v>3</v>
      </c>
      <c r="N477" s="25" t="str">
        <f>TEXT(tbl_Ledger[[#This Row],[Date]],"yyyy-mm")</f>
        <v>2025-07</v>
      </c>
      <c r="O477" s="25" t="str">
        <f>TEXT(tbl_Ledger[[#This Row],[Date]],"yyyy-mm") &amp; TRIM(tbl_Ledger[[#This Row],[Currency]])</f>
        <v>2025-07NGN</v>
      </c>
      <c r="P477" s="25">
        <f>_xlfn.XLOOKUP(tbl_Ledger[[#This Row],[Key]], tbl_FX[Key], tbl_FX[Rate_to_NGN])</f>
        <v>1</v>
      </c>
      <c r="Q477" s="37">
        <f>IF(tbl_Ledger[[#This Row],[Account_Type]]="Expense",-ABS(tbl_Ledger[[#This Row],[Amount]]*tbl_Ledger[[#This Row],[Rate_to_NGN]]),tbl_Ledger[[#This Row],[Amount]]*tbl_Ledger[[#This Row],[Rate_to_NGN]])</f>
        <v>44900</v>
      </c>
      <c r="R477" s="25" t="str">
        <f>_xlfn.XLOOKUP(tbl_Ledger[[#This Row],[Account_Code]], tbl_Accounts[Account_Code], tbl_Accounts[Type])</f>
        <v>Revenue</v>
      </c>
      <c r="S477" s="25" t="str">
        <f>_xlfn.XLOOKUP(tbl_Ledger[[#This Row],[Account_Code]], tbl_Accounts[Account_Code], tbl_Accounts[PL_Bucket])</f>
        <v>Revenue</v>
      </c>
      <c r="T477" s="25">
        <f t="shared" si="7"/>
        <v>44900</v>
      </c>
    </row>
    <row r="478" spans="1:20">
      <c r="A478" t="s">
        <v>1346</v>
      </c>
      <c r="B478" s="7">
        <v>45869</v>
      </c>
      <c r="C478" t="s">
        <v>126</v>
      </c>
      <c r="D478" t="s">
        <v>88</v>
      </c>
      <c r="E478" t="s">
        <v>136</v>
      </c>
      <c r="F478" s="12" t="s">
        <v>29</v>
      </c>
      <c r="G478" t="s">
        <v>30</v>
      </c>
      <c r="H478" t="s">
        <v>1347</v>
      </c>
      <c r="I478" t="s">
        <v>72</v>
      </c>
      <c r="J478" s="6">
        <v>29.02</v>
      </c>
      <c r="K478" t="s">
        <v>138</v>
      </c>
      <c r="L478" t="s">
        <v>1343</v>
      </c>
      <c r="M478" t="s">
        <v>3</v>
      </c>
      <c r="N478" s="25" t="str">
        <f>TEXT(tbl_Ledger[[#This Row],[Date]],"yyyy-mm")</f>
        <v>2025-07</v>
      </c>
      <c r="O478" s="25" t="str">
        <f>TEXT(tbl_Ledger[[#This Row],[Date]],"yyyy-mm") &amp; TRIM(tbl_Ledger[[#This Row],[Currency]])</f>
        <v>2025-07USD</v>
      </c>
      <c r="P478" s="25">
        <f>_xlfn.XLOOKUP(tbl_Ledger[[#This Row],[Key]], tbl_FX[Key], tbl_FX[Rate_to_NGN])</f>
        <v>1530</v>
      </c>
      <c r="Q478" s="37">
        <f>IF(tbl_Ledger[[#This Row],[Account_Type]]="Expense",-ABS(tbl_Ledger[[#This Row],[Amount]]*tbl_Ledger[[#This Row],[Rate_to_NGN]]),tbl_Ledger[[#This Row],[Amount]]*tbl_Ledger[[#This Row],[Rate_to_NGN]])</f>
        <v>44400.6</v>
      </c>
      <c r="R478" s="25" t="str">
        <f>_xlfn.XLOOKUP(tbl_Ledger[[#This Row],[Account_Code]], tbl_Accounts[Account_Code], tbl_Accounts[Type])</f>
        <v>Revenue</v>
      </c>
      <c r="S478" s="25" t="str">
        <f>_xlfn.XLOOKUP(tbl_Ledger[[#This Row],[Account_Code]], tbl_Accounts[Account_Code], tbl_Accounts[PL_Bucket])</f>
        <v>Revenue</v>
      </c>
      <c r="T478" s="25">
        <f t="shared" si="7"/>
        <v>44400.6</v>
      </c>
    </row>
    <row r="479" spans="1:20">
      <c r="A479" t="s">
        <v>1348</v>
      </c>
      <c r="B479" s="7">
        <v>45869</v>
      </c>
      <c r="C479" t="s">
        <v>126</v>
      </c>
      <c r="D479" t="s">
        <v>88</v>
      </c>
      <c r="E479" t="s">
        <v>140</v>
      </c>
      <c r="F479" s="12" t="s">
        <v>29</v>
      </c>
      <c r="G479" t="s">
        <v>30</v>
      </c>
      <c r="H479" t="s">
        <v>1349</v>
      </c>
      <c r="I479" t="s">
        <v>71</v>
      </c>
      <c r="J479" s="6">
        <v>42500</v>
      </c>
      <c r="K479" t="s">
        <v>3</v>
      </c>
      <c r="L479" t="s">
        <v>1350</v>
      </c>
      <c r="M479" t="s">
        <v>3</v>
      </c>
      <c r="N479" s="25" t="str">
        <f>TEXT(tbl_Ledger[[#This Row],[Date]],"yyyy-mm")</f>
        <v>2025-07</v>
      </c>
      <c r="O479" s="25" t="str">
        <f>TEXT(tbl_Ledger[[#This Row],[Date]],"yyyy-mm") &amp; TRIM(tbl_Ledger[[#This Row],[Currency]])</f>
        <v>2025-07NGN</v>
      </c>
      <c r="P479" s="25">
        <f>_xlfn.XLOOKUP(tbl_Ledger[[#This Row],[Key]], tbl_FX[Key], tbl_FX[Rate_to_NGN])</f>
        <v>1</v>
      </c>
      <c r="Q479" s="37">
        <f>IF(tbl_Ledger[[#This Row],[Account_Type]]="Expense",-ABS(tbl_Ledger[[#This Row],[Amount]]*tbl_Ledger[[#This Row],[Rate_to_NGN]]),tbl_Ledger[[#This Row],[Amount]]*tbl_Ledger[[#This Row],[Rate_to_NGN]])</f>
        <v>42500</v>
      </c>
      <c r="R479" s="25" t="str">
        <f>_xlfn.XLOOKUP(tbl_Ledger[[#This Row],[Account_Code]], tbl_Accounts[Account_Code], tbl_Accounts[Type])</f>
        <v>Revenue</v>
      </c>
      <c r="S479" s="25" t="str">
        <f>_xlfn.XLOOKUP(tbl_Ledger[[#This Row],[Account_Code]], tbl_Accounts[Account_Code], tbl_Accounts[PL_Bucket])</f>
        <v>Revenue</v>
      </c>
      <c r="T479" s="25">
        <f t="shared" si="7"/>
        <v>42500</v>
      </c>
    </row>
    <row r="480" spans="1:20">
      <c r="A480" t="s">
        <v>1351</v>
      </c>
      <c r="B480" s="7">
        <v>45869</v>
      </c>
      <c r="C480" t="s">
        <v>87</v>
      </c>
      <c r="D480" t="s">
        <v>111</v>
      </c>
      <c r="E480" t="s">
        <v>3</v>
      </c>
      <c r="F480" s="12" t="s">
        <v>36</v>
      </c>
      <c r="G480" t="s">
        <v>37</v>
      </c>
      <c r="H480" t="s">
        <v>194</v>
      </c>
      <c r="I480" t="s">
        <v>71</v>
      </c>
      <c r="J480" s="6">
        <v>-930000</v>
      </c>
      <c r="K480" t="s">
        <v>195</v>
      </c>
      <c r="L480" t="s">
        <v>1352</v>
      </c>
      <c r="M480" t="s">
        <v>3</v>
      </c>
      <c r="N480" s="25" t="str">
        <f>TEXT(tbl_Ledger[[#This Row],[Date]],"yyyy-mm")</f>
        <v>2025-07</v>
      </c>
      <c r="O480" s="25" t="str">
        <f>TEXT(tbl_Ledger[[#This Row],[Date]],"yyyy-mm") &amp; TRIM(tbl_Ledger[[#This Row],[Currency]])</f>
        <v>2025-07NGN</v>
      </c>
      <c r="P480" s="25">
        <f>_xlfn.XLOOKUP(tbl_Ledger[[#This Row],[Key]], tbl_FX[Key], tbl_FX[Rate_to_NGN])</f>
        <v>1</v>
      </c>
      <c r="Q480" s="37">
        <f>IF(tbl_Ledger[[#This Row],[Account_Type]]="Expense",-ABS(tbl_Ledger[[#This Row],[Amount]]*tbl_Ledger[[#This Row],[Rate_to_NGN]]),tbl_Ledger[[#This Row],[Amount]]*tbl_Ledger[[#This Row],[Rate_to_NGN]])</f>
        <v>-930000</v>
      </c>
      <c r="R480" s="25" t="str">
        <f>_xlfn.XLOOKUP(tbl_Ledger[[#This Row],[Account_Code]], tbl_Accounts[Account_Code], tbl_Accounts[Type])</f>
        <v>COGS</v>
      </c>
      <c r="S480" s="25" t="str">
        <f>_xlfn.XLOOKUP(tbl_Ledger[[#This Row],[Account_Code]], tbl_Accounts[Account_Code], tbl_Accounts[PL_Bucket])</f>
        <v>COGS</v>
      </c>
      <c r="T480" s="25">
        <f t="shared" si="7"/>
        <v>-930000</v>
      </c>
    </row>
    <row r="481" spans="1:20">
      <c r="A481" t="s">
        <v>1353</v>
      </c>
      <c r="B481" s="7">
        <v>45870</v>
      </c>
      <c r="C481" t="s">
        <v>93</v>
      </c>
      <c r="D481" t="s">
        <v>94</v>
      </c>
      <c r="E481" t="s">
        <v>95</v>
      </c>
      <c r="F481" s="12" t="s">
        <v>24</v>
      </c>
      <c r="G481" t="s">
        <v>25</v>
      </c>
      <c r="H481" t="s">
        <v>1354</v>
      </c>
      <c r="I481" t="s">
        <v>71</v>
      </c>
      <c r="J481" s="6">
        <v>30000</v>
      </c>
      <c r="K481" t="s">
        <v>3</v>
      </c>
      <c r="L481" t="s">
        <v>1355</v>
      </c>
      <c r="M481" t="s">
        <v>3</v>
      </c>
      <c r="N481" s="25" t="str">
        <f>TEXT(tbl_Ledger[[#This Row],[Date]],"yyyy-mm")</f>
        <v>2025-08</v>
      </c>
      <c r="O481" s="25" t="str">
        <f>TEXT(tbl_Ledger[[#This Row],[Date]],"yyyy-mm") &amp; TRIM(tbl_Ledger[[#This Row],[Currency]])</f>
        <v>2025-08NGN</v>
      </c>
      <c r="P481" s="25">
        <f>_xlfn.XLOOKUP(tbl_Ledger[[#This Row],[Key]], tbl_FX[Key], tbl_FX[Rate_to_NGN])</f>
        <v>1</v>
      </c>
      <c r="Q481" s="37">
        <f>IF(tbl_Ledger[[#This Row],[Account_Type]]="Expense",-ABS(tbl_Ledger[[#This Row],[Amount]]*tbl_Ledger[[#This Row],[Rate_to_NGN]]),tbl_Ledger[[#This Row],[Amount]]*tbl_Ledger[[#This Row],[Rate_to_NGN]])</f>
        <v>30000</v>
      </c>
      <c r="R481" s="25" t="str">
        <f>_xlfn.XLOOKUP(tbl_Ledger[[#This Row],[Account_Code]], tbl_Accounts[Account_Code], tbl_Accounts[Type])</f>
        <v>Revenue</v>
      </c>
      <c r="S481" s="25" t="str">
        <f>_xlfn.XLOOKUP(tbl_Ledger[[#This Row],[Account_Code]], tbl_Accounts[Account_Code], tbl_Accounts[PL_Bucket])</f>
        <v>Revenue</v>
      </c>
      <c r="T481" s="25">
        <f t="shared" si="7"/>
        <v>30000</v>
      </c>
    </row>
    <row r="482" spans="1:20">
      <c r="A482" t="s">
        <v>1356</v>
      </c>
      <c r="B482" s="7">
        <v>45870</v>
      </c>
      <c r="C482" t="s">
        <v>93</v>
      </c>
      <c r="D482" t="s">
        <v>94</v>
      </c>
      <c r="E482" t="s">
        <v>99</v>
      </c>
      <c r="F482" s="12" t="s">
        <v>24</v>
      </c>
      <c r="G482" t="s">
        <v>25</v>
      </c>
      <c r="H482" t="s">
        <v>1357</v>
      </c>
      <c r="I482" t="s">
        <v>71</v>
      </c>
      <c r="J482" s="6">
        <v>31700</v>
      </c>
      <c r="K482" t="s">
        <v>3</v>
      </c>
      <c r="L482" t="s">
        <v>1358</v>
      </c>
      <c r="M482" t="s">
        <v>3</v>
      </c>
      <c r="N482" s="25" t="str">
        <f>TEXT(tbl_Ledger[[#This Row],[Date]],"yyyy-mm")</f>
        <v>2025-08</v>
      </c>
      <c r="O482" s="25" t="str">
        <f>TEXT(tbl_Ledger[[#This Row],[Date]],"yyyy-mm") &amp; TRIM(tbl_Ledger[[#This Row],[Currency]])</f>
        <v>2025-08NGN</v>
      </c>
      <c r="P482" s="25">
        <f>_xlfn.XLOOKUP(tbl_Ledger[[#This Row],[Key]], tbl_FX[Key], tbl_FX[Rate_to_NGN])</f>
        <v>1</v>
      </c>
      <c r="Q482" s="37">
        <f>IF(tbl_Ledger[[#This Row],[Account_Type]]="Expense",-ABS(tbl_Ledger[[#This Row],[Amount]]*tbl_Ledger[[#This Row],[Rate_to_NGN]]),tbl_Ledger[[#This Row],[Amount]]*tbl_Ledger[[#This Row],[Rate_to_NGN]])</f>
        <v>31700</v>
      </c>
      <c r="R482" s="25" t="str">
        <f>_xlfn.XLOOKUP(tbl_Ledger[[#This Row],[Account_Code]], tbl_Accounts[Account_Code], tbl_Accounts[Type])</f>
        <v>Revenue</v>
      </c>
      <c r="S482" s="25" t="str">
        <f>_xlfn.XLOOKUP(tbl_Ledger[[#This Row],[Account_Code]], tbl_Accounts[Account_Code], tbl_Accounts[PL_Bucket])</f>
        <v>Revenue</v>
      </c>
      <c r="T482" s="25">
        <f t="shared" si="7"/>
        <v>31700</v>
      </c>
    </row>
    <row r="483" spans="1:20">
      <c r="A483" t="s">
        <v>1359</v>
      </c>
      <c r="B483" s="7">
        <v>45870</v>
      </c>
      <c r="C483" t="s">
        <v>93</v>
      </c>
      <c r="D483" t="s">
        <v>94</v>
      </c>
      <c r="E483" t="s">
        <v>103</v>
      </c>
      <c r="F483" s="12" t="s">
        <v>24</v>
      </c>
      <c r="G483" t="s">
        <v>25</v>
      </c>
      <c r="H483" t="s">
        <v>1360</v>
      </c>
      <c r="I483" t="s">
        <v>71</v>
      </c>
      <c r="J483" s="6">
        <v>29100</v>
      </c>
      <c r="K483" t="s">
        <v>3</v>
      </c>
      <c r="L483" t="s">
        <v>1361</v>
      </c>
      <c r="M483" t="s">
        <v>3</v>
      </c>
      <c r="N483" s="25" t="str">
        <f>TEXT(tbl_Ledger[[#This Row],[Date]],"yyyy-mm")</f>
        <v>2025-08</v>
      </c>
      <c r="O483" s="25" t="str">
        <f>TEXT(tbl_Ledger[[#This Row],[Date]],"yyyy-mm") &amp; TRIM(tbl_Ledger[[#This Row],[Currency]])</f>
        <v>2025-08NGN</v>
      </c>
      <c r="P483" s="25">
        <f>_xlfn.XLOOKUP(tbl_Ledger[[#This Row],[Key]], tbl_FX[Key], tbl_FX[Rate_to_NGN])</f>
        <v>1</v>
      </c>
      <c r="Q483" s="37">
        <f>IF(tbl_Ledger[[#This Row],[Account_Type]]="Expense",-ABS(tbl_Ledger[[#This Row],[Amount]]*tbl_Ledger[[#This Row],[Rate_to_NGN]]),tbl_Ledger[[#This Row],[Amount]]*tbl_Ledger[[#This Row],[Rate_to_NGN]])</f>
        <v>29100</v>
      </c>
      <c r="R483" s="25" t="str">
        <f>_xlfn.XLOOKUP(tbl_Ledger[[#This Row],[Account_Code]], tbl_Accounts[Account_Code], tbl_Accounts[Type])</f>
        <v>Revenue</v>
      </c>
      <c r="S483" s="25" t="str">
        <f>_xlfn.XLOOKUP(tbl_Ledger[[#This Row],[Account_Code]], tbl_Accounts[Account_Code], tbl_Accounts[PL_Bucket])</f>
        <v>Revenue</v>
      </c>
      <c r="T483" s="25">
        <f t="shared" si="7"/>
        <v>29100</v>
      </c>
    </row>
    <row r="484" spans="1:20">
      <c r="A484" t="s">
        <v>1362</v>
      </c>
      <c r="B484" s="7">
        <v>45870</v>
      </c>
      <c r="C484" t="s">
        <v>93</v>
      </c>
      <c r="D484" t="s">
        <v>94</v>
      </c>
      <c r="E484" t="s">
        <v>160</v>
      </c>
      <c r="F484" s="12" t="s">
        <v>24</v>
      </c>
      <c r="G484" t="s">
        <v>25</v>
      </c>
      <c r="H484" t="s">
        <v>1363</v>
      </c>
      <c r="I484" t="s">
        <v>71</v>
      </c>
      <c r="J484" s="6">
        <v>31500</v>
      </c>
      <c r="K484" t="s">
        <v>3</v>
      </c>
      <c r="L484" t="s">
        <v>1361</v>
      </c>
      <c r="M484" t="s">
        <v>3</v>
      </c>
      <c r="N484" s="25" t="str">
        <f>TEXT(tbl_Ledger[[#This Row],[Date]],"yyyy-mm")</f>
        <v>2025-08</v>
      </c>
      <c r="O484" s="25" t="str">
        <f>TEXT(tbl_Ledger[[#This Row],[Date]],"yyyy-mm") &amp; TRIM(tbl_Ledger[[#This Row],[Currency]])</f>
        <v>2025-08NGN</v>
      </c>
      <c r="P484" s="25">
        <f>_xlfn.XLOOKUP(tbl_Ledger[[#This Row],[Key]], tbl_FX[Key], tbl_FX[Rate_to_NGN])</f>
        <v>1</v>
      </c>
      <c r="Q484" s="37">
        <f>IF(tbl_Ledger[[#This Row],[Account_Type]]="Expense",-ABS(tbl_Ledger[[#This Row],[Amount]]*tbl_Ledger[[#This Row],[Rate_to_NGN]]),tbl_Ledger[[#This Row],[Amount]]*tbl_Ledger[[#This Row],[Rate_to_NGN]])</f>
        <v>31500</v>
      </c>
      <c r="R484" s="25" t="str">
        <f>_xlfn.XLOOKUP(tbl_Ledger[[#This Row],[Account_Code]], tbl_Accounts[Account_Code], tbl_Accounts[Type])</f>
        <v>Revenue</v>
      </c>
      <c r="S484" s="25" t="str">
        <f>_xlfn.XLOOKUP(tbl_Ledger[[#This Row],[Account_Code]], tbl_Accounts[Account_Code], tbl_Accounts[PL_Bucket])</f>
        <v>Revenue</v>
      </c>
      <c r="T484" s="25">
        <f t="shared" si="7"/>
        <v>31500</v>
      </c>
    </row>
    <row r="485" spans="1:20">
      <c r="A485" t="s">
        <v>1364</v>
      </c>
      <c r="B485" s="7">
        <v>45870</v>
      </c>
      <c r="C485" t="s">
        <v>93</v>
      </c>
      <c r="D485" t="s">
        <v>94</v>
      </c>
      <c r="E485" t="s">
        <v>107</v>
      </c>
      <c r="F485" s="12" t="s">
        <v>24</v>
      </c>
      <c r="G485" t="s">
        <v>25</v>
      </c>
      <c r="H485" t="s">
        <v>1365</v>
      </c>
      <c r="I485" t="s">
        <v>71</v>
      </c>
      <c r="J485" s="6">
        <v>30100</v>
      </c>
      <c r="K485" t="s">
        <v>3</v>
      </c>
      <c r="L485" t="s">
        <v>1366</v>
      </c>
      <c r="M485" t="s">
        <v>3</v>
      </c>
      <c r="N485" s="25" t="str">
        <f>TEXT(tbl_Ledger[[#This Row],[Date]],"yyyy-mm")</f>
        <v>2025-08</v>
      </c>
      <c r="O485" s="25" t="str">
        <f>TEXT(tbl_Ledger[[#This Row],[Date]],"yyyy-mm") &amp; TRIM(tbl_Ledger[[#This Row],[Currency]])</f>
        <v>2025-08NGN</v>
      </c>
      <c r="P485" s="25">
        <f>_xlfn.XLOOKUP(tbl_Ledger[[#This Row],[Key]], tbl_FX[Key], tbl_FX[Rate_to_NGN])</f>
        <v>1</v>
      </c>
      <c r="Q485" s="37">
        <f>IF(tbl_Ledger[[#This Row],[Account_Type]]="Expense",-ABS(tbl_Ledger[[#This Row],[Amount]]*tbl_Ledger[[#This Row],[Rate_to_NGN]]),tbl_Ledger[[#This Row],[Amount]]*tbl_Ledger[[#This Row],[Rate_to_NGN]])</f>
        <v>30100</v>
      </c>
      <c r="R485" s="25" t="str">
        <f>_xlfn.XLOOKUP(tbl_Ledger[[#This Row],[Account_Code]], tbl_Accounts[Account_Code], tbl_Accounts[Type])</f>
        <v>Revenue</v>
      </c>
      <c r="S485" s="25" t="str">
        <f>_xlfn.XLOOKUP(tbl_Ledger[[#This Row],[Account_Code]], tbl_Accounts[Account_Code], tbl_Accounts[PL_Bucket])</f>
        <v>Revenue</v>
      </c>
      <c r="T485" s="25">
        <f t="shared" si="7"/>
        <v>30100</v>
      </c>
    </row>
    <row r="486" spans="1:20">
      <c r="A486" t="s">
        <v>1367</v>
      </c>
      <c r="B486" s="7">
        <v>45870</v>
      </c>
      <c r="C486" t="s">
        <v>93</v>
      </c>
      <c r="D486" t="s">
        <v>111</v>
      </c>
      <c r="E486" t="s">
        <v>112</v>
      </c>
      <c r="F486" s="12" t="s">
        <v>24</v>
      </c>
      <c r="G486" t="s">
        <v>25</v>
      </c>
      <c r="H486" t="s">
        <v>1368</v>
      </c>
      <c r="I486" t="s">
        <v>71</v>
      </c>
      <c r="J486" s="6">
        <v>52500</v>
      </c>
      <c r="K486" t="s">
        <v>3</v>
      </c>
      <c r="L486" t="s">
        <v>1369</v>
      </c>
      <c r="M486" t="s">
        <v>3</v>
      </c>
      <c r="N486" s="25" t="str">
        <f>TEXT(tbl_Ledger[[#This Row],[Date]],"yyyy-mm")</f>
        <v>2025-08</v>
      </c>
      <c r="O486" s="25" t="str">
        <f>TEXT(tbl_Ledger[[#This Row],[Date]],"yyyy-mm") &amp; TRIM(tbl_Ledger[[#This Row],[Currency]])</f>
        <v>2025-08NGN</v>
      </c>
      <c r="P486" s="25">
        <f>_xlfn.XLOOKUP(tbl_Ledger[[#This Row],[Key]], tbl_FX[Key], tbl_FX[Rate_to_NGN])</f>
        <v>1</v>
      </c>
      <c r="Q486" s="37">
        <f>IF(tbl_Ledger[[#This Row],[Account_Type]]="Expense",-ABS(tbl_Ledger[[#This Row],[Amount]]*tbl_Ledger[[#This Row],[Rate_to_NGN]]),tbl_Ledger[[#This Row],[Amount]]*tbl_Ledger[[#This Row],[Rate_to_NGN]])</f>
        <v>52500</v>
      </c>
      <c r="R486" s="25" t="str">
        <f>_xlfn.XLOOKUP(tbl_Ledger[[#This Row],[Account_Code]], tbl_Accounts[Account_Code], tbl_Accounts[Type])</f>
        <v>Revenue</v>
      </c>
      <c r="S486" s="25" t="str">
        <f>_xlfn.XLOOKUP(tbl_Ledger[[#This Row],[Account_Code]], tbl_Accounts[Account_Code], tbl_Accounts[PL_Bucket])</f>
        <v>Revenue</v>
      </c>
      <c r="T486" s="25">
        <f t="shared" si="7"/>
        <v>52500</v>
      </c>
    </row>
    <row r="487" spans="1:20">
      <c r="A487" t="s">
        <v>1370</v>
      </c>
      <c r="B487" s="7">
        <v>45870</v>
      </c>
      <c r="C487" t="s">
        <v>93</v>
      </c>
      <c r="D487" t="s">
        <v>111</v>
      </c>
      <c r="E487" t="s">
        <v>116</v>
      </c>
      <c r="F487" s="12" t="s">
        <v>24</v>
      </c>
      <c r="G487" t="s">
        <v>25</v>
      </c>
      <c r="H487" t="s">
        <v>1371</v>
      </c>
      <c r="I487" t="s">
        <v>71</v>
      </c>
      <c r="J487" s="6">
        <v>50800</v>
      </c>
      <c r="K487" t="s">
        <v>3</v>
      </c>
      <c r="L487" t="s">
        <v>1369</v>
      </c>
      <c r="M487" t="s">
        <v>3</v>
      </c>
      <c r="N487" s="25" t="str">
        <f>TEXT(tbl_Ledger[[#This Row],[Date]],"yyyy-mm")</f>
        <v>2025-08</v>
      </c>
      <c r="O487" s="25" t="str">
        <f>TEXT(tbl_Ledger[[#This Row],[Date]],"yyyy-mm") &amp; TRIM(tbl_Ledger[[#This Row],[Currency]])</f>
        <v>2025-08NGN</v>
      </c>
      <c r="P487" s="25">
        <f>_xlfn.XLOOKUP(tbl_Ledger[[#This Row],[Key]], tbl_FX[Key], tbl_FX[Rate_to_NGN])</f>
        <v>1</v>
      </c>
      <c r="Q487" s="37">
        <f>IF(tbl_Ledger[[#This Row],[Account_Type]]="Expense",-ABS(tbl_Ledger[[#This Row],[Amount]]*tbl_Ledger[[#This Row],[Rate_to_NGN]]),tbl_Ledger[[#This Row],[Amount]]*tbl_Ledger[[#This Row],[Rate_to_NGN]])</f>
        <v>50800</v>
      </c>
      <c r="R487" s="25" t="str">
        <f>_xlfn.XLOOKUP(tbl_Ledger[[#This Row],[Account_Code]], tbl_Accounts[Account_Code], tbl_Accounts[Type])</f>
        <v>Revenue</v>
      </c>
      <c r="S487" s="25" t="str">
        <f>_xlfn.XLOOKUP(tbl_Ledger[[#This Row],[Account_Code]], tbl_Accounts[Account_Code], tbl_Accounts[PL_Bucket])</f>
        <v>Revenue</v>
      </c>
      <c r="T487" s="25">
        <f t="shared" si="7"/>
        <v>50800</v>
      </c>
    </row>
    <row r="488" spans="1:20">
      <c r="A488" t="s">
        <v>1372</v>
      </c>
      <c r="B488" s="7">
        <v>45870</v>
      </c>
      <c r="C488" t="s">
        <v>93</v>
      </c>
      <c r="D488" t="s">
        <v>111</v>
      </c>
      <c r="E488" t="s">
        <v>119</v>
      </c>
      <c r="F488" s="12" t="s">
        <v>24</v>
      </c>
      <c r="G488" t="s">
        <v>25</v>
      </c>
      <c r="H488" t="s">
        <v>1373</v>
      </c>
      <c r="I488" t="s">
        <v>71</v>
      </c>
      <c r="J488" s="6">
        <v>50400</v>
      </c>
      <c r="K488" t="s">
        <v>3</v>
      </c>
      <c r="L488" t="s">
        <v>1369</v>
      </c>
      <c r="M488" t="s">
        <v>3</v>
      </c>
      <c r="N488" s="25" t="str">
        <f>TEXT(tbl_Ledger[[#This Row],[Date]],"yyyy-mm")</f>
        <v>2025-08</v>
      </c>
      <c r="O488" s="25" t="str">
        <f>TEXT(tbl_Ledger[[#This Row],[Date]],"yyyy-mm") &amp; TRIM(tbl_Ledger[[#This Row],[Currency]])</f>
        <v>2025-08NGN</v>
      </c>
      <c r="P488" s="25">
        <f>_xlfn.XLOOKUP(tbl_Ledger[[#This Row],[Key]], tbl_FX[Key], tbl_FX[Rate_to_NGN])</f>
        <v>1</v>
      </c>
      <c r="Q488" s="37">
        <f>IF(tbl_Ledger[[#This Row],[Account_Type]]="Expense",-ABS(tbl_Ledger[[#This Row],[Amount]]*tbl_Ledger[[#This Row],[Rate_to_NGN]]),tbl_Ledger[[#This Row],[Amount]]*tbl_Ledger[[#This Row],[Rate_to_NGN]])</f>
        <v>50400</v>
      </c>
      <c r="R488" s="25" t="str">
        <f>_xlfn.XLOOKUP(tbl_Ledger[[#This Row],[Account_Code]], tbl_Accounts[Account_Code], tbl_Accounts[Type])</f>
        <v>Revenue</v>
      </c>
      <c r="S488" s="25" t="str">
        <f>_xlfn.XLOOKUP(tbl_Ledger[[#This Row],[Account_Code]], tbl_Accounts[Account_Code], tbl_Accounts[PL_Bucket])</f>
        <v>Revenue</v>
      </c>
      <c r="T488" s="25">
        <f t="shared" si="7"/>
        <v>50400</v>
      </c>
    </row>
    <row r="489" spans="1:20">
      <c r="A489" t="s">
        <v>1374</v>
      </c>
      <c r="B489" s="7">
        <v>45870</v>
      </c>
      <c r="C489" t="s">
        <v>93</v>
      </c>
      <c r="D489" t="s">
        <v>111</v>
      </c>
      <c r="E489" t="s">
        <v>170</v>
      </c>
      <c r="F489" s="12" t="s">
        <v>24</v>
      </c>
      <c r="G489" t="s">
        <v>25</v>
      </c>
      <c r="H489" t="s">
        <v>1375</v>
      </c>
      <c r="I489" t="s">
        <v>71</v>
      </c>
      <c r="J489" s="6">
        <v>48200</v>
      </c>
      <c r="K489" t="s">
        <v>3</v>
      </c>
      <c r="L489" t="s">
        <v>1369</v>
      </c>
      <c r="M489" t="s">
        <v>3</v>
      </c>
      <c r="N489" s="25" t="str">
        <f>TEXT(tbl_Ledger[[#This Row],[Date]],"yyyy-mm")</f>
        <v>2025-08</v>
      </c>
      <c r="O489" s="25" t="str">
        <f>TEXT(tbl_Ledger[[#This Row],[Date]],"yyyy-mm") &amp; TRIM(tbl_Ledger[[#This Row],[Currency]])</f>
        <v>2025-08NGN</v>
      </c>
      <c r="P489" s="25">
        <f>_xlfn.XLOOKUP(tbl_Ledger[[#This Row],[Key]], tbl_FX[Key], tbl_FX[Rate_to_NGN])</f>
        <v>1</v>
      </c>
      <c r="Q489" s="37">
        <f>IF(tbl_Ledger[[#This Row],[Account_Type]]="Expense",-ABS(tbl_Ledger[[#This Row],[Amount]]*tbl_Ledger[[#This Row],[Rate_to_NGN]]),tbl_Ledger[[#This Row],[Amount]]*tbl_Ledger[[#This Row],[Rate_to_NGN]])</f>
        <v>48200</v>
      </c>
      <c r="R489" s="25" t="str">
        <f>_xlfn.XLOOKUP(tbl_Ledger[[#This Row],[Account_Code]], tbl_Accounts[Account_Code], tbl_Accounts[Type])</f>
        <v>Revenue</v>
      </c>
      <c r="S489" s="25" t="str">
        <f>_xlfn.XLOOKUP(tbl_Ledger[[#This Row],[Account_Code]], tbl_Accounts[Account_Code], tbl_Accounts[PL_Bucket])</f>
        <v>Revenue</v>
      </c>
      <c r="T489" s="25">
        <f t="shared" si="7"/>
        <v>48200</v>
      </c>
    </row>
    <row r="490" spans="1:20">
      <c r="A490" t="s">
        <v>1376</v>
      </c>
      <c r="B490" s="7">
        <v>45870</v>
      </c>
      <c r="C490" t="s">
        <v>126</v>
      </c>
      <c r="D490" t="s">
        <v>88</v>
      </c>
      <c r="E490" t="s">
        <v>127</v>
      </c>
      <c r="F490" s="12" t="s">
        <v>29</v>
      </c>
      <c r="G490" t="s">
        <v>30</v>
      </c>
      <c r="H490" t="s">
        <v>1377</v>
      </c>
      <c r="I490" t="s">
        <v>72</v>
      </c>
      <c r="J490" s="6">
        <v>30.73</v>
      </c>
      <c r="K490" t="s">
        <v>129</v>
      </c>
      <c r="L490" t="s">
        <v>1378</v>
      </c>
      <c r="M490" t="s">
        <v>3</v>
      </c>
      <c r="N490" s="25" t="str">
        <f>TEXT(tbl_Ledger[[#This Row],[Date]],"yyyy-mm")</f>
        <v>2025-08</v>
      </c>
      <c r="O490" s="25" t="str">
        <f>TEXT(tbl_Ledger[[#This Row],[Date]],"yyyy-mm") &amp; TRIM(tbl_Ledger[[#This Row],[Currency]])</f>
        <v>2025-08USD</v>
      </c>
      <c r="P490" s="25">
        <f>_xlfn.XLOOKUP(tbl_Ledger[[#This Row],[Key]], tbl_FX[Key], tbl_FX[Rate_to_NGN])</f>
        <v>1572</v>
      </c>
      <c r="Q490" s="37">
        <f>IF(tbl_Ledger[[#This Row],[Account_Type]]="Expense",-ABS(tbl_Ledger[[#This Row],[Amount]]*tbl_Ledger[[#This Row],[Rate_to_NGN]]),tbl_Ledger[[#This Row],[Amount]]*tbl_Ledger[[#This Row],[Rate_to_NGN]])</f>
        <v>48307.56</v>
      </c>
      <c r="R490" s="25" t="str">
        <f>_xlfn.XLOOKUP(tbl_Ledger[[#This Row],[Account_Code]], tbl_Accounts[Account_Code], tbl_Accounts[Type])</f>
        <v>Revenue</v>
      </c>
      <c r="S490" s="25" t="str">
        <f>_xlfn.XLOOKUP(tbl_Ledger[[#This Row],[Account_Code]], tbl_Accounts[Account_Code], tbl_Accounts[PL_Bucket])</f>
        <v>Revenue</v>
      </c>
      <c r="T490" s="25">
        <f t="shared" si="7"/>
        <v>48307.56</v>
      </c>
    </row>
    <row r="491" spans="1:20">
      <c r="A491" t="s">
        <v>1379</v>
      </c>
      <c r="B491" s="7">
        <v>45870</v>
      </c>
      <c r="C491" t="s">
        <v>126</v>
      </c>
      <c r="D491" t="s">
        <v>88</v>
      </c>
      <c r="E491" t="s">
        <v>132</v>
      </c>
      <c r="F491" s="12" t="s">
        <v>29</v>
      </c>
      <c r="G491" t="s">
        <v>30</v>
      </c>
      <c r="H491" t="s">
        <v>1380</v>
      </c>
      <c r="I491" t="s">
        <v>72</v>
      </c>
      <c r="J491" s="6">
        <v>30.09</v>
      </c>
      <c r="K491" t="s">
        <v>134</v>
      </c>
      <c r="L491" t="s">
        <v>1378</v>
      </c>
      <c r="M491" t="s">
        <v>3</v>
      </c>
      <c r="N491" s="25" t="str">
        <f>TEXT(tbl_Ledger[[#This Row],[Date]],"yyyy-mm")</f>
        <v>2025-08</v>
      </c>
      <c r="O491" s="25" t="str">
        <f>TEXT(tbl_Ledger[[#This Row],[Date]],"yyyy-mm") &amp; TRIM(tbl_Ledger[[#This Row],[Currency]])</f>
        <v>2025-08USD</v>
      </c>
      <c r="P491" s="25">
        <f>_xlfn.XLOOKUP(tbl_Ledger[[#This Row],[Key]], tbl_FX[Key], tbl_FX[Rate_to_NGN])</f>
        <v>1572</v>
      </c>
      <c r="Q491" s="37">
        <f>IF(tbl_Ledger[[#This Row],[Account_Type]]="Expense",-ABS(tbl_Ledger[[#This Row],[Amount]]*tbl_Ledger[[#This Row],[Rate_to_NGN]]),tbl_Ledger[[#This Row],[Amount]]*tbl_Ledger[[#This Row],[Rate_to_NGN]])</f>
        <v>47301.48</v>
      </c>
      <c r="R491" s="25" t="str">
        <f>_xlfn.XLOOKUP(tbl_Ledger[[#This Row],[Account_Code]], tbl_Accounts[Account_Code], tbl_Accounts[Type])</f>
        <v>Revenue</v>
      </c>
      <c r="S491" s="25" t="str">
        <f>_xlfn.XLOOKUP(tbl_Ledger[[#This Row],[Account_Code]], tbl_Accounts[Account_Code], tbl_Accounts[PL_Bucket])</f>
        <v>Revenue</v>
      </c>
      <c r="T491" s="25">
        <f t="shared" si="7"/>
        <v>47301.48</v>
      </c>
    </row>
    <row r="492" spans="1:20">
      <c r="A492" t="s">
        <v>1381</v>
      </c>
      <c r="B492" s="7">
        <v>45870</v>
      </c>
      <c r="C492" t="s">
        <v>126</v>
      </c>
      <c r="D492" t="s">
        <v>88</v>
      </c>
      <c r="E492" t="s">
        <v>136</v>
      </c>
      <c r="F492" s="12" t="s">
        <v>29</v>
      </c>
      <c r="G492" t="s">
        <v>30</v>
      </c>
      <c r="H492" t="s">
        <v>1382</v>
      </c>
      <c r="I492" t="s">
        <v>71</v>
      </c>
      <c r="J492" s="6">
        <v>50700</v>
      </c>
      <c r="K492" t="s">
        <v>138</v>
      </c>
      <c r="L492" t="s">
        <v>1378</v>
      </c>
      <c r="M492" t="s">
        <v>3</v>
      </c>
      <c r="N492" s="25" t="str">
        <f>TEXT(tbl_Ledger[[#This Row],[Date]],"yyyy-mm")</f>
        <v>2025-08</v>
      </c>
      <c r="O492" s="25" t="str">
        <f>TEXT(tbl_Ledger[[#This Row],[Date]],"yyyy-mm") &amp; TRIM(tbl_Ledger[[#This Row],[Currency]])</f>
        <v>2025-08NGN</v>
      </c>
      <c r="P492" s="25">
        <f>_xlfn.XLOOKUP(tbl_Ledger[[#This Row],[Key]], tbl_FX[Key], tbl_FX[Rate_to_NGN])</f>
        <v>1</v>
      </c>
      <c r="Q492" s="37">
        <f>IF(tbl_Ledger[[#This Row],[Account_Type]]="Expense",-ABS(tbl_Ledger[[#This Row],[Amount]]*tbl_Ledger[[#This Row],[Rate_to_NGN]]),tbl_Ledger[[#This Row],[Amount]]*tbl_Ledger[[#This Row],[Rate_to_NGN]])</f>
        <v>50700</v>
      </c>
      <c r="R492" s="25" t="str">
        <f>_xlfn.XLOOKUP(tbl_Ledger[[#This Row],[Account_Code]], tbl_Accounts[Account_Code], tbl_Accounts[Type])</f>
        <v>Revenue</v>
      </c>
      <c r="S492" s="25" t="str">
        <f>_xlfn.XLOOKUP(tbl_Ledger[[#This Row],[Account_Code]], tbl_Accounts[Account_Code], tbl_Accounts[PL_Bucket])</f>
        <v>Revenue</v>
      </c>
      <c r="T492" s="25">
        <f t="shared" si="7"/>
        <v>50700</v>
      </c>
    </row>
    <row r="493" spans="1:20">
      <c r="A493" t="s">
        <v>1383</v>
      </c>
      <c r="B493" s="7">
        <v>45870</v>
      </c>
      <c r="C493" t="s">
        <v>126</v>
      </c>
      <c r="D493" t="s">
        <v>88</v>
      </c>
      <c r="E493" t="s">
        <v>140</v>
      </c>
      <c r="F493" s="12" t="s">
        <v>29</v>
      </c>
      <c r="G493" t="s">
        <v>30</v>
      </c>
      <c r="H493" t="s">
        <v>1384</v>
      </c>
      <c r="I493" t="s">
        <v>71</v>
      </c>
      <c r="J493" s="6">
        <v>47100</v>
      </c>
      <c r="K493" t="s">
        <v>3</v>
      </c>
      <c r="L493" t="s">
        <v>1385</v>
      </c>
      <c r="M493" t="s">
        <v>3</v>
      </c>
      <c r="N493" s="25" t="str">
        <f>TEXT(tbl_Ledger[[#This Row],[Date]],"yyyy-mm")</f>
        <v>2025-08</v>
      </c>
      <c r="O493" s="25" t="str">
        <f>TEXT(tbl_Ledger[[#This Row],[Date]],"yyyy-mm") &amp; TRIM(tbl_Ledger[[#This Row],[Currency]])</f>
        <v>2025-08NGN</v>
      </c>
      <c r="P493" s="25">
        <f>_xlfn.XLOOKUP(tbl_Ledger[[#This Row],[Key]], tbl_FX[Key], tbl_FX[Rate_to_NGN])</f>
        <v>1</v>
      </c>
      <c r="Q493" s="37">
        <f>IF(tbl_Ledger[[#This Row],[Account_Type]]="Expense",-ABS(tbl_Ledger[[#This Row],[Amount]]*tbl_Ledger[[#This Row],[Rate_to_NGN]]),tbl_Ledger[[#This Row],[Amount]]*tbl_Ledger[[#This Row],[Rate_to_NGN]])</f>
        <v>47100</v>
      </c>
      <c r="R493" s="25" t="str">
        <f>_xlfn.XLOOKUP(tbl_Ledger[[#This Row],[Account_Code]], tbl_Accounts[Account_Code], tbl_Accounts[Type])</f>
        <v>Revenue</v>
      </c>
      <c r="S493" s="25" t="str">
        <f>_xlfn.XLOOKUP(tbl_Ledger[[#This Row],[Account_Code]], tbl_Accounts[Account_Code], tbl_Accounts[PL_Bucket])</f>
        <v>Revenue</v>
      </c>
      <c r="T493" s="25">
        <f t="shared" si="7"/>
        <v>47100</v>
      </c>
    </row>
    <row r="494" spans="1:20">
      <c r="A494" t="s">
        <v>1386</v>
      </c>
      <c r="B494" s="7">
        <v>45870</v>
      </c>
      <c r="C494" t="s">
        <v>87</v>
      </c>
      <c r="D494" t="s">
        <v>94</v>
      </c>
      <c r="E494" t="s">
        <v>3</v>
      </c>
      <c r="F494" s="12" t="s">
        <v>42</v>
      </c>
      <c r="G494" t="s">
        <v>43</v>
      </c>
      <c r="H494" t="s">
        <v>1387</v>
      </c>
      <c r="I494" t="s">
        <v>71</v>
      </c>
      <c r="J494" s="6">
        <v>-582000</v>
      </c>
      <c r="K494" t="s">
        <v>187</v>
      </c>
      <c r="L494" t="s">
        <v>1388</v>
      </c>
      <c r="M494" t="s">
        <v>3</v>
      </c>
      <c r="N494" s="25" t="str">
        <f>TEXT(tbl_Ledger[[#This Row],[Date]],"yyyy-mm")</f>
        <v>2025-08</v>
      </c>
      <c r="O494" s="25" t="str">
        <f>TEXT(tbl_Ledger[[#This Row],[Date]],"yyyy-mm") &amp; TRIM(tbl_Ledger[[#This Row],[Currency]])</f>
        <v>2025-08NGN</v>
      </c>
      <c r="P494" s="25">
        <f>_xlfn.XLOOKUP(tbl_Ledger[[#This Row],[Key]], tbl_FX[Key], tbl_FX[Rate_to_NGN])</f>
        <v>1</v>
      </c>
      <c r="Q494" s="37">
        <f>IF(tbl_Ledger[[#This Row],[Account_Type]]="Expense",-ABS(tbl_Ledger[[#This Row],[Amount]]*tbl_Ledger[[#This Row],[Rate_to_NGN]]),tbl_Ledger[[#This Row],[Amount]]*tbl_Ledger[[#This Row],[Rate_to_NGN]])</f>
        <v>-582000</v>
      </c>
      <c r="R494" s="25" t="str">
        <f>_xlfn.XLOOKUP(tbl_Ledger[[#This Row],[Account_Code]], tbl_Accounts[Account_Code], tbl_Accounts[Type])</f>
        <v>COGS</v>
      </c>
      <c r="S494" s="25" t="str">
        <f>_xlfn.XLOOKUP(tbl_Ledger[[#This Row],[Account_Code]], tbl_Accounts[Account_Code], tbl_Accounts[PL_Bucket])</f>
        <v>COGS</v>
      </c>
      <c r="T494" s="25">
        <f t="shared" si="7"/>
        <v>-582000</v>
      </c>
    </row>
    <row r="495" spans="1:20">
      <c r="A495" t="s">
        <v>1389</v>
      </c>
      <c r="B495" s="7">
        <v>45871</v>
      </c>
      <c r="C495" t="s">
        <v>93</v>
      </c>
      <c r="D495" t="s">
        <v>94</v>
      </c>
      <c r="E495" t="s">
        <v>95</v>
      </c>
      <c r="F495" s="12" t="s">
        <v>24</v>
      </c>
      <c r="G495" t="s">
        <v>25</v>
      </c>
      <c r="H495" t="s">
        <v>1390</v>
      </c>
      <c r="I495" t="s">
        <v>71</v>
      </c>
      <c r="J495" s="6">
        <v>38300</v>
      </c>
      <c r="K495" t="s">
        <v>3</v>
      </c>
      <c r="L495" t="s">
        <v>1391</v>
      </c>
      <c r="M495" t="s">
        <v>3</v>
      </c>
      <c r="N495" s="25" t="str">
        <f>TEXT(tbl_Ledger[[#This Row],[Date]],"yyyy-mm")</f>
        <v>2025-08</v>
      </c>
      <c r="O495" s="25" t="str">
        <f>TEXT(tbl_Ledger[[#This Row],[Date]],"yyyy-mm") &amp; TRIM(tbl_Ledger[[#This Row],[Currency]])</f>
        <v>2025-08NGN</v>
      </c>
      <c r="P495" s="25">
        <f>_xlfn.XLOOKUP(tbl_Ledger[[#This Row],[Key]], tbl_FX[Key], tbl_FX[Rate_to_NGN])</f>
        <v>1</v>
      </c>
      <c r="Q495" s="37">
        <f>IF(tbl_Ledger[[#This Row],[Account_Type]]="Expense",-ABS(tbl_Ledger[[#This Row],[Amount]]*tbl_Ledger[[#This Row],[Rate_to_NGN]]),tbl_Ledger[[#This Row],[Amount]]*tbl_Ledger[[#This Row],[Rate_to_NGN]])</f>
        <v>38300</v>
      </c>
      <c r="R495" s="25" t="str">
        <f>_xlfn.XLOOKUP(tbl_Ledger[[#This Row],[Account_Code]], tbl_Accounts[Account_Code], tbl_Accounts[Type])</f>
        <v>Revenue</v>
      </c>
      <c r="S495" s="25" t="str">
        <f>_xlfn.XLOOKUP(tbl_Ledger[[#This Row],[Account_Code]], tbl_Accounts[Account_Code], tbl_Accounts[PL_Bucket])</f>
        <v>Revenue</v>
      </c>
      <c r="T495" s="25">
        <f t="shared" si="7"/>
        <v>38300</v>
      </c>
    </row>
    <row r="496" spans="1:20">
      <c r="A496" t="s">
        <v>1392</v>
      </c>
      <c r="B496" s="7">
        <v>45871</v>
      </c>
      <c r="C496" t="s">
        <v>93</v>
      </c>
      <c r="D496" t="s">
        <v>94</v>
      </c>
      <c r="E496" t="s">
        <v>99</v>
      </c>
      <c r="F496" s="12" t="s">
        <v>24</v>
      </c>
      <c r="G496" t="s">
        <v>25</v>
      </c>
      <c r="H496" t="s">
        <v>1393</v>
      </c>
      <c r="I496" t="s">
        <v>71</v>
      </c>
      <c r="J496" s="6">
        <v>39200</v>
      </c>
      <c r="K496" t="s">
        <v>3</v>
      </c>
      <c r="L496" t="s">
        <v>1394</v>
      </c>
      <c r="M496" t="s">
        <v>3</v>
      </c>
      <c r="N496" s="25" t="str">
        <f>TEXT(tbl_Ledger[[#This Row],[Date]],"yyyy-mm")</f>
        <v>2025-08</v>
      </c>
      <c r="O496" s="25" t="str">
        <f>TEXT(tbl_Ledger[[#This Row],[Date]],"yyyy-mm") &amp; TRIM(tbl_Ledger[[#This Row],[Currency]])</f>
        <v>2025-08NGN</v>
      </c>
      <c r="P496" s="25">
        <f>_xlfn.XLOOKUP(tbl_Ledger[[#This Row],[Key]], tbl_FX[Key], tbl_FX[Rate_to_NGN])</f>
        <v>1</v>
      </c>
      <c r="Q496" s="37">
        <f>IF(tbl_Ledger[[#This Row],[Account_Type]]="Expense",-ABS(tbl_Ledger[[#This Row],[Amount]]*tbl_Ledger[[#This Row],[Rate_to_NGN]]),tbl_Ledger[[#This Row],[Amount]]*tbl_Ledger[[#This Row],[Rate_to_NGN]])</f>
        <v>39200</v>
      </c>
      <c r="R496" s="25" t="str">
        <f>_xlfn.XLOOKUP(tbl_Ledger[[#This Row],[Account_Code]], tbl_Accounts[Account_Code], tbl_Accounts[Type])</f>
        <v>Revenue</v>
      </c>
      <c r="S496" s="25" t="str">
        <f>_xlfn.XLOOKUP(tbl_Ledger[[#This Row],[Account_Code]], tbl_Accounts[Account_Code], tbl_Accounts[PL_Bucket])</f>
        <v>Revenue</v>
      </c>
      <c r="T496" s="25">
        <f t="shared" si="7"/>
        <v>39200</v>
      </c>
    </row>
    <row r="497" spans="1:20">
      <c r="A497" t="s">
        <v>1395</v>
      </c>
      <c r="B497" s="7">
        <v>45871</v>
      </c>
      <c r="C497" t="s">
        <v>93</v>
      </c>
      <c r="D497" t="s">
        <v>94</v>
      </c>
      <c r="E497" t="s">
        <v>103</v>
      </c>
      <c r="F497" s="12" t="s">
        <v>24</v>
      </c>
      <c r="G497" t="s">
        <v>25</v>
      </c>
      <c r="H497" t="s">
        <v>1396</v>
      </c>
      <c r="I497" t="s">
        <v>71</v>
      </c>
      <c r="J497" s="6">
        <v>37100</v>
      </c>
      <c r="K497" t="s">
        <v>3</v>
      </c>
      <c r="L497" t="s">
        <v>1397</v>
      </c>
      <c r="M497" t="s">
        <v>3</v>
      </c>
      <c r="N497" s="25" t="str">
        <f>TEXT(tbl_Ledger[[#This Row],[Date]],"yyyy-mm")</f>
        <v>2025-08</v>
      </c>
      <c r="O497" s="25" t="str">
        <f>TEXT(tbl_Ledger[[#This Row],[Date]],"yyyy-mm") &amp; TRIM(tbl_Ledger[[#This Row],[Currency]])</f>
        <v>2025-08NGN</v>
      </c>
      <c r="P497" s="25">
        <f>_xlfn.XLOOKUP(tbl_Ledger[[#This Row],[Key]], tbl_FX[Key], tbl_FX[Rate_to_NGN])</f>
        <v>1</v>
      </c>
      <c r="Q497" s="37">
        <f>IF(tbl_Ledger[[#This Row],[Account_Type]]="Expense",-ABS(tbl_Ledger[[#This Row],[Amount]]*tbl_Ledger[[#This Row],[Rate_to_NGN]]),tbl_Ledger[[#This Row],[Amount]]*tbl_Ledger[[#This Row],[Rate_to_NGN]])</f>
        <v>37100</v>
      </c>
      <c r="R497" s="25" t="str">
        <f>_xlfn.XLOOKUP(tbl_Ledger[[#This Row],[Account_Code]], tbl_Accounts[Account_Code], tbl_Accounts[Type])</f>
        <v>Revenue</v>
      </c>
      <c r="S497" s="25" t="str">
        <f>_xlfn.XLOOKUP(tbl_Ledger[[#This Row],[Account_Code]], tbl_Accounts[Account_Code], tbl_Accounts[PL_Bucket])</f>
        <v>Revenue</v>
      </c>
      <c r="T497" s="25">
        <f t="shared" si="7"/>
        <v>37100</v>
      </c>
    </row>
    <row r="498" spans="1:20">
      <c r="A498" t="s">
        <v>1398</v>
      </c>
      <c r="B498" s="7">
        <v>45871</v>
      </c>
      <c r="C498" t="s">
        <v>93</v>
      </c>
      <c r="D498" t="s">
        <v>94</v>
      </c>
      <c r="E498" t="s">
        <v>160</v>
      </c>
      <c r="F498" s="12" t="s">
        <v>24</v>
      </c>
      <c r="G498" t="s">
        <v>25</v>
      </c>
      <c r="H498" t="s">
        <v>1399</v>
      </c>
      <c r="I498" t="s">
        <v>71</v>
      </c>
      <c r="J498" s="6">
        <v>36700</v>
      </c>
      <c r="K498" t="s">
        <v>3</v>
      </c>
      <c r="L498" t="s">
        <v>1397</v>
      </c>
      <c r="M498" t="s">
        <v>3</v>
      </c>
      <c r="N498" s="25" t="str">
        <f>TEXT(tbl_Ledger[[#This Row],[Date]],"yyyy-mm")</f>
        <v>2025-08</v>
      </c>
      <c r="O498" s="25" t="str">
        <f>TEXT(tbl_Ledger[[#This Row],[Date]],"yyyy-mm") &amp; TRIM(tbl_Ledger[[#This Row],[Currency]])</f>
        <v>2025-08NGN</v>
      </c>
      <c r="P498" s="25">
        <f>_xlfn.XLOOKUP(tbl_Ledger[[#This Row],[Key]], tbl_FX[Key], tbl_FX[Rate_to_NGN])</f>
        <v>1</v>
      </c>
      <c r="Q498" s="37">
        <f>IF(tbl_Ledger[[#This Row],[Account_Type]]="Expense",-ABS(tbl_Ledger[[#This Row],[Amount]]*tbl_Ledger[[#This Row],[Rate_to_NGN]]),tbl_Ledger[[#This Row],[Amount]]*tbl_Ledger[[#This Row],[Rate_to_NGN]])</f>
        <v>36700</v>
      </c>
      <c r="R498" s="25" t="str">
        <f>_xlfn.XLOOKUP(tbl_Ledger[[#This Row],[Account_Code]], tbl_Accounts[Account_Code], tbl_Accounts[Type])</f>
        <v>Revenue</v>
      </c>
      <c r="S498" s="25" t="str">
        <f>_xlfn.XLOOKUP(tbl_Ledger[[#This Row],[Account_Code]], tbl_Accounts[Account_Code], tbl_Accounts[PL_Bucket])</f>
        <v>Revenue</v>
      </c>
      <c r="T498" s="25">
        <f t="shared" si="7"/>
        <v>36700</v>
      </c>
    </row>
    <row r="499" spans="1:20">
      <c r="A499" t="s">
        <v>1400</v>
      </c>
      <c r="B499" s="7">
        <v>45871</v>
      </c>
      <c r="C499" t="s">
        <v>93</v>
      </c>
      <c r="D499" t="s">
        <v>94</v>
      </c>
      <c r="E499" t="s">
        <v>107</v>
      </c>
      <c r="F499" s="12" t="s">
        <v>24</v>
      </c>
      <c r="G499" t="s">
        <v>25</v>
      </c>
      <c r="H499" t="s">
        <v>1401</v>
      </c>
      <c r="I499" t="s">
        <v>71</v>
      </c>
      <c r="J499" s="6">
        <v>40800</v>
      </c>
      <c r="K499" t="s">
        <v>3</v>
      </c>
      <c r="L499" t="s">
        <v>1402</v>
      </c>
      <c r="M499" t="s">
        <v>3</v>
      </c>
      <c r="N499" s="25" t="str">
        <f>TEXT(tbl_Ledger[[#This Row],[Date]],"yyyy-mm")</f>
        <v>2025-08</v>
      </c>
      <c r="O499" s="25" t="str">
        <f>TEXT(tbl_Ledger[[#This Row],[Date]],"yyyy-mm") &amp; TRIM(tbl_Ledger[[#This Row],[Currency]])</f>
        <v>2025-08NGN</v>
      </c>
      <c r="P499" s="25">
        <f>_xlfn.XLOOKUP(tbl_Ledger[[#This Row],[Key]], tbl_FX[Key], tbl_FX[Rate_to_NGN])</f>
        <v>1</v>
      </c>
      <c r="Q499" s="37">
        <f>IF(tbl_Ledger[[#This Row],[Account_Type]]="Expense",-ABS(tbl_Ledger[[#This Row],[Amount]]*tbl_Ledger[[#This Row],[Rate_to_NGN]]),tbl_Ledger[[#This Row],[Amount]]*tbl_Ledger[[#This Row],[Rate_to_NGN]])</f>
        <v>40800</v>
      </c>
      <c r="R499" s="25" t="str">
        <f>_xlfn.XLOOKUP(tbl_Ledger[[#This Row],[Account_Code]], tbl_Accounts[Account_Code], tbl_Accounts[Type])</f>
        <v>Revenue</v>
      </c>
      <c r="S499" s="25" t="str">
        <f>_xlfn.XLOOKUP(tbl_Ledger[[#This Row],[Account_Code]], tbl_Accounts[Account_Code], tbl_Accounts[PL_Bucket])</f>
        <v>Revenue</v>
      </c>
      <c r="T499" s="25">
        <f t="shared" si="7"/>
        <v>40800</v>
      </c>
    </row>
    <row r="500" spans="1:20">
      <c r="A500" t="s">
        <v>1403</v>
      </c>
      <c r="B500" s="7">
        <v>45871</v>
      </c>
      <c r="C500" t="s">
        <v>93</v>
      </c>
      <c r="D500" t="s">
        <v>111</v>
      </c>
      <c r="E500" t="s">
        <v>112</v>
      </c>
      <c r="F500" s="12" t="s">
        <v>24</v>
      </c>
      <c r="G500" t="s">
        <v>25</v>
      </c>
      <c r="H500" t="s">
        <v>1404</v>
      </c>
      <c r="I500" t="s">
        <v>71</v>
      </c>
      <c r="J500" s="6">
        <v>65200</v>
      </c>
      <c r="K500" t="s">
        <v>3</v>
      </c>
      <c r="L500" t="s">
        <v>1405</v>
      </c>
      <c r="M500" t="s">
        <v>3</v>
      </c>
      <c r="N500" s="25" t="str">
        <f>TEXT(tbl_Ledger[[#This Row],[Date]],"yyyy-mm")</f>
        <v>2025-08</v>
      </c>
      <c r="O500" s="25" t="str">
        <f>TEXT(tbl_Ledger[[#This Row],[Date]],"yyyy-mm") &amp; TRIM(tbl_Ledger[[#This Row],[Currency]])</f>
        <v>2025-08NGN</v>
      </c>
      <c r="P500" s="25">
        <f>_xlfn.XLOOKUP(tbl_Ledger[[#This Row],[Key]], tbl_FX[Key], tbl_FX[Rate_to_NGN])</f>
        <v>1</v>
      </c>
      <c r="Q500" s="37">
        <f>IF(tbl_Ledger[[#This Row],[Account_Type]]="Expense",-ABS(tbl_Ledger[[#This Row],[Amount]]*tbl_Ledger[[#This Row],[Rate_to_NGN]]),tbl_Ledger[[#This Row],[Amount]]*tbl_Ledger[[#This Row],[Rate_to_NGN]])</f>
        <v>65200</v>
      </c>
      <c r="R500" s="25" t="str">
        <f>_xlfn.XLOOKUP(tbl_Ledger[[#This Row],[Account_Code]], tbl_Accounts[Account_Code], tbl_Accounts[Type])</f>
        <v>Revenue</v>
      </c>
      <c r="S500" s="25" t="str">
        <f>_xlfn.XLOOKUP(tbl_Ledger[[#This Row],[Account_Code]], tbl_Accounts[Account_Code], tbl_Accounts[PL_Bucket])</f>
        <v>Revenue</v>
      </c>
      <c r="T500" s="25">
        <f t="shared" si="7"/>
        <v>65200</v>
      </c>
    </row>
    <row r="501" spans="1:20">
      <c r="A501" t="s">
        <v>1406</v>
      </c>
      <c r="B501" s="7">
        <v>45871</v>
      </c>
      <c r="C501" t="s">
        <v>93</v>
      </c>
      <c r="D501" t="s">
        <v>111</v>
      </c>
      <c r="E501" t="s">
        <v>116</v>
      </c>
      <c r="F501" s="12" t="s">
        <v>24</v>
      </c>
      <c r="G501" t="s">
        <v>25</v>
      </c>
      <c r="H501" t="s">
        <v>1407</v>
      </c>
      <c r="I501" t="s">
        <v>71</v>
      </c>
      <c r="J501" s="6">
        <v>64900</v>
      </c>
      <c r="K501" t="s">
        <v>3</v>
      </c>
      <c r="L501" t="s">
        <v>1405</v>
      </c>
      <c r="M501" t="s">
        <v>3</v>
      </c>
      <c r="N501" s="25" t="str">
        <f>TEXT(tbl_Ledger[[#This Row],[Date]],"yyyy-mm")</f>
        <v>2025-08</v>
      </c>
      <c r="O501" s="25" t="str">
        <f>TEXT(tbl_Ledger[[#This Row],[Date]],"yyyy-mm") &amp; TRIM(tbl_Ledger[[#This Row],[Currency]])</f>
        <v>2025-08NGN</v>
      </c>
      <c r="P501" s="25">
        <f>_xlfn.XLOOKUP(tbl_Ledger[[#This Row],[Key]], tbl_FX[Key], tbl_FX[Rate_to_NGN])</f>
        <v>1</v>
      </c>
      <c r="Q501" s="37">
        <f>IF(tbl_Ledger[[#This Row],[Account_Type]]="Expense",-ABS(tbl_Ledger[[#This Row],[Amount]]*tbl_Ledger[[#This Row],[Rate_to_NGN]]),tbl_Ledger[[#This Row],[Amount]]*tbl_Ledger[[#This Row],[Rate_to_NGN]])</f>
        <v>64900</v>
      </c>
      <c r="R501" s="25" t="str">
        <f>_xlfn.XLOOKUP(tbl_Ledger[[#This Row],[Account_Code]], tbl_Accounts[Account_Code], tbl_Accounts[Type])</f>
        <v>Revenue</v>
      </c>
      <c r="S501" s="25" t="str">
        <f>_xlfn.XLOOKUP(tbl_Ledger[[#This Row],[Account_Code]], tbl_Accounts[Account_Code], tbl_Accounts[PL_Bucket])</f>
        <v>Revenue</v>
      </c>
      <c r="T501" s="25">
        <f t="shared" si="7"/>
        <v>64900</v>
      </c>
    </row>
    <row r="502" spans="1:20">
      <c r="A502" t="s">
        <v>1408</v>
      </c>
      <c r="B502" s="7">
        <v>45871</v>
      </c>
      <c r="C502" t="s">
        <v>93</v>
      </c>
      <c r="D502" t="s">
        <v>111</v>
      </c>
      <c r="E502" t="s">
        <v>119</v>
      </c>
      <c r="F502" s="12" t="s">
        <v>24</v>
      </c>
      <c r="G502" t="s">
        <v>25</v>
      </c>
      <c r="H502" t="s">
        <v>1409</v>
      </c>
      <c r="I502" t="s">
        <v>71</v>
      </c>
      <c r="J502" s="6">
        <v>66700</v>
      </c>
      <c r="K502" t="s">
        <v>3</v>
      </c>
      <c r="L502" t="s">
        <v>1405</v>
      </c>
      <c r="M502" t="s">
        <v>3</v>
      </c>
      <c r="N502" s="25" t="str">
        <f>TEXT(tbl_Ledger[[#This Row],[Date]],"yyyy-mm")</f>
        <v>2025-08</v>
      </c>
      <c r="O502" s="25" t="str">
        <f>TEXT(tbl_Ledger[[#This Row],[Date]],"yyyy-mm") &amp; TRIM(tbl_Ledger[[#This Row],[Currency]])</f>
        <v>2025-08NGN</v>
      </c>
      <c r="P502" s="25">
        <f>_xlfn.XLOOKUP(tbl_Ledger[[#This Row],[Key]], tbl_FX[Key], tbl_FX[Rate_to_NGN])</f>
        <v>1</v>
      </c>
      <c r="Q502" s="37">
        <f>IF(tbl_Ledger[[#This Row],[Account_Type]]="Expense",-ABS(tbl_Ledger[[#This Row],[Amount]]*tbl_Ledger[[#This Row],[Rate_to_NGN]]),tbl_Ledger[[#This Row],[Amount]]*tbl_Ledger[[#This Row],[Rate_to_NGN]])</f>
        <v>66700</v>
      </c>
      <c r="R502" s="25" t="str">
        <f>_xlfn.XLOOKUP(tbl_Ledger[[#This Row],[Account_Code]], tbl_Accounts[Account_Code], tbl_Accounts[Type])</f>
        <v>Revenue</v>
      </c>
      <c r="S502" s="25" t="str">
        <f>_xlfn.XLOOKUP(tbl_Ledger[[#This Row],[Account_Code]], tbl_Accounts[Account_Code], tbl_Accounts[PL_Bucket])</f>
        <v>Revenue</v>
      </c>
      <c r="T502" s="25">
        <f t="shared" si="7"/>
        <v>66700</v>
      </c>
    </row>
    <row r="503" spans="1:20">
      <c r="A503" t="s">
        <v>1410</v>
      </c>
      <c r="B503" s="7">
        <v>45871</v>
      </c>
      <c r="C503" t="s">
        <v>93</v>
      </c>
      <c r="D503" t="s">
        <v>111</v>
      </c>
      <c r="E503" t="s">
        <v>170</v>
      </c>
      <c r="F503" s="12" t="s">
        <v>24</v>
      </c>
      <c r="G503" t="s">
        <v>25</v>
      </c>
      <c r="H503" t="s">
        <v>1411</v>
      </c>
      <c r="I503" t="s">
        <v>71</v>
      </c>
      <c r="J503" s="6">
        <v>64600</v>
      </c>
      <c r="K503" t="s">
        <v>3</v>
      </c>
      <c r="L503" t="s">
        <v>1405</v>
      </c>
      <c r="M503" t="s">
        <v>3</v>
      </c>
      <c r="N503" s="25" t="str">
        <f>TEXT(tbl_Ledger[[#This Row],[Date]],"yyyy-mm")</f>
        <v>2025-08</v>
      </c>
      <c r="O503" s="25" t="str">
        <f>TEXT(tbl_Ledger[[#This Row],[Date]],"yyyy-mm") &amp; TRIM(tbl_Ledger[[#This Row],[Currency]])</f>
        <v>2025-08NGN</v>
      </c>
      <c r="P503" s="25">
        <f>_xlfn.XLOOKUP(tbl_Ledger[[#This Row],[Key]], tbl_FX[Key], tbl_FX[Rate_to_NGN])</f>
        <v>1</v>
      </c>
      <c r="Q503" s="37">
        <f>IF(tbl_Ledger[[#This Row],[Account_Type]]="Expense",-ABS(tbl_Ledger[[#This Row],[Amount]]*tbl_Ledger[[#This Row],[Rate_to_NGN]]),tbl_Ledger[[#This Row],[Amount]]*tbl_Ledger[[#This Row],[Rate_to_NGN]])</f>
        <v>64600</v>
      </c>
      <c r="R503" s="25" t="str">
        <f>_xlfn.XLOOKUP(tbl_Ledger[[#This Row],[Account_Code]], tbl_Accounts[Account_Code], tbl_Accounts[Type])</f>
        <v>Revenue</v>
      </c>
      <c r="S503" s="25" t="str">
        <f>_xlfn.XLOOKUP(tbl_Ledger[[#This Row],[Account_Code]], tbl_Accounts[Account_Code], tbl_Accounts[PL_Bucket])</f>
        <v>Revenue</v>
      </c>
      <c r="T503" s="25">
        <f t="shared" si="7"/>
        <v>64600</v>
      </c>
    </row>
    <row r="504" spans="1:20">
      <c r="A504" t="s">
        <v>1412</v>
      </c>
      <c r="B504" s="7">
        <v>45871</v>
      </c>
      <c r="C504" t="s">
        <v>93</v>
      </c>
      <c r="D504" t="s">
        <v>111</v>
      </c>
      <c r="E504" t="s">
        <v>122</v>
      </c>
      <c r="F504" s="12" t="s">
        <v>24</v>
      </c>
      <c r="G504" t="s">
        <v>25</v>
      </c>
      <c r="H504" t="s">
        <v>1413</v>
      </c>
      <c r="I504" t="s">
        <v>71</v>
      </c>
      <c r="J504" s="6">
        <v>65600</v>
      </c>
      <c r="K504" t="s">
        <v>3</v>
      </c>
      <c r="L504" t="s">
        <v>1414</v>
      </c>
      <c r="M504" t="s">
        <v>3</v>
      </c>
      <c r="N504" s="25" t="str">
        <f>TEXT(tbl_Ledger[[#This Row],[Date]],"yyyy-mm")</f>
        <v>2025-08</v>
      </c>
      <c r="O504" s="25" t="str">
        <f>TEXT(tbl_Ledger[[#This Row],[Date]],"yyyy-mm") &amp; TRIM(tbl_Ledger[[#This Row],[Currency]])</f>
        <v>2025-08NGN</v>
      </c>
      <c r="P504" s="25">
        <f>_xlfn.XLOOKUP(tbl_Ledger[[#This Row],[Key]], tbl_FX[Key], tbl_FX[Rate_to_NGN])</f>
        <v>1</v>
      </c>
      <c r="Q504" s="37">
        <f>IF(tbl_Ledger[[#This Row],[Account_Type]]="Expense",-ABS(tbl_Ledger[[#This Row],[Amount]]*tbl_Ledger[[#This Row],[Rate_to_NGN]]),tbl_Ledger[[#This Row],[Amount]]*tbl_Ledger[[#This Row],[Rate_to_NGN]])</f>
        <v>65600</v>
      </c>
      <c r="R504" s="25" t="str">
        <f>_xlfn.XLOOKUP(tbl_Ledger[[#This Row],[Account_Code]], tbl_Accounts[Account_Code], tbl_Accounts[Type])</f>
        <v>Revenue</v>
      </c>
      <c r="S504" s="25" t="str">
        <f>_xlfn.XLOOKUP(tbl_Ledger[[#This Row],[Account_Code]], tbl_Accounts[Account_Code], tbl_Accounts[PL_Bucket])</f>
        <v>Revenue</v>
      </c>
      <c r="T504" s="25">
        <f t="shared" si="7"/>
        <v>65600</v>
      </c>
    </row>
    <row r="505" spans="1:20">
      <c r="A505" t="s">
        <v>1415</v>
      </c>
      <c r="B505" s="7">
        <v>45871</v>
      </c>
      <c r="C505" t="s">
        <v>126</v>
      </c>
      <c r="D505" t="s">
        <v>88</v>
      </c>
      <c r="E505" t="s">
        <v>127</v>
      </c>
      <c r="F505" s="12" t="s">
        <v>29</v>
      </c>
      <c r="G505" t="s">
        <v>30</v>
      </c>
      <c r="H505" t="s">
        <v>1416</v>
      </c>
      <c r="I505" t="s">
        <v>71</v>
      </c>
      <c r="J505" s="6">
        <v>48800</v>
      </c>
      <c r="K505" t="s">
        <v>129</v>
      </c>
      <c r="L505" t="s">
        <v>1417</v>
      </c>
      <c r="M505" t="s">
        <v>3</v>
      </c>
      <c r="N505" s="25" t="str">
        <f>TEXT(tbl_Ledger[[#This Row],[Date]],"yyyy-mm")</f>
        <v>2025-08</v>
      </c>
      <c r="O505" s="25" t="str">
        <f>TEXT(tbl_Ledger[[#This Row],[Date]],"yyyy-mm") &amp; TRIM(tbl_Ledger[[#This Row],[Currency]])</f>
        <v>2025-08NGN</v>
      </c>
      <c r="P505" s="25">
        <f>_xlfn.XLOOKUP(tbl_Ledger[[#This Row],[Key]], tbl_FX[Key], tbl_FX[Rate_to_NGN])</f>
        <v>1</v>
      </c>
      <c r="Q505" s="37">
        <f>IF(tbl_Ledger[[#This Row],[Account_Type]]="Expense",-ABS(tbl_Ledger[[#This Row],[Amount]]*tbl_Ledger[[#This Row],[Rate_to_NGN]]),tbl_Ledger[[#This Row],[Amount]]*tbl_Ledger[[#This Row],[Rate_to_NGN]])</f>
        <v>48800</v>
      </c>
      <c r="R505" s="25" t="str">
        <f>_xlfn.XLOOKUP(tbl_Ledger[[#This Row],[Account_Code]], tbl_Accounts[Account_Code], tbl_Accounts[Type])</f>
        <v>Revenue</v>
      </c>
      <c r="S505" s="25" t="str">
        <f>_xlfn.XLOOKUP(tbl_Ledger[[#This Row],[Account_Code]], tbl_Accounts[Account_Code], tbl_Accounts[PL_Bucket])</f>
        <v>Revenue</v>
      </c>
      <c r="T505" s="25">
        <f t="shared" si="7"/>
        <v>48800</v>
      </c>
    </row>
    <row r="506" spans="1:20">
      <c r="A506" t="s">
        <v>1418</v>
      </c>
      <c r="B506" s="7">
        <v>45871</v>
      </c>
      <c r="C506" t="s">
        <v>126</v>
      </c>
      <c r="D506" t="s">
        <v>88</v>
      </c>
      <c r="E506" t="s">
        <v>132</v>
      </c>
      <c r="F506" s="12" t="s">
        <v>29</v>
      </c>
      <c r="G506" t="s">
        <v>30</v>
      </c>
      <c r="H506" t="s">
        <v>1419</v>
      </c>
      <c r="I506" t="s">
        <v>71</v>
      </c>
      <c r="J506" s="6">
        <v>45100</v>
      </c>
      <c r="K506" t="s">
        <v>134</v>
      </c>
      <c r="L506" t="s">
        <v>1417</v>
      </c>
      <c r="M506" t="s">
        <v>3</v>
      </c>
      <c r="N506" s="25" t="str">
        <f>TEXT(tbl_Ledger[[#This Row],[Date]],"yyyy-mm")</f>
        <v>2025-08</v>
      </c>
      <c r="O506" s="25" t="str">
        <f>TEXT(tbl_Ledger[[#This Row],[Date]],"yyyy-mm") &amp; TRIM(tbl_Ledger[[#This Row],[Currency]])</f>
        <v>2025-08NGN</v>
      </c>
      <c r="P506" s="25">
        <f>_xlfn.XLOOKUP(tbl_Ledger[[#This Row],[Key]], tbl_FX[Key], tbl_FX[Rate_to_NGN])</f>
        <v>1</v>
      </c>
      <c r="Q506" s="37">
        <f>IF(tbl_Ledger[[#This Row],[Account_Type]]="Expense",-ABS(tbl_Ledger[[#This Row],[Amount]]*tbl_Ledger[[#This Row],[Rate_to_NGN]]),tbl_Ledger[[#This Row],[Amount]]*tbl_Ledger[[#This Row],[Rate_to_NGN]])</f>
        <v>45100</v>
      </c>
      <c r="R506" s="25" t="str">
        <f>_xlfn.XLOOKUP(tbl_Ledger[[#This Row],[Account_Code]], tbl_Accounts[Account_Code], tbl_Accounts[Type])</f>
        <v>Revenue</v>
      </c>
      <c r="S506" s="25" t="str">
        <f>_xlfn.XLOOKUP(tbl_Ledger[[#This Row],[Account_Code]], tbl_Accounts[Account_Code], tbl_Accounts[PL_Bucket])</f>
        <v>Revenue</v>
      </c>
      <c r="T506" s="25">
        <f t="shared" si="7"/>
        <v>45100</v>
      </c>
    </row>
    <row r="507" spans="1:20">
      <c r="A507" t="s">
        <v>1420</v>
      </c>
      <c r="B507" s="7">
        <v>45871</v>
      </c>
      <c r="C507" t="s">
        <v>126</v>
      </c>
      <c r="D507" t="s">
        <v>88</v>
      </c>
      <c r="E507" t="s">
        <v>136</v>
      </c>
      <c r="F507" s="12" t="s">
        <v>29</v>
      </c>
      <c r="G507" t="s">
        <v>30</v>
      </c>
      <c r="H507" t="s">
        <v>1421</v>
      </c>
      <c r="I507" t="s">
        <v>71</v>
      </c>
      <c r="J507" s="6">
        <v>49800</v>
      </c>
      <c r="K507" t="s">
        <v>138</v>
      </c>
      <c r="L507" t="s">
        <v>1417</v>
      </c>
      <c r="M507" t="s">
        <v>3</v>
      </c>
      <c r="N507" s="25" t="str">
        <f>TEXT(tbl_Ledger[[#This Row],[Date]],"yyyy-mm")</f>
        <v>2025-08</v>
      </c>
      <c r="O507" s="25" t="str">
        <f>TEXT(tbl_Ledger[[#This Row],[Date]],"yyyy-mm") &amp; TRIM(tbl_Ledger[[#This Row],[Currency]])</f>
        <v>2025-08NGN</v>
      </c>
      <c r="P507" s="25">
        <f>_xlfn.XLOOKUP(tbl_Ledger[[#This Row],[Key]], tbl_FX[Key], tbl_FX[Rate_to_NGN])</f>
        <v>1</v>
      </c>
      <c r="Q507" s="37">
        <f>IF(tbl_Ledger[[#This Row],[Account_Type]]="Expense",-ABS(tbl_Ledger[[#This Row],[Amount]]*tbl_Ledger[[#This Row],[Rate_to_NGN]]),tbl_Ledger[[#This Row],[Amount]]*tbl_Ledger[[#This Row],[Rate_to_NGN]])</f>
        <v>49800</v>
      </c>
      <c r="R507" s="25" t="str">
        <f>_xlfn.XLOOKUP(tbl_Ledger[[#This Row],[Account_Code]], tbl_Accounts[Account_Code], tbl_Accounts[Type])</f>
        <v>Revenue</v>
      </c>
      <c r="S507" s="25" t="str">
        <f>_xlfn.XLOOKUP(tbl_Ledger[[#This Row],[Account_Code]], tbl_Accounts[Account_Code], tbl_Accounts[PL_Bucket])</f>
        <v>Revenue</v>
      </c>
      <c r="T507" s="25">
        <f t="shared" si="7"/>
        <v>49800</v>
      </c>
    </row>
    <row r="508" spans="1:20">
      <c r="A508" t="s">
        <v>1422</v>
      </c>
      <c r="B508" s="7">
        <v>45871</v>
      </c>
      <c r="C508" t="s">
        <v>87</v>
      </c>
      <c r="D508" t="s">
        <v>94</v>
      </c>
      <c r="E508" t="s">
        <v>3</v>
      </c>
      <c r="F508" s="12" t="s">
        <v>38</v>
      </c>
      <c r="G508" t="s">
        <v>39</v>
      </c>
      <c r="H508" t="s">
        <v>1423</v>
      </c>
      <c r="I508" t="s">
        <v>71</v>
      </c>
      <c r="J508" s="6">
        <v>-110000</v>
      </c>
      <c r="K508" t="s">
        <v>276</v>
      </c>
      <c r="L508" t="s">
        <v>1424</v>
      </c>
      <c r="M508" t="s">
        <v>3</v>
      </c>
      <c r="N508" s="25" t="str">
        <f>TEXT(tbl_Ledger[[#This Row],[Date]],"yyyy-mm")</f>
        <v>2025-08</v>
      </c>
      <c r="O508" s="25" t="str">
        <f>TEXT(tbl_Ledger[[#This Row],[Date]],"yyyy-mm") &amp; TRIM(tbl_Ledger[[#This Row],[Currency]])</f>
        <v>2025-08NGN</v>
      </c>
      <c r="P508" s="25">
        <f>_xlfn.XLOOKUP(tbl_Ledger[[#This Row],[Key]], tbl_FX[Key], tbl_FX[Rate_to_NGN])</f>
        <v>1</v>
      </c>
      <c r="Q508" s="37">
        <f>IF(tbl_Ledger[[#This Row],[Account_Type]]="Expense",-ABS(tbl_Ledger[[#This Row],[Amount]]*tbl_Ledger[[#This Row],[Rate_to_NGN]]),tbl_Ledger[[#This Row],[Amount]]*tbl_Ledger[[#This Row],[Rate_to_NGN]])</f>
        <v>-110000</v>
      </c>
      <c r="R508" s="25" t="str">
        <f>_xlfn.XLOOKUP(tbl_Ledger[[#This Row],[Account_Code]], tbl_Accounts[Account_Code], tbl_Accounts[Type])</f>
        <v>COGS</v>
      </c>
      <c r="S508" s="25" t="str">
        <f>_xlfn.XLOOKUP(tbl_Ledger[[#This Row],[Account_Code]], tbl_Accounts[Account_Code], tbl_Accounts[PL_Bucket])</f>
        <v>COGS</v>
      </c>
      <c r="T508" s="25">
        <f t="shared" si="7"/>
        <v>-110000</v>
      </c>
    </row>
    <row r="509" spans="1:20">
      <c r="A509" t="s">
        <v>1425</v>
      </c>
      <c r="B509" s="7">
        <v>45871</v>
      </c>
      <c r="C509" t="s">
        <v>87</v>
      </c>
      <c r="D509" t="s">
        <v>111</v>
      </c>
      <c r="E509" t="s">
        <v>3</v>
      </c>
      <c r="F509" s="12" t="s">
        <v>38</v>
      </c>
      <c r="G509" t="s">
        <v>39</v>
      </c>
      <c r="H509" t="s">
        <v>1423</v>
      </c>
      <c r="I509" t="s">
        <v>71</v>
      </c>
      <c r="J509" s="6">
        <v>-71000</v>
      </c>
      <c r="K509" t="s">
        <v>276</v>
      </c>
      <c r="L509" t="s">
        <v>1426</v>
      </c>
      <c r="M509" t="s">
        <v>3</v>
      </c>
      <c r="N509" s="25" t="str">
        <f>TEXT(tbl_Ledger[[#This Row],[Date]],"yyyy-mm")</f>
        <v>2025-08</v>
      </c>
      <c r="O509" s="25" t="str">
        <f>TEXT(tbl_Ledger[[#This Row],[Date]],"yyyy-mm") &amp; TRIM(tbl_Ledger[[#This Row],[Currency]])</f>
        <v>2025-08NGN</v>
      </c>
      <c r="P509" s="25">
        <f>_xlfn.XLOOKUP(tbl_Ledger[[#This Row],[Key]], tbl_FX[Key], tbl_FX[Rate_to_NGN])</f>
        <v>1</v>
      </c>
      <c r="Q509" s="37">
        <f>IF(tbl_Ledger[[#This Row],[Account_Type]]="Expense",-ABS(tbl_Ledger[[#This Row],[Amount]]*tbl_Ledger[[#This Row],[Rate_to_NGN]]),tbl_Ledger[[#This Row],[Amount]]*tbl_Ledger[[#This Row],[Rate_to_NGN]])</f>
        <v>-71000</v>
      </c>
      <c r="R509" s="25" t="str">
        <f>_xlfn.XLOOKUP(tbl_Ledger[[#This Row],[Account_Code]], tbl_Accounts[Account_Code], tbl_Accounts[Type])</f>
        <v>COGS</v>
      </c>
      <c r="S509" s="25" t="str">
        <f>_xlfn.XLOOKUP(tbl_Ledger[[#This Row],[Account_Code]], tbl_Accounts[Account_Code], tbl_Accounts[PL_Bucket])</f>
        <v>COGS</v>
      </c>
      <c r="T509" s="25">
        <f t="shared" si="7"/>
        <v>-71000</v>
      </c>
    </row>
    <row r="510" spans="1:20">
      <c r="A510" t="s">
        <v>1427</v>
      </c>
      <c r="B510" s="7">
        <v>45871</v>
      </c>
      <c r="C510" t="s">
        <v>87</v>
      </c>
      <c r="D510" t="s">
        <v>88</v>
      </c>
      <c r="E510" t="s">
        <v>3</v>
      </c>
      <c r="F510" s="12" t="s">
        <v>40</v>
      </c>
      <c r="G510" t="s">
        <v>41</v>
      </c>
      <c r="H510" t="s">
        <v>1428</v>
      </c>
      <c r="I510" t="s">
        <v>71</v>
      </c>
      <c r="J510" s="6">
        <v>-638000</v>
      </c>
      <c r="K510" t="s">
        <v>90</v>
      </c>
      <c r="L510" t="s">
        <v>1429</v>
      </c>
      <c r="M510" t="s">
        <v>3</v>
      </c>
      <c r="N510" s="25" t="str">
        <f>TEXT(tbl_Ledger[[#This Row],[Date]],"yyyy-mm")</f>
        <v>2025-08</v>
      </c>
      <c r="O510" s="25" t="str">
        <f>TEXT(tbl_Ledger[[#This Row],[Date]],"yyyy-mm") &amp; TRIM(tbl_Ledger[[#This Row],[Currency]])</f>
        <v>2025-08NGN</v>
      </c>
      <c r="P510" s="25">
        <f>_xlfn.XLOOKUP(tbl_Ledger[[#This Row],[Key]], tbl_FX[Key], tbl_FX[Rate_to_NGN])</f>
        <v>1</v>
      </c>
      <c r="Q510" s="37">
        <f>IF(tbl_Ledger[[#This Row],[Account_Type]]="Expense",-ABS(tbl_Ledger[[#This Row],[Amount]]*tbl_Ledger[[#This Row],[Rate_to_NGN]]),tbl_Ledger[[#This Row],[Amount]]*tbl_Ledger[[#This Row],[Rate_to_NGN]])</f>
        <v>-638000</v>
      </c>
      <c r="R510" s="25" t="str">
        <f>_xlfn.XLOOKUP(tbl_Ledger[[#This Row],[Account_Code]], tbl_Accounts[Account_Code], tbl_Accounts[Type])</f>
        <v>COGS</v>
      </c>
      <c r="S510" s="25" t="str">
        <f>_xlfn.XLOOKUP(tbl_Ledger[[#This Row],[Account_Code]], tbl_Accounts[Account_Code], tbl_Accounts[PL_Bucket])</f>
        <v>COGS</v>
      </c>
      <c r="T510" s="25">
        <f t="shared" si="7"/>
        <v>-638000</v>
      </c>
    </row>
    <row r="511" spans="1:20">
      <c r="A511" t="s">
        <v>1430</v>
      </c>
      <c r="B511" s="7">
        <v>45871</v>
      </c>
      <c r="C511" t="s">
        <v>87</v>
      </c>
      <c r="D511" t="s">
        <v>88</v>
      </c>
      <c r="E511" t="s">
        <v>3</v>
      </c>
      <c r="F511" s="12" t="s">
        <v>42</v>
      </c>
      <c r="G511" t="s">
        <v>43</v>
      </c>
      <c r="H511" t="s">
        <v>1431</v>
      </c>
      <c r="I511" t="s">
        <v>71</v>
      </c>
      <c r="J511" s="6">
        <v>-601000</v>
      </c>
      <c r="K511" t="s">
        <v>398</v>
      </c>
      <c r="L511" t="s">
        <v>1432</v>
      </c>
      <c r="M511" t="s">
        <v>3</v>
      </c>
      <c r="N511" s="25" t="str">
        <f>TEXT(tbl_Ledger[[#This Row],[Date]],"yyyy-mm")</f>
        <v>2025-08</v>
      </c>
      <c r="O511" s="25" t="str">
        <f>TEXT(tbl_Ledger[[#This Row],[Date]],"yyyy-mm") &amp; TRIM(tbl_Ledger[[#This Row],[Currency]])</f>
        <v>2025-08NGN</v>
      </c>
      <c r="P511" s="25">
        <f>_xlfn.XLOOKUP(tbl_Ledger[[#This Row],[Key]], tbl_FX[Key], tbl_FX[Rate_to_NGN])</f>
        <v>1</v>
      </c>
      <c r="Q511" s="37">
        <f>IF(tbl_Ledger[[#This Row],[Account_Type]]="Expense",-ABS(tbl_Ledger[[#This Row],[Amount]]*tbl_Ledger[[#This Row],[Rate_to_NGN]]),tbl_Ledger[[#This Row],[Amount]]*tbl_Ledger[[#This Row],[Rate_to_NGN]])</f>
        <v>-601000</v>
      </c>
      <c r="R511" s="25" t="str">
        <f>_xlfn.XLOOKUP(tbl_Ledger[[#This Row],[Account_Code]], tbl_Accounts[Account_Code], tbl_Accounts[Type])</f>
        <v>COGS</v>
      </c>
      <c r="S511" s="25" t="str">
        <f>_xlfn.XLOOKUP(tbl_Ledger[[#This Row],[Account_Code]], tbl_Accounts[Account_Code], tbl_Accounts[PL_Bucket])</f>
        <v>COGS</v>
      </c>
      <c r="T511" s="25">
        <f t="shared" si="7"/>
        <v>-601000</v>
      </c>
    </row>
    <row r="512" spans="1:20">
      <c r="A512" t="s">
        <v>1433</v>
      </c>
      <c r="B512" s="7">
        <v>45871</v>
      </c>
      <c r="C512" t="s">
        <v>87</v>
      </c>
      <c r="D512" t="s">
        <v>94</v>
      </c>
      <c r="E512" t="s">
        <v>3</v>
      </c>
      <c r="F512" s="12" t="s">
        <v>55</v>
      </c>
      <c r="G512" t="s">
        <v>56</v>
      </c>
      <c r="H512" t="s">
        <v>1434</v>
      </c>
      <c r="I512" t="s">
        <v>72</v>
      </c>
      <c r="J512" s="6">
        <v>-820</v>
      </c>
      <c r="K512" t="s">
        <v>199</v>
      </c>
      <c r="L512" t="s">
        <v>1435</v>
      </c>
      <c r="M512" t="s">
        <v>3</v>
      </c>
      <c r="N512" s="25" t="str">
        <f>TEXT(tbl_Ledger[[#This Row],[Date]],"yyyy-mm")</f>
        <v>2025-08</v>
      </c>
      <c r="O512" s="25" t="str">
        <f>TEXT(tbl_Ledger[[#This Row],[Date]],"yyyy-mm") &amp; TRIM(tbl_Ledger[[#This Row],[Currency]])</f>
        <v>2025-08USD</v>
      </c>
      <c r="P512" s="25">
        <f>_xlfn.XLOOKUP(tbl_Ledger[[#This Row],[Key]], tbl_FX[Key], tbl_FX[Rate_to_NGN])</f>
        <v>1572</v>
      </c>
      <c r="Q512" s="37">
        <f>IF(tbl_Ledger[[#This Row],[Account_Type]]="Expense",-ABS(tbl_Ledger[[#This Row],[Amount]]*tbl_Ledger[[#This Row],[Rate_to_NGN]]),tbl_Ledger[[#This Row],[Amount]]*tbl_Ledger[[#This Row],[Rate_to_NGN]])</f>
        <v>-1289040</v>
      </c>
      <c r="R512" s="25" t="str">
        <f>_xlfn.XLOOKUP(tbl_Ledger[[#This Row],[Account_Code]], tbl_Accounts[Account_Code], tbl_Accounts[Type])</f>
        <v>Opex</v>
      </c>
      <c r="S512" s="25" t="str">
        <f>_xlfn.XLOOKUP(tbl_Ledger[[#This Row],[Account_Code]], tbl_Accounts[Account_Code], tbl_Accounts[PL_Bucket])</f>
        <v>Opex</v>
      </c>
      <c r="T512" s="25">
        <f t="shared" si="7"/>
        <v>-1289040</v>
      </c>
    </row>
    <row r="513" spans="1:20">
      <c r="A513" t="s">
        <v>1436</v>
      </c>
      <c r="B513" s="7">
        <v>45872</v>
      </c>
      <c r="C513" t="s">
        <v>93</v>
      </c>
      <c r="D513" t="s">
        <v>94</v>
      </c>
      <c r="E513" t="s">
        <v>95</v>
      </c>
      <c r="F513" s="12" t="s">
        <v>24</v>
      </c>
      <c r="G513" t="s">
        <v>25</v>
      </c>
      <c r="H513" t="s">
        <v>1437</v>
      </c>
      <c r="I513" t="s">
        <v>71</v>
      </c>
      <c r="J513" s="6">
        <v>35900</v>
      </c>
      <c r="K513" t="s">
        <v>3</v>
      </c>
      <c r="L513" t="s">
        <v>1438</v>
      </c>
      <c r="M513" t="s">
        <v>3</v>
      </c>
      <c r="N513" s="25" t="str">
        <f>TEXT(tbl_Ledger[[#This Row],[Date]],"yyyy-mm")</f>
        <v>2025-08</v>
      </c>
      <c r="O513" s="25" t="str">
        <f>TEXT(tbl_Ledger[[#This Row],[Date]],"yyyy-mm") &amp; TRIM(tbl_Ledger[[#This Row],[Currency]])</f>
        <v>2025-08NGN</v>
      </c>
      <c r="P513" s="25">
        <f>_xlfn.XLOOKUP(tbl_Ledger[[#This Row],[Key]], tbl_FX[Key], tbl_FX[Rate_to_NGN])</f>
        <v>1</v>
      </c>
      <c r="Q513" s="37">
        <f>IF(tbl_Ledger[[#This Row],[Account_Type]]="Expense",-ABS(tbl_Ledger[[#This Row],[Amount]]*tbl_Ledger[[#This Row],[Rate_to_NGN]]),tbl_Ledger[[#This Row],[Amount]]*tbl_Ledger[[#This Row],[Rate_to_NGN]])</f>
        <v>35900</v>
      </c>
      <c r="R513" s="25" t="str">
        <f>_xlfn.XLOOKUP(tbl_Ledger[[#This Row],[Account_Code]], tbl_Accounts[Account_Code], tbl_Accounts[Type])</f>
        <v>Revenue</v>
      </c>
      <c r="S513" s="25" t="str">
        <f>_xlfn.XLOOKUP(tbl_Ledger[[#This Row],[Account_Code]], tbl_Accounts[Account_Code], tbl_Accounts[PL_Bucket])</f>
        <v>Revenue</v>
      </c>
      <c r="T513" s="25">
        <f t="shared" si="7"/>
        <v>35900</v>
      </c>
    </row>
    <row r="514" spans="1:20">
      <c r="A514" t="s">
        <v>1439</v>
      </c>
      <c r="B514" s="7">
        <v>45872</v>
      </c>
      <c r="C514" t="s">
        <v>93</v>
      </c>
      <c r="D514" t="s">
        <v>94</v>
      </c>
      <c r="E514" t="s">
        <v>99</v>
      </c>
      <c r="F514" s="12" t="s">
        <v>24</v>
      </c>
      <c r="G514" t="s">
        <v>25</v>
      </c>
      <c r="H514" t="s">
        <v>1440</v>
      </c>
      <c r="I514" t="s">
        <v>71</v>
      </c>
      <c r="J514" s="6">
        <v>39900</v>
      </c>
      <c r="K514" t="s">
        <v>3</v>
      </c>
      <c r="L514" t="s">
        <v>1441</v>
      </c>
      <c r="M514" t="s">
        <v>3</v>
      </c>
      <c r="N514" s="25" t="str">
        <f>TEXT(tbl_Ledger[[#This Row],[Date]],"yyyy-mm")</f>
        <v>2025-08</v>
      </c>
      <c r="O514" s="25" t="str">
        <f>TEXT(tbl_Ledger[[#This Row],[Date]],"yyyy-mm") &amp; TRIM(tbl_Ledger[[#This Row],[Currency]])</f>
        <v>2025-08NGN</v>
      </c>
      <c r="P514" s="25">
        <f>_xlfn.XLOOKUP(tbl_Ledger[[#This Row],[Key]], tbl_FX[Key], tbl_FX[Rate_to_NGN])</f>
        <v>1</v>
      </c>
      <c r="Q514" s="37">
        <f>IF(tbl_Ledger[[#This Row],[Account_Type]]="Expense",-ABS(tbl_Ledger[[#This Row],[Amount]]*tbl_Ledger[[#This Row],[Rate_to_NGN]]),tbl_Ledger[[#This Row],[Amount]]*tbl_Ledger[[#This Row],[Rate_to_NGN]])</f>
        <v>39900</v>
      </c>
      <c r="R514" s="25" t="str">
        <f>_xlfn.XLOOKUP(tbl_Ledger[[#This Row],[Account_Code]], tbl_Accounts[Account_Code], tbl_Accounts[Type])</f>
        <v>Revenue</v>
      </c>
      <c r="S514" s="25" t="str">
        <f>_xlfn.XLOOKUP(tbl_Ledger[[#This Row],[Account_Code]], tbl_Accounts[Account_Code], tbl_Accounts[PL_Bucket])</f>
        <v>Revenue</v>
      </c>
      <c r="T514" s="25">
        <f t="shared" ref="T514:T577" si="8">IF(AND(S514="Revenue",F514&lt;&gt;4900),ABS(Q514),-ABS(Q514))</f>
        <v>39900</v>
      </c>
    </row>
    <row r="515" spans="1:20">
      <c r="A515" t="s">
        <v>1442</v>
      </c>
      <c r="B515" s="7">
        <v>45872</v>
      </c>
      <c r="C515" t="s">
        <v>93</v>
      </c>
      <c r="D515" t="s">
        <v>94</v>
      </c>
      <c r="E515" t="s">
        <v>103</v>
      </c>
      <c r="F515" s="12" t="s">
        <v>24</v>
      </c>
      <c r="G515" t="s">
        <v>25</v>
      </c>
      <c r="H515" t="s">
        <v>1443</v>
      </c>
      <c r="I515" t="s">
        <v>71</v>
      </c>
      <c r="J515" s="6">
        <v>34800</v>
      </c>
      <c r="K515" t="s">
        <v>3</v>
      </c>
      <c r="L515" t="s">
        <v>1444</v>
      </c>
      <c r="M515" t="s">
        <v>3</v>
      </c>
      <c r="N515" s="25" t="str">
        <f>TEXT(tbl_Ledger[[#This Row],[Date]],"yyyy-mm")</f>
        <v>2025-08</v>
      </c>
      <c r="O515" s="25" t="str">
        <f>TEXT(tbl_Ledger[[#This Row],[Date]],"yyyy-mm") &amp; TRIM(tbl_Ledger[[#This Row],[Currency]])</f>
        <v>2025-08NGN</v>
      </c>
      <c r="P515" s="25">
        <f>_xlfn.XLOOKUP(tbl_Ledger[[#This Row],[Key]], tbl_FX[Key], tbl_FX[Rate_to_NGN])</f>
        <v>1</v>
      </c>
      <c r="Q515" s="37">
        <f>IF(tbl_Ledger[[#This Row],[Account_Type]]="Expense",-ABS(tbl_Ledger[[#This Row],[Amount]]*tbl_Ledger[[#This Row],[Rate_to_NGN]]),tbl_Ledger[[#This Row],[Amount]]*tbl_Ledger[[#This Row],[Rate_to_NGN]])</f>
        <v>34800</v>
      </c>
      <c r="R515" s="25" t="str">
        <f>_xlfn.XLOOKUP(tbl_Ledger[[#This Row],[Account_Code]], tbl_Accounts[Account_Code], tbl_Accounts[Type])</f>
        <v>Revenue</v>
      </c>
      <c r="S515" s="25" t="str">
        <f>_xlfn.XLOOKUP(tbl_Ledger[[#This Row],[Account_Code]], tbl_Accounts[Account_Code], tbl_Accounts[PL_Bucket])</f>
        <v>Revenue</v>
      </c>
      <c r="T515" s="25">
        <f t="shared" si="8"/>
        <v>34800</v>
      </c>
    </row>
    <row r="516" spans="1:20">
      <c r="A516" t="s">
        <v>1445</v>
      </c>
      <c r="B516" s="7">
        <v>45872</v>
      </c>
      <c r="C516" t="s">
        <v>93</v>
      </c>
      <c r="D516" t="s">
        <v>94</v>
      </c>
      <c r="E516" t="s">
        <v>160</v>
      </c>
      <c r="F516" s="12" t="s">
        <v>24</v>
      </c>
      <c r="G516" t="s">
        <v>25</v>
      </c>
      <c r="H516" t="s">
        <v>1446</v>
      </c>
      <c r="I516" t="s">
        <v>71</v>
      </c>
      <c r="J516" s="6">
        <v>37800</v>
      </c>
      <c r="K516" t="s">
        <v>3</v>
      </c>
      <c r="L516" t="s">
        <v>1444</v>
      </c>
      <c r="M516" t="s">
        <v>3</v>
      </c>
      <c r="N516" s="25" t="str">
        <f>TEXT(tbl_Ledger[[#This Row],[Date]],"yyyy-mm")</f>
        <v>2025-08</v>
      </c>
      <c r="O516" s="25" t="str">
        <f>TEXT(tbl_Ledger[[#This Row],[Date]],"yyyy-mm") &amp; TRIM(tbl_Ledger[[#This Row],[Currency]])</f>
        <v>2025-08NGN</v>
      </c>
      <c r="P516" s="25">
        <f>_xlfn.XLOOKUP(tbl_Ledger[[#This Row],[Key]], tbl_FX[Key], tbl_FX[Rate_to_NGN])</f>
        <v>1</v>
      </c>
      <c r="Q516" s="37">
        <f>IF(tbl_Ledger[[#This Row],[Account_Type]]="Expense",-ABS(tbl_Ledger[[#This Row],[Amount]]*tbl_Ledger[[#This Row],[Rate_to_NGN]]),tbl_Ledger[[#This Row],[Amount]]*tbl_Ledger[[#This Row],[Rate_to_NGN]])</f>
        <v>37800</v>
      </c>
      <c r="R516" s="25" t="str">
        <f>_xlfn.XLOOKUP(tbl_Ledger[[#This Row],[Account_Code]], tbl_Accounts[Account_Code], tbl_Accounts[Type])</f>
        <v>Revenue</v>
      </c>
      <c r="S516" s="25" t="str">
        <f>_xlfn.XLOOKUP(tbl_Ledger[[#This Row],[Account_Code]], tbl_Accounts[Account_Code], tbl_Accounts[PL_Bucket])</f>
        <v>Revenue</v>
      </c>
      <c r="T516" s="25">
        <f t="shared" si="8"/>
        <v>37800</v>
      </c>
    </row>
    <row r="517" spans="1:20">
      <c r="A517" t="s">
        <v>1447</v>
      </c>
      <c r="B517" s="7">
        <v>45872</v>
      </c>
      <c r="C517" t="s">
        <v>93</v>
      </c>
      <c r="D517" t="s">
        <v>94</v>
      </c>
      <c r="E517" t="s">
        <v>107</v>
      </c>
      <c r="F517" s="12" t="s">
        <v>24</v>
      </c>
      <c r="G517" t="s">
        <v>25</v>
      </c>
      <c r="H517" t="s">
        <v>1448</v>
      </c>
      <c r="I517" t="s">
        <v>71</v>
      </c>
      <c r="J517" s="6">
        <v>39400</v>
      </c>
      <c r="K517" t="s">
        <v>3</v>
      </c>
      <c r="L517" t="s">
        <v>1449</v>
      </c>
      <c r="M517" t="s">
        <v>3</v>
      </c>
      <c r="N517" s="25" t="str">
        <f>TEXT(tbl_Ledger[[#This Row],[Date]],"yyyy-mm")</f>
        <v>2025-08</v>
      </c>
      <c r="O517" s="25" t="str">
        <f>TEXT(tbl_Ledger[[#This Row],[Date]],"yyyy-mm") &amp; TRIM(tbl_Ledger[[#This Row],[Currency]])</f>
        <v>2025-08NGN</v>
      </c>
      <c r="P517" s="25">
        <f>_xlfn.XLOOKUP(tbl_Ledger[[#This Row],[Key]], tbl_FX[Key], tbl_FX[Rate_to_NGN])</f>
        <v>1</v>
      </c>
      <c r="Q517" s="37">
        <f>IF(tbl_Ledger[[#This Row],[Account_Type]]="Expense",-ABS(tbl_Ledger[[#This Row],[Amount]]*tbl_Ledger[[#This Row],[Rate_to_NGN]]),tbl_Ledger[[#This Row],[Amount]]*tbl_Ledger[[#This Row],[Rate_to_NGN]])</f>
        <v>39400</v>
      </c>
      <c r="R517" s="25" t="str">
        <f>_xlfn.XLOOKUP(tbl_Ledger[[#This Row],[Account_Code]], tbl_Accounts[Account_Code], tbl_Accounts[Type])</f>
        <v>Revenue</v>
      </c>
      <c r="S517" s="25" t="str">
        <f>_xlfn.XLOOKUP(tbl_Ledger[[#This Row],[Account_Code]], tbl_Accounts[Account_Code], tbl_Accounts[PL_Bucket])</f>
        <v>Revenue</v>
      </c>
      <c r="T517" s="25">
        <f t="shared" si="8"/>
        <v>39400</v>
      </c>
    </row>
    <row r="518" spans="1:20">
      <c r="A518" t="s">
        <v>1450</v>
      </c>
      <c r="B518" s="7">
        <v>45872</v>
      </c>
      <c r="C518" t="s">
        <v>93</v>
      </c>
      <c r="D518" t="s">
        <v>111</v>
      </c>
      <c r="E518" t="s">
        <v>116</v>
      </c>
      <c r="F518" s="12" t="s">
        <v>24</v>
      </c>
      <c r="G518" t="s">
        <v>25</v>
      </c>
      <c r="H518" t="s">
        <v>1451</v>
      </c>
      <c r="I518" t="s">
        <v>71</v>
      </c>
      <c r="J518" s="6">
        <v>62700</v>
      </c>
      <c r="K518" t="s">
        <v>3</v>
      </c>
      <c r="L518" t="s">
        <v>1452</v>
      </c>
      <c r="M518" t="s">
        <v>3</v>
      </c>
      <c r="N518" s="25" t="str">
        <f>TEXT(tbl_Ledger[[#This Row],[Date]],"yyyy-mm")</f>
        <v>2025-08</v>
      </c>
      <c r="O518" s="25" t="str">
        <f>TEXT(tbl_Ledger[[#This Row],[Date]],"yyyy-mm") &amp; TRIM(tbl_Ledger[[#This Row],[Currency]])</f>
        <v>2025-08NGN</v>
      </c>
      <c r="P518" s="25">
        <f>_xlfn.XLOOKUP(tbl_Ledger[[#This Row],[Key]], tbl_FX[Key], tbl_FX[Rate_to_NGN])</f>
        <v>1</v>
      </c>
      <c r="Q518" s="37">
        <f>IF(tbl_Ledger[[#This Row],[Account_Type]]="Expense",-ABS(tbl_Ledger[[#This Row],[Amount]]*tbl_Ledger[[#This Row],[Rate_to_NGN]]),tbl_Ledger[[#This Row],[Amount]]*tbl_Ledger[[#This Row],[Rate_to_NGN]])</f>
        <v>62700</v>
      </c>
      <c r="R518" s="25" t="str">
        <f>_xlfn.XLOOKUP(tbl_Ledger[[#This Row],[Account_Code]], tbl_Accounts[Account_Code], tbl_Accounts[Type])</f>
        <v>Revenue</v>
      </c>
      <c r="S518" s="25" t="str">
        <f>_xlfn.XLOOKUP(tbl_Ledger[[#This Row],[Account_Code]], tbl_Accounts[Account_Code], tbl_Accounts[PL_Bucket])</f>
        <v>Revenue</v>
      </c>
      <c r="T518" s="25">
        <f t="shared" si="8"/>
        <v>62700</v>
      </c>
    </row>
    <row r="519" spans="1:20">
      <c r="A519" t="s">
        <v>1453</v>
      </c>
      <c r="B519" s="7">
        <v>45872</v>
      </c>
      <c r="C519" t="s">
        <v>93</v>
      </c>
      <c r="D519" t="s">
        <v>111</v>
      </c>
      <c r="E519" t="s">
        <v>119</v>
      </c>
      <c r="F519" s="12" t="s">
        <v>24</v>
      </c>
      <c r="G519" t="s">
        <v>25</v>
      </c>
      <c r="H519" t="s">
        <v>1454</v>
      </c>
      <c r="I519" t="s">
        <v>71</v>
      </c>
      <c r="J519" s="6">
        <v>62000</v>
      </c>
      <c r="K519" t="s">
        <v>3</v>
      </c>
      <c r="L519" t="s">
        <v>1452</v>
      </c>
      <c r="M519" t="s">
        <v>3</v>
      </c>
      <c r="N519" s="25" t="str">
        <f>TEXT(tbl_Ledger[[#This Row],[Date]],"yyyy-mm")</f>
        <v>2025-08</v>
      </c>
      <c r="O519" s="25" t="str">
        <f>TEXT(tbl_Ledger[[#This Row],[Date]],"yyyy-mm") &amp; TRIM(tbl_Ledger[[#This Row],[Currency]])</f>
        <v>2025-08NGN</v>
      </c>
      <c r="P519" s="25">
        <f>_xlfn.XLOOKUP(tbl_Ledger[[#This Row],[Key]], tbl_FX[Key], tbl_FX[Rate_to_NGN])</f>
        <v>1</v>
      </c>
      <c r="Q519" s="37">
        <f>IF(tbl_Ledger[[#This Row],[Account_Type]]="Expense",-ABS(tbl_Ledger[[#This Row],[Amount]]*tbl_Ledger[[#This Row],[Rate_to_NGN]]),tbl_Ledger[[#This Row],[Amount]]*tbl_Ledger[[#This Row],[Rate_to_NGN]])</f>
        <v>62000</v>
      </c>
      <c r="R519" s="25" t="str">
        <f>_xlfn.XLOOKUP(tbl_Ledger[[#This Row],[Account_Code]], tbl_Accounts[Account_Code], tbl_Accounts[Type])</f>
        <v>Revenue</v>
      </c>
      <c r="S519" s="25" t="str">
        <f>_xlfn.XLOOKUP(tbl_Ledger[[#This Row],[Account_Code]], tbl_Accounts[Account_Code], tbl_Accounts[PL_Bucket])</f>
        <v>Revenue</v>
      </c>
      <c r="T519" s="25">
        <f t="shared" si="8"/>
        <v>62000</v>
      </c>
    </row>
    <row r="520" spans="1:20">
      <c r="A520" t="s">
        <v>1455</v>
      </c>
      <c r="B520" s="7">
        <v>45872</v>
      </c>
      <c r="C520" t="s">
        <v>93</v>
      </c>
      <c r="D520" t="s">
        <v>111</v>
      </c>
      <c r="E520" t="s">
        <v>170</v>
      </c>
      <c r="F520" s="12" t="s">
        <v>24</v>
      </c>
      <c r="G520" t="s">
        <v>25</v>
      </c>
      <c r="H520" t="s">
        <v>1456</v>
      </c>
      <c r="I520" t="s">
        <v>71</v>
      </c>
      <c r="J520" s="6">
        <v>64800</v>
      </c>
      <c r="K520" t="s">
        <v>3</v>
      </c>
      <c r="L520" t="s">
        <v>1452</v>
      </c>
      <c r="M520" t="s">
        <v>3</v>
      </c>
      <c r="N520" s="25" t="str">
        <f>TEXT(tbl_Ledger[[#This Row],[Date]],"yyyy-mm")</f>
        <v>2025-08</v>
      </c>
      <c r="O520" s="25" t="str">
        <f>TEXT(tbl_Ledger[[#This Row],[Date]],"yyyy-mm") &amp; TRIM(tbl_Ledger[[#This Row],[Currency]])</f>
        <v>2025-08NGN</v>
      </c>
      <c r="P520" s="25">
        <f>_xlfn.XLOOKUP(tbl_Ledger[[#This Row],[Key]], tbl_FX[Key], tbl_FX[Rate_to_NGN])</f>
        <v>1</v>
      </c>
      <c r="Q520" s="37">
        <f>IF(tbl_Ledger[[#This Row],[Account_Type]]="Expense",-ABS(tbl_Ledger[[#This Row],[Amount]]*tbl_Ledger[[#This Row],[Rate_to_NGN]]),tbl_Ledger[[#This Row],[Amount]]*tbl_Ledger[[#This Row],[Rate_to_NGN]])</f>
        <v>64800</v>
      </c>
      <c r="R520" s="25" t="str">
        <f>_xlfn.XLOOKUP(tbl_Ledger[[#This Row],[Account_Code]], tbl_Accounts[Account_Code], tbl_Accounts[Type])</f>
        <v>Revenue</v>
      </c>
      <c r="S520" s="25" t="str">
        <f>_xlfn.XLOOKUP(tbl_Ledger[[#This Row],[Account_Code]], tbl_Accounts[Account_Code], tbl_Accounts[PL_Bucket])</f>
        <v>Revenue</v>
      </c>
      <c r="T520" s="25">
        <f t="shared" si="8"/>
        <v>64800</v>
      </c>
    </row>
    <row r="521" spans="1:20">
      <c r="A521" t="s">
        <v>1457</v>
      </c>
      <c r="B521" s="7">
        <v>45872</v>
      </c>
      <c r="C521" t="s">
        <v>93</v>
      </c>
      <c r="D521" t="s">
        <v>111</v>
      </c>
      <c r="E521" t="s">
        <v>122</v>
      </c>
      <c r="F521" s="12" t="s">
        <v>24</v>
      </c>
      <c r="G521" t="s">
        <v>25</v>
      </c>
      <c r="H521" t="s">
        <v>1458</v>
      </c>
      <c r="I521" t="s">
        <v>71</v>
      </c>
      <c r="J521" s="6">
        <v>61100</v>
      </c>
      <c r="K521" t="s">
        <v>3</v>
      </c>
      <c r="L521" t="s">
        <v>1459</v>
      </c>
      <c r="M521" t="s">
        <v>3</v>
      </c>
      <c r="N521" s="25" t="str">
        <f>TEXT(tbl_Ledger[[#This Row],[Date]],"yyyy-mm")</f>
        <v>2025-08</v>
      </c>
      <c r="O521" s="25" t="str">
        <f>TEXT(tbl_Ledger[[#This Row],[Date]],"yyyy-mm") &amp; TRIM(tbl_Ledger[[#This Row],[Currency]])</f>
        <v>2025-08NGN</v>
      </c>
      <c r="P521" s="25">
        <f>_xlfn.XLOOKUP(tbl_Ledger[[#This Row],[Key]], tbl_FX[Key], tbl_FX[Rate_to_NGN])</f>
        <v>1</v>
      </c>
      <c r="Q521" s="37">
        <f>IF(tbl_Ledger[[#This Row],[Account_Type]]="Expense",-ABS(tbl_Ledger[[#This Row],[Amount]]*tbl_Ledger[[#This Row],[Rate_to_NGN]]),tbl_Ledger[[#This Row],[Amount]]*tbl_Ledger[[#This Row],[Rate_to_NGN]])</f>
        <v>61100</v>
      </c>
      <c r="R521" s="25" t="str">
        <f>_xlfn.XLOOKUP(tbl_Ledger[[#This Row],[Account_Code]], tbl_Accounts[Account_Code], tbl_Accounts[Type])</f>
        <v>Revenue</v>
      </c>
      <c r="S521" s="25" t="str">
        <f>_xlfn.XLOOKUP(tbl_Ledger[[#This Row],[Account_Code]], tbl_Accounts[Account_Code], tbl_Accounts[PL_Bucket])</f>
        <v>Revenue</v>
      </c>
      <c r="T521" s="25">
        <f t="shared" si="8"/>
        <v>61100</v>
      </c>
    </row>
    <row r="522" spans="1:20">
      <c r="A522" t="s">
        <v>1460</v>
      </c>
      <c r="B522" s="7">
        <v>45872</v>
      </c>
      <c r="C522" t="s">
        <v>126</v>
      </c>
      <c r="D522" t="s">
        <v>88</v>
      </c>
      <c r="E522" t="s">
        <v>127</v>
      </c>
      <c r="F522" s="12" t="s">
        <v>29</v>
      </c>
      <c r="G522" t="s">
        <v>30</v>
      </c>
      <c r="H522" t="s">
        <v>1461</v>
      </c>
      <c r="I522" t="s">
        <v>72</v>
      </c>
      <c r="J522" s="6">
        <v>33.08</v>
      </c>
      <c r="K522" t="s">
        <v>129</v>
      </c>
      <c r="L522" t="s">
        <v>1462</v>
      </c>
      <c r="M522" t="s">
        <v>3</v>
      </c>
      <c r="N522" s="25" t="str">
        <f>TEXT(tbl_Ledger[[#This Row],[Date]],"yyyy-mm")</f>
        <v>2025-08</v>
      </c>
      <c r="O522" s="25" t="str">
        <f>TEXT(tbl_Ledger[[#This Row],[Date]],"yyyy-mm") &amp; TRIM(tbl_Ledger[[#This Row],[Currency]])</f>
        <v>2025-08USD</v>
      </c>
      <c r="P522" s="25">
        <f>_xlfn.XLOOKUP(tbl_Ledger[[#This Row],[Key]], tbl_FX[Key], tbl_FX[Rate_to_NGN])</f>
        <v>1572</v>
      </c>
      <c r="Q522" s="37">
        <f>IF(tbl_Ledger[[#This Row],[Account_Type]]="Expense",-ABS(tbl_Ledger[[#This Row],[Amount]]*tbl_Ledger[[#This Row],[Rate_to_NGN]]),tbl_Ledger[[#This Row],[Amount]]*tbl_Ledger[[#This Row],[Rate_to_NGN]])</f>
        <v>52001.759999999995</v>
      </c>
      <c r="R522" s="25" t="str">
        <f>_xlfn.XLOOKUP(tbl_Ledger[[#This Row],[Account_Code]], tbl_Accounts[Account_Code], tbl_Accounts[Type])</f>
        <v>Revenue</v>
      </c>
      <c r="S522" s="25" t="str">
        <f>_xlfn.XLOOKUP(tbl_Ledger[[#This Row],[Account_Code]], tbl_Accounts[Account_Code], tbl_Accounts[PL_Bucket])</f>
        <v>Revenue</v>
      </c>
      <c r="T522" s="25">
        <f t="shared" si="8"/>
        <v>52001.759999999995</v>
      </c>
    </row>
    <row r="523" spans="1:20">
      <c r="A523" t="s">
        <v>1463</v>
      </c>
      <c r="B523" s="7">
        <v>45872</v>
      </c>
      <c r="C523" t="s">
        <v>126</v>
      </c>
      <c r="D523" t="s">
        <v>88</v>
      </c>
      <c r="E523" t="s">
        <v>132</v>
      </c>
      <c r="F523" s="12" t="s">
        <v>29</v>
      </c>
      <c r="G523" t="s">
        <v>30</v>
      </c>
      <c r="H523" t="s">
        <v>1464</v>
      </c>
      <c r="I523" t="s">
        <v>71</v>
      </c>
      <c r="J523" s="6">
        <v>52700</v>
      </c>
      <c r="K523" t="s">
        <v>134</v>
      </c>
      <c r="L523" t="s">
        <v>1462</v>
      </c>
      <c r="M523" t="s">
        <v>3</v>
      </c>
      <c r="N523" s="25" t="str">
        <f>TEXT(tbl_Ledger[[#This Row],[Date]],"yyyy-mm")</f>
        <v>2025-08</v>
      </c>
      <c r="O523" s="25" t="str">
        <f>TEXT(tbl_Ledger[[#This Row],[Date]],"yyyy-mm") &amp; TRIM(tbl_Ledger[[#This Row],[Currency]])</f>
        <v>2025-08NGN</v>
      </c>
      <c r="P523" s="25">
        <f>_xlfn.XLOOKUP(tbl_Ledger[[#This Row],[Key]], tbl_FX[Key], tbl_FX[Rate_to_NGN])</f>
        <v>1</v>
      </c>
      <c r="Q523" s="37">
        <f>IF(tbl_Ledger[[#This Row],[Account_Type]]="Expense",-ABS(tbl_Ledger[[#This Row],[Amount]]*tbl_Ledger[[#This Row],[Rate_to_NGN]]),tbl_Ledger[[#This Row],[Amount]]*tbl_Ledger[[#This Row],[Rate_to_NGN]])</f>
        <v>52700</v>
      </c>
      <c r="R523" s="25" t="str">
        <f>_xlfn.XLOOKUP(tbl_Ledger[[#This Row],[Account_Code]], tbl_Accounts[Account_Code], tbl_Accounts[Type])</f>
        <v>Revenue</v>
      </c>
      <c r="S523" s="25" t="str">
        <f>_xlfn.XLOOKUP(tbl_Ledger[[#This Row],[Account_Code]], tbl_Accounts[Account_Code], tbl_Accounts[PL_Bucket])</f>
        <v>Revenue</v>
      </c>
      <c r="T523" s="25">
        <f t="shared" si="8"/>
        <v>52700</v>
      </c>
    </row>
    <row r="524" spans="1:20">
      <c r="A524" t="s">
        <v>1465</v>
      </c>
      <c r="B524" s="7">
        <v>45872</v>
      </c>
      <c r="C524" t="s">
        <v>126</v>
      </c>
      <c r="D524" t="s">
        <v>88</v>
      </c>
      <c r="E524" t="s">
        <v>136</v>
      </c>
      <c r="F524" s="12" t="s">
        <v>29</v>
      </c>
      <c r="G524" t="s">
        <v>30</v>
      </c>
      <c r="H524" t="s">
        <v>1466</v>
      </c>
      <c r="I524" t="s">
        <v>72</v>
      </c>
      <c r="J524" s="6">
        <v>28.31</v>
      </c>
      <c r="K524" t="s">
        <v>138</v>
      </c>
      <c r="L524" t="s">
        <v>1462</v>
      </c>
      <c r="M524" t="s">
        <v>3</v>
      </c>
      <c r="N524" s="25" t="str">
        <f>TEXT(tbl_Ledger[[#This Row],[Date]],"yyyy-mm")</f>
        <v>2025-08</v>
      </c>
      <c r="O524" s="25" t="str">
        <f>TEXT(tbl_Ledger[[#This Row],[Date]],"yyyy-mm") &amp; TRIM(tbl_Ledger[[#This Row],[Currency]])</f>
        <v>2025-08USD</v>
      </c>
      <c r="P524" s="25">
        <f>_xlfn.XLOOKUP(tbl_Ledger[[#This Row],[Key]], tbl_FX[Key], tbl_FX[Rate_to_NGN])</f>
        <v>1572</v>
      </c>
      <c r="Q524" s="37">
        <f>IF(tbl_Ledger[[#This Row],[Account_Type]]="Expense",-ABS(tbl_Ledger[[#This Row],[Amount]]*tbl_Ledger[[#This Row],[Rate_to_NGN]]),tbl_Ledger[[#This Row],[Amount]]*tbl_Ledger[[#This Row],[Rate_to_NGN]])</f>
        <v>44503.32</v>
      </c>
      <c r="R524" s="25" t="str">
        <f>_xlfn.XLOOKUP(tbl_Ledger[[#This Row],[Account_Code]], tbl_Accounts[Account_Code], tbl_Accounts[Type])</f>
        <v>Revenue</v>
      </c>
      <c r="S524" s="25" t="str">
        <f>_xlfn.XLOOKUP(tbl_Ledger[[#This Row],[Account_Code]], tbl_Accounts[Account_Code], tbl_Accounts[PL_Bucket])</f>
        <v>Revenue</v>
      </c>
      <c r="T524" s="25">
        <f t="shared" si="8"/>
        <v>44503.32</v>
      </c>
    </row>
    <row r="525" spans="1:20">
      <c r="A525" t="s">
        <v>1467</v>
      </c>
      <c r="B525" s="7">
        <v>45872</v>
      </c>
      <c r="C525" t="s">
        <v>126</v>
      </c>
      <c r="D525" t="s">
        <v>88</v>
      </c>
      <c r="E525" t="s">
        <v>140</v>
      </c>
      <c r="F525" s="12" t="s">
        <v>29</v>
      </c>
      <c r="G525" t="s">
        <v>30</v>
      </c>
      <c r="H525" t="s">
        <v>1468</v>
      </c>
      <c r="I525" t="s">
        <v>71</v>
      </c>
      <c r="J525" s="6">
        <v>47100</v>
      </c>
      <c r="K525" t="s">
        <v>3</v>
      </c>
      <c r="L525" t="s">
        <v>1469</v>
      </c>
      <c r="M525" t="s">
        <v>3</v>
      </c>
      <c r="N525" s="25" t="str">
        <f>TEXT(tbl_Ledger[[#This Row],[Date]],"yyyy-mm")</f>
        <v>2025-08</v>
      </c>
      <c r="O525" s="25" t="str">
        <f>TEXT(tbl_Ledger[[#This Row],[Date]],"yyyy-mm") &amp; TRIM(tbl_Ledger[[#This Row],[Currency]])</f>
        <v>2025-08NGN</v>
      </c>
      <c r="P525" s="25">
        <f>_xlfn.XLOOKUP(tbl_Ledger[[#This Row],[Key]], tbl_FX[Key], tbl_FX[Rate_to_NGN])</f>
        <v>1</v>
      </c>
      <c r="Q525" s="37">
        <f>IF(tbl_Ledger[[#This Row],[Account_Type]]="Expense",-ABS(tbl_Ledger[[#This Row],[Amount]]*tbl_Ledger[[#This Row],[Rate_to_NGN]]),tbl_Ledger[[#This Row],[Amount]]*tbl_Ledger[[#This Row],[Rate_to_NGN]])</f>
        <v>47100</v>
      </c>
      <c r="R525" s="25" t="str">
        <f>_xlfn.XLOOKUP(tbl_Ledger[[#This Row],[Account_Code]], tbl_Accounts[Account_Code], tbl_Accounts[Type])</f>
        <v>Revenue</v>
      </c>
      <c r="S525" s="25" t="str">
        <f>_xlfn.XLOOKUP(tbl_Ledger[[#This Row],[Account_Code]], tbl_Accounts[Account_Code], tbl_Accounts[PL_Bucket])</f>
        <v>Revenue</v>
      </c>
      <c r="T525" s="25">
        <f t="shared" si="8"/>
        <v>47100</v>
      </c>
    </row>
    <row r="526" spans="1:20">
      <c r="A526" t="s">
        <v>1470</v>
      </c>
      <c r="B526" s="7">
        <v>45872</v>
      </c>
      <c r="C526" t="s">
        <v>87</v>
      </c>
      <c r="D526" t="s">
        <v>88</v>
      </c>
      <c r="E526" t="s">
        <v>3</v>
      </c>
      <c r="F526" s="12" t="s">
        <v>40</v>
      </c>
      <c r="G526" t="s">
        <v>41</v>
      </c>
      <c r="H526" t="s">
        <v>1471</v>
      </c>
      <c r="I526" t="s">
        <v>71</v>
      </c>
      <c r="J526" s="6">
        <v>-192000</v>
      </c>
      <c r="K526" t="s">
        <v>280</v>
      </c>
      <c r="L526" t="s">
        <v>1472</v>
      </c>
      <c r="M526" t="s">
        <v>3</v>
      </c>
      <c r="N526" s="25" t="str">
        <f>TEXT(tbl_Ledger[[#This Row],[Date]],"yyyy-mm")</f>
        <v>2025-08</v>
      </c>
      <c r="O526" s="25" t="str">
        <f>TEXT(tbl_Ledger[[#This Row],[Date]],"yyyy-mm") &amp; TRIM(tbl_Ledger[[#This Row],[Currency]])</f>
        <v>2025-08NGN</v>
      </c>
      <c r="P526" s="25">
        <f>_xlfn.XLOOKUP(tbl_Ledger[[#This Row],[Key]], tbl_FX[Key], tbl_FX[Rate_to_NGN])</f>
        <v>1</v>
      </c>
      <c r="Q526" s="37">
        <f>IF(tbl_Ledger[[#This Row],[Account_Type]]="Expense",-ABS(tbl_Ledger[[#This Row],[Amount]]*tbl_Ledger[[#This Row],[Rate_to_NGN]]),tbl_Ledger[[#This Row],[Amount]]*tbl_Ledger[[#This Row],[Rate_to_NGN]])</f>
        <v>-192000</v>
      </c>
      <c r="R526" s="25" t="str">
        <f>_xlfn.XLOOKUP(tbl_Ledger[[#This Row],[Account_Code]], tbl_Accounts[Account_Code], tbl_Accounts[Type])</f>
        <v>COGS</v>
      </c>
      <c r="S526" s="25" t="str">
        <f>_xlfn.XLOOKUP(tbl_Ledger[[#This Row],[Account_Code]], tbl_Accounts[Account_Code], tbl_Accounts[PL_Bucket])</f>
        <v>COGS</v>
      </c>
      <c r="T526" s="25">
        <f t="shared" si="8"/>
        <v>-192000</v>
      </c>
    </row>
    <row r="527" spans="1:20">
      <c r="A527" t="s">
        <v>1473</v>
      </c>
      <c r="B527" s="7">
        <v>45873</v>
      </c>
      <c r="C527" t="s">
        <v>93</v>
      </c>
      <c r="D527" t="s">
        <v>94</v>
      </c>
      <c r="E527" t="s">
        <v>95</v>
      </c>
      <c r="F527" s="12" t="s">
        <v>24</v>
      </c>
      <c r="G527" t="s">
        <v>25</v>
      </c>
      <c r="H527" t="s">
        <v>1474</v>
      </c>
      <c r="I527" t="s">
        <v>71</v>
      </c>
      <c r="J527" s="6">
        <v>29700</v>
      </c>
      <c r="K527" t="s">
        <v>3</v>
      </c>
      <c r="L527" t="s">
        <v>1475</v>
      </c>
      <c r="M527" t="s">
        <v>3</v>
      </c>
      <c r="N527" s="25" t="str">
        <f>TEXT(tbl_Ledger[[#This Row],[Date]],"yyyy-mm")</f>
        <v>2025-08</v>
      </c>
      <c r="O527" s="25" t="str">
        <f>TEXT(tbl_Ledger[[#This Row],[Date]],"yyyy-mm") &amp; TRIM(tbl_Ledger[[#This Row],[Currency]])</f>
        <v>2025-08NGN</v>
      </c>
      <c r="P527" s="25">
        <f>_xlfn.XLOOKUP(tbl_Ledger[[#This Row],[Key]], tbl_FX[Key], tbl_FX[Rate_to_NGN])</f>
        <v>1</v>
      </c>
      <c r="Q527" s="37">
        <f>IF(tbl_Ledger[[#This Row],[Account_Type]]="Expense",-ABS(tbl_Ledger[[#This Row],[Amount]]*tbl_Ledger[[#This Row],[Rate_to_NGN]]),tbl_Ledger[[#This Row],[Amount]]*tbl_Ledger[[#This Row],[Rate_to_NGN]])</f>
        <v>29700</v>
      </c>
      <c r="R527" s="25" t="str">
        <f>_xlfn.XLOOKUP(tbl_Ledger[[#This Row],[Account_Code]], tbl_Accounts[Account_Code], tbl_Accounts[Type])</f>
        <v>Revenue</v>
      </c>
      <c r="S527" s="25" t="str">
        <f>_xlfn.XLOOKUP(tbl_Ledger[[#This Row],[Account_Code]], tbl_Accounts[Account_Code], tbl_Accounts[PL_Bucket])</f>
        <v>Revenue</v>
      </c>
      <c r="T527" s="25">
        <f t="shared" si="8"/>
        <v>29700</v>
      </c>
    </row>
    <row r="528" spans="1:20">
      <c r="A528" t="s">
        <v>1476</v>
      </c>
      <c r="B528" s="7">
        <v>45873</v>
      </c>
      <c r="C528" t="s">
        <v>93</v>
      </c>
      <c r="D528" t="s">
        <v>94</v>
      </c>
      <c r="E528" t="s">
        <v>99</v>
      </c>
      <c r="F528" s="12" t="s">
        <v>24</v>
      </c>
      <c r="G528" t="s">
        <v>25</v>
      </c>
      <c r="H528" t="s">
        <v>1477</v>
      </c>
      <c r="I528" t="s">
        <v>71</v>
      </c>
      <c r="J528" s="6">
        <v>32100</v>
      </c>
      <c r="K528" t="s">
        <v>3</v>
      </c>
      <c r="L528" t="s">
        <v>1478</v>
      </c>
      <c r="M528" t="s">
        <v>3</v>
      </c>
      <c r="N528" s="25" t="str">
        <f>TEXT(tbl_Ledger[[#This Row],[Date]],"yyyy-mm")</f>
        <v>2025-08</v>
      </c>
      <c r="O528" s="25" t="str">
        <f>TEXT(tbl_Ledger[[#This Row],[Date]],"yyyy-mm") &amp; TRIM(tbl_Ledger[[#This Row],[Currency]])</f>
        <v>2025-08NGN</v>
      </c>
      <c r="P528" s="25">
        <f>_xlfn.XLOOKUP(tbl_Ledger[[#This Row],[Key]], tbl_FX[Key], tbl_FX[Rate_to_NGN])</f>
        <v>1</v>
      </c>
      <c r="Q528" s="37">
        <f>IF(tbl_Ledger[[#This Row],[Account_Type]]="Expense",-ABS(tbl_Ledger[[#This Row],[Amount]]*tbl_Ledger[[#This Row],[Rate_to_NGN]]),tbl_Ledger[[#This Row],[Amount]]*tbl_Ledger[[#This Row],[Rate_to_NGN]])</f>
        <v>32100</v>
      </c>
      <c r="R528" s="25" t="str">
        <f>_xlfn.XLOOKUP(tbl_Ledger[[#This Row],[Account_Code]], tbl_Accounts[Account_Code], tbl_Accounts[Type])</f>
        <v>Revenue</v>
      </c>
      <c r="S528" s="25" t="str">
        <f>_xlfn.XLOOKUP(tbl_Ledger[[#This Row],[Account_Code]], tbl_Accounts[Account_Code], tbl_Accounts[PL_Bucket])</f>
        <v>Revenue</v>
      </c>
      <c r="T528" s="25">
        <f t="shared" si="8"/>
        <v>32100</v>
      </c>
    </row>
    <row r="529" spans="1:20">
      <c r="A529" t="s">
        <v>1479</v>
      </c>
      <c r="B529" s="7">
        <v>45873</v>
      </c>
      <c r="C529" t="s">
        <v>93</v>
      </c>
      <c r="D529" t="s">
        <v>94</v>
      </c>
      <c r="E529" t="s">
        <v>103</v>
      </c>
      <c r="F529" s="12" t="s">
        <v>24</v>
      </c>
      <c r="G529" t="s">
        <v>25</v>
      </c>
      <c r="H529" t="s">
        <v>1480</v>
      </c>
      <c r="I529" t="s">
        <v>71</v>
      </c>
      <c r="J529" s="6">
        <v>27700</v>
      </c>
      <c r="K529" t="s">
        <v>3</v>
      </c>
      <c r="L529" t="s">
        <v>1481</v>
      </c>
      <c r="M529" t="s">
        <v>3</v>
      </c>
      <c r="N529" s="25" t="str">
        <f>TEXT(tbl_Ledger[[#This Row],[Date]],"yyyy-mm")</f>
        <v>2025-08</v>
      </c>
      <c r="O529" s="25" t="str">
        <f>TEXT(tbl_Ledger[[#This Row],[Date]],"yyyy-mm") &amp; TRIM(tbl_Ledger[[#This Row],[Currency]])</f>
        <v>2025-08NGN</v>
      </c>
      <c r="P529" s="25">
        <f>_xlfn.XLOOKUP(tbl_Ledger[[#This Row],[Key]], tbl_FX[Key], tbl_FX[Rate_to_NGN])</f>
        <v>1</v>
      </c>
      <c r="Q529" s="37">
        <f>IF(tbl_Ledger[[#This Row],[Account_Type]]="Expense",-ABS(tbl_Ledger[[#This Row],[Amount]]*tbl_Ledger[[#This Row],[Rate_to_NGN]]),tbl_Ledger[[#This Row],[Amount]]*tbl_Ledger[[#This Row],[Rate_to_NGN]])</f>
        <v>27700</v>
      </c>
      <c r="R529" s="25" t="str">
        <f>_xlfn.XLOOKUP(tbl_Ledger[[#This Row],[Account_Code]], tbl_Accounts[Account_Code], tbl_Accounts[Type])</f>
        <v>Revenue</v>
      </c>
      <c r="S529" s="25" t="str">
        <f>_xlfn.XLOOKUP(tbl_Ledger[[#This Row],[Account_Code]], tbl_Accounts[Account_Code], tbl_Accounts[PL_Bucket])</f>
        <v>Revenue</v>
      </c>
      <c r="T529" s="25">
        <f t="shared" si="8"/>
        <v>27700</v>
      </c>
    </row>
    <row r="530" spans="1:20">
      <c r="A530" t="s">
        <v>1482</v>
      </c>
      <c r="B530" s="7">
        <v>45873</v>
      </c>
      <c r="C530" t="s">
        <v>93</v>
      </c>
      <c r="D530" t="s">
        <v>94</v>
      </c>
      <c r="E530" t="s">
        <v>160</v>
      </c>
      <c r="F530" s="12" t="s">
        <v>24</v>
      </c>
      <c r="G530" t="s">
        <v>25</v>
      </c>
      <c r="H530" t="s">
        <v>1483</v>
      </c>
      <c r="I530" t="s">
        <v>71</v>
      </c>
      <c r="J530" s="6">
        <v>31900</v>
      </c>
      <c r="K530" t="s">
        <v>3</v>
      </c>
      <c r="L530" t="s">
        <v>1481</v>
      </c>
      <c r="M530" t="s">
        <v>3</v>
      </c>
      <c r="N530" s="25" t="str">
        <f>TEXT(tbl_Ledger[[#This Row],[Date]],"yyyy-mm")</f>
        <v>2025-08</v>
      </c>
      <c r="O530" s="25" t="str">
        <f>TEXT(tbl_Ledger[[#This Row],[Date]],"yyyy-mm") &amp; TRIM(tbl_Ledger[[#This Row],[Currency]])</f>
        <v>2025-08NGN</v>
      </c>
      <c r="P530" s="25">
        <f>_xlfn.XLOOKUP(tbl_Ledger[[#This Row],[Key]], tbl_FX[Key], tbl_FX[Rate_to_NGN])</f>
        <v>1</v>
      </c>
      <c r="Q530" s="37">
        <f>IF(tbl_Ledger[[#This Row],[Account_Type]]="Expense",-ABS(tbl_Ledger[[#This Row],[Amount]]*tbl_Ledger[[#This Row],[Rate_to_NGN]]),tbl_Ledger[[#This Row],[Amount]]*tbl_Ledger[[#This Row],[Rate_to_NGN]])</f>
        <v>31900</v>
      </c>
      <c r="R530" s="25" t="str">
        <f>_xlfn.XLOOKUP(tbl_Ledger[[#This Row],[Account_Code]], tbl_Accounts[Account_Code], tbl_Accounts[Type])</f>
        <v>Revenue</v>
      </c>
      <c r="S530" s="25" t="str">
        <f>_xlfn.XLOOKUP(tbl_Ledger[[#This Row],[Account_Code]], tbl_Accounts[Account_Code], tbl_Accounts[PL_Bucket])</f>
        <v>Revenue</v>
      </c>
      <c r="T530" s="25">
        <f t="shared" si="8"/>
        <v>31900</v>
      </c>
    </row>
    <row r="531" spans="1:20">
      <c r="A531" t="s">
        <v>1484</v>
      </c>
      <c r="B531" s="7">
        <v>45873</v>
      </c>
      <c r="C531" t="s">
        <v>93</v>
      </c>
      <c r="D531" t="s">
        <v>94</v>
      </c>
      <c r="E531" t="s">
        <v>107</v>
      </c>
      <c r="F531" s="12" t="s">
        <v>24</v>
      </c>
      <c r="G531" t="s">
        <v>25</v>
      </c>
      <c r="H531" t="s">
        <v>1485</v>
      </c>
      <c r="I531" t="s">
        <v>71</v>
      </c>
      <c r="J531" s="6">
        <v>31700</v>
      </c>
      <c r="K531" t="s">
        <v>3</v>
      </c>
      <c r="L531" t="s">
        <v>1486</v>
      </c>
      <c r="M531" t="s">
        <v>3</v>
      </c>
      <c r="N531" s="25" t="str">
        <f>TEXT(tbl_Ledger[[#This Row],[Date]],"yyyy-mm")</f>
        <v>2025-08</v>
      </c>
      <c r="O531" s="25" t="str">
        <f>TEXT(tbl_Ledger[[#This Row],[Date]],"yyyy-mm") &amp; TRIM(tbl_Ledger[[#This Row],[Currency]])</f>
        <v>2025-08NGN</v>
      </c>
      <c r="P531" s="25">
        <f>_xlfn.XLOOKUP(tbl_Ledger[[#This Row],[Key]], tbl_FX[Key], tbl_FX[Rate_to_NGN])</f>
        <v>1</v>
      </c>
      <c r="Q531" s="37">
        <f>IF(tbl_Ledger[[#This Row],[Account_Type]]="Expense",-ABS(tbl_Ledger[[#This Row],[Amount]]*tbl_Ledger[[#This Row],[Rate_to_NGN]]),tbl_Ledger[[#This Row],[Amount]]*tbl_Ledger[[#This Row],[Rate_to_NGN]])</f>
        <v>31700</v>
      </c>
      <c r="R531" s="25" t="str">
        <f>_xlfn.XLOOKUP(tbl_Ledger[[#This Row],[Account_Code]], tbl_Accounts[Account_Code], tbl_Accounts[Type])</f>
        <v>Revenue</v>
      </c>
      <c r="S531" s="25" t="str">
        <f>_xlfn.XLOOKUP(tbl_Ledger[[#This Row],[Account_Code]], tbl_Accounts[Account_Code], tbl_Accounts[PL_Bucket])</f>
        <v>Revenue</v>
      </c>
      <c r="T531" s="25">
        <f t="shared" si="8"/>
        <v>31700</v>
      </c>
    </row>
    <row r="532" spans="1:20">
      <c r="A532" t="s">
        <v>1487</v>
      </c>
      <c r="B532" s="7">
        <v>45873</v>
      </c>
      <c r="C532" t="s">
        <v>93</v>
      </c>
      <c r="D532" t="s">
        <v>111</v>
      </c>
      <c r="E532" t="s">
        <v>112</v>
      </c>
      <c r="F532" s="12" t="s">
        <v>24</v>
      </c>
      <c r="G532" t="s">
        <v>25</v>
      </c>
      <c r="H532" t="s">
        <v>1488</v>
      </c>
      <c r="I532" t="s">
        <v>71</v>
      </c>
      <c r="J532" s="6">
        <v>52700</v>
      </c>
      <c r="K532" t="s">
        <v>3</v>
      </c>
      <c r="L532" t="s">
        <v>1489</v>
      </c>
      <c r="M532" t="s">
        <v>3</v>
      </c>
      <c r="N532" s="25" t="str">
        <f>TEXT(tbl_Ledger[[#This Row],[Date]],"yyyy-mm")</f>
        <v>2025-08</v>
      </c>
      <c r="O532" s="25" t="str">
        <f>TEXT(tbl_Ledger[[#This Row],[Date]],"yyyy-mm") &amp; TRIM(tbl_Ledger[[#This Row],[Currency]])</f>
        <v>2025-08NGN</v>
      </c>
      <c r="P532" s="25">
        <f>_xlfn.XLOOKUP(tbl_Ledger[[#This Row],[Key]], tbl_FX[Key], tbl_FX[Rate_to_NGN])</f>
        <v>1</v>
      </c>
      <c r="Q532" s="37">
        <f>IF(tbl_Ledger[[#This Row],[Account_Type]]="Expense",-ABS(tbl_Ledger[[#This Row],[Amount]]*tbl_Ledger[[#This Row],[Rate_to_NGN]]),tbl_Ledger[[#This Row],[Amount]]*tbl_Ledger[[#This Row],[Rate_to_NGN]])</f>
        <v>52700</v>
      </c>
      <c r="R532" s="25" t="str">
        <f>_xlfn.XLOOKUP(tbl_Ledger[[#This Row],[Account_Code]], tbl_Accounts[Account_Code], tbl_Accounts[Type])</f>
        <v>Revenue</v>
      </c>
      <c r="S532" s="25" t="str">
        <f>_xlfn.XLOOKUP(tbl_Ledger[[#This Row],[Account_Code]], tbl_Accounts[Account_Code], tbl_Accounts[PL_Bucket])</f>
        <v>Revenue</v>
      </c>
      <c r="T532" s="25">
        <f t="shared" si="8"/>
        <v>52700</v>
      </c>
    </row>
    <row r="533" spans="1:20">
      <c r="A533" t="s">
        <v>1490</v>
      </c>
      <c r="B533" s="7">
        <v>45873</v>
      </c>
      <c r="C533" t="s">
        <v>93</v>
      </c>
      <c r="D533" t="s">
        <v>111</v>
      </c>
      <c r="E533" t="s">
        <v>116</v>
      </c>
      <c r="F533" s="12" t="s">
        <v>24</v>
      </c>
      <c r="G533" t="s">
        <v>25</v>
      </c>
      <c r="H533" t="s">
        <v>1491</v>
      </c>
      <c r="I533" t="s">
        <v>71</v>
      </c>
      <c r="J533" s="6">
        <v>49900</v>
      </c>
      <c r="K533" t="s">
        <v>3</v>
      </c>
      <c r="L533" t="s">
        <v>1489</v>
      </c>
      <c r="M533" t="s">
        <v>3</v>
      </c>
      <c r="N533" s="25" t="str">
        <f>TEXT(tbl_Ledger[[#This Row],[Date]],"yyyy-mm")</f>
        <v>2025-08</v>
      </c>
      <c r="O533" s="25" t="str">
        <f>TEXT(tbl_Ledger[[#This Row],[Date]],"yyyy-mm") &amp; TRIM(tbl_Ledger[[#This Row],[Currency]])</f>
        <v>2025-08NGN</v>
      </c>
      <c r="P533" s="25">
        <f>_xlfn.XLOOKUP(tbl_Ledger[[#This Row],[Key]], tbl_FX[Key], tbl_FX[Rate_to_NGN])</f>
        <v>1</v>
      </c>
      <c r="Q533" s="37">
        <f>IF(tbl_Ledger[[#This Row],[Account_Type]]="Expense",-ABS(tbl_Ledger[[#This Row],[Amount]]*tbl_Ledger[[#This Row],[Rate_to_NGN]]),tbl_Ledger[[#This Row],[Amount]]*tbl_Ledger[[#This Row],[Rate_to_NGN]])</f>
        <v>49900</v>
      </c>
      <c r="R533" s="25" t="str">
        <f>_xlfn.XLOOKUP(tbl_Ledger[[#This Row],[Account_Code]], tbl_Accounts[Account_Code], tbl_Accounts[Type])</f>
        <v>Revenue</v>
      </c>
      <c r="S533" s="25" t="str">
        <f>_xlfn.XLOOKUP(tbl_Ledger[[#This Row],[Account_Code]], tbl_Accounts[Account_Code], tbl_Accounts[PL_Bucket])</f>
        <v>Revenue</v>
      </c>
      <c r="T533" s="25">
        <f t="shared" si="8"/>
        <v>49900</v>
      </c>
    </row>
    <row r="534" spans="1:20">
      <c r="A534" t="s">
        <v>1492</v>
      </c>
      <c r="B534" s="7">
        <v>45873</v>
      </c>
      <c r="C534" t="s">
        <v>93</v>
      </c>
      <c r="D534" t="s">
        <v>111</v>
      </c>
      <c r="E534" t="s">
        <v>119</v>
      </c>
      <c r="F534" s="12" t="s">
        <v>24</v>
      </c>
      <c r="G534" t="s">
        <v>25</v>
      </c>
      <c r="H534" t="s">
        <v>1493</v>
      </c>
      <c r="I534" t="s">
        <v>71</v>
      </c>
      <c r="J534" s="6">
        <v>48700</v>
      </c>
      <c r="K534" t="s">
        <v>3</v>
      </c>
      <c r="L534" t="s">
        <v>1489</v>
      </c>
      <c r="M534" t="s">
        <v>3</v>
      </c>
      <c r="N534" s="25" t="str">
        <f>TEXT(tbl_Ledger[[#This Row],[Date]],"yyyy-mm")</f>
        <v>2025-08</v>
      </c>
      <c r="O534" s="25" t="str">
        <f>TEXT(tbl_Ledger[[#This Row],[Date]],"yyyy-mm") &amp; TRIM(tbl_Ledger[[#This Row],[Currency]])</f>
        <v>2025-08NGN</v>
      </c>
      <c r="P534" s="25">
        <f>_xlfn.XLOOKUP(tbl_Ledger[[#This Row],[Key]], tbl_FX[Key], tbl_FX[Rate_to_NGN])</f>
        <v>1</v>
      </c>
      <c r="Q534" s="37">
        <f>IF(tbl_Ledger[[#This Row],[Account_Type]]="Expense",-ABS(tbl_Ledger[[#This Row],[Amount]]*tbl_Ledger[[#This Row],[Rate_to_NGN]]),tbl_Ledger[[#This Row],[Amount]]*tbl_Ledger[[#This Row],[Rate_to_NGN]])</f>
        <v>48700</v>
      </c>
      <c r="R534" s="25" t="str">
        <f>_xlfn.XLOOKUP(tbl_Ledger[[#This Row],[Account_Code]], tbl_Accounts[Account_Code], tbl_Accounts[Type])</f>
        <v>Revenue</v>
      </c>
      <c r="S534" s="25" t="str">
        <f>_xlfn.XLOOKUP(tbl_Ledger[[#This Row],[Account_Code]], tbl_Accounts[Account_Code], tbl_Accounts[PL_Bucket])</f>
        <v>Revenue</v>
      </c>
      <c r="T534" s="25">
        <f t="shared" si="8"/>
        <v>48700</v>
      </c>
    </row>
    <row r="535" spans="1:20">
      <c r="A535" t="s">
        <v>1494</v>
      </c>
      <c r="B535" s="7">
        <v>45873</v>
      </c>
      <c r="C535" t="s">
        <v>93</v>
      </c>
      <c r="D535" t="s">
        <v>111</v>
      </c>
      <c r="E535" t="s">
        <v>170</v>
      </c>
      <c r="F535" s="12" t="s">
        <v>24</v>
      </c>
      <c r="G535" t="s">
        <v>25</v>
      </c>
      <c r="H535" t="s">
        <v>1495</v>
      </c>
      <c r="I535" t="s">
        <v>71</v>
      </c>
      <c r="J535" s="6">
        <v>51700</v>
      </c>
      <c r="K535" t="s">
        <v>3</v>
      </c>
      <c r="L535" t="s">
        <v>1489</v>
      </c>
      <c r="M535" t="s">
        <v>3</v>
      </c>
      <c r="N535" s="25" t="str">
        <f>TEXT(tbl_Ledger[[#This Row],[Date]],"yyyy-mm")</f>
        <v>2025-08</v>
      </c>
      <c r="O535" s="25" t="str">
        <f>TEXT(tbl_Ledger[[#This Row],[Date]],"yyyy-mm") &amp; TRIM(tbl_Ledger[[#This Row],[Currency]])</f>
        <v>2025-08NGN</v>
      </c>
      <c r="P535" s="25">
        <f>_xlfn.XLOOKUP(tbl_Ledger[[#This Row],[Key]], tbl_FX[Key], tbl_FX[Rate_to_NGN])</f>
        <v>1</v>
      </c>
      <c r="Q535" s="37">
        <f>IF(tbl_Ledger[[#This Row],[Account_Type]]="Expense",-ABS(tbl_Ledger[[#This Row],[Amount]]*tbl_Ledger[[#This Row],[Rate_to_NGN]]),tbl_Ledger[[#This Row],[Amount]]*tbl_Ledger[[#This Row],[Rate_to_NGN]])</f>
        <v>51700</v>
      </c>
      <c r="R535" s="25" t="str">
        <f>_xlfn.XLOOKUP(tbl_Ledger[[#This Row],[Account_Code]], tbl_Accounts[Account_Code], tbl_Accounts[Type])</f>
        <v>Revenue</v>
      </c>
      <c r="S535" s="25" t="str">
        <f>_xlfn.XLOOKUP(tbl_Ledger[[#This Row],[Account_Code]], tbl_Accounts[Account_Code], tbl_Accounts[PL_Bucket])</f>
        <v>Revenue</v>
      </c>
      <c r="T535" s="25">
        <f t="shared" si="8"/>
        <v>51700</v>
      </c>
    </row>
    <row r="536" spans="1:20">
      <c r="A536" t="s">
        <v>1496</v>
      </c>
      <c r="B536" s="7">
        <v>45873</v>
      </c>
      <c r="C536" t="s">
        <v>93</v>
      </c>
      <c r="D536" t="s">
        <v>111</v>
      </c>
      <c r="E536" t="s">
        <v>122</v>
      </c>
      <c r="F536" s="12" t="s">
        <v>24</v>
      </c>
      <c r="G536" t="s">
        <v>25</v>
      </c>
      <c r="H536" t="s">
        <v>1497</v>
      </c>
      <c r="I536" t="s">
        <v>71</v>
      </c>
      <c r="J536" s="6">
        <v>50400</v>
      </c>
      <c r="K536" t="s">
        <v>3</v>
      </c>
      <c r="L536" t="s">
        <v>1498</v>
      </c>
      <c r="M536" t="s">
        <v>3</v>
      </c>
      <c r="N536" s="25" t="str">
        <f>TEXT(tbl_Ledger[[#This Row],[Date]],"yyyy-mm")</f>
        <v>2025-08</v>
      </c>
      <c r="O536" s="25" t="str">
        <f>TEXT(tbl_Ledger[[#This Row],[Date]],"yyyy-mm") &amp; TRIM(tbl_Ledger[[#This Row],[Currency]])</f>
        <v>2025-08NGN</v>
      </c>
      <c r="P536" s="25">
        <f>_xlfn.XLOOKUP(tbl_Ledger[[#This Row],[Key]], tbl_FX[Key], tbl_FX[Rate_to_NGN])</f>
        <v>1</v>
      </c>
      <c r="Q536" s="37">
        <f>IF(tbl_Ledger[[#This Row],[Account_Type]]="Expense",-ABS(tbl_Ledger[[#This Row],[Amount]]*tbl_Ledger[[#This Row],[Rate_to_NGN]]),tbl_Ledger[[#This Row],[Amount]]*tbl_Ledger[[#This Row],[Rate_to_NGN]])</f>
        <v>50400</v>
      </c>
      <c r="R536" s="25" t="str">
        <f>_xlfn.XLOOKUP(tbl_Ledger[[#This Row],[Account_Code]], tbl_Accounts[Account_Code], tbl_Accounts[Type])</f>
        <v>Revenue</v>
      </c>
      <c r="S536" s="25" t="str">
        <f>_xlfn.XLOOKUP(tbl_Ledger[[#This Row],[Account_Code]], tbl_Accounts[Account_Code], tbl_Accounts[PL_Bucket])</f>
        <v>Revenue</v>
      </c>
      <c r="T536" s="25">
        <f t="shared" si="8"/>
        <v>50400</v>
      </c>
    </row>
    <row r="537" spans="1:20">
      <c r="A537" t="s">
        <v>1499</v>
      </c>
      <c r="B537" s="7">
        <v>45873</v>
      </c>
      <c r="C537" t="s">
        <v>126</v>
      </c>
      <c r="D537" t="s">
        <v>88</v>
      </c>
      <c r="E537" t="s">
        <v>127</v>
      </c>
      <c r="F537" s="12" t="s">
        <v>29</v>
      </c>
      <c r="G537" t="s">
        <v>30</v>
      </c>
      <c r="H537" t="s">
        <v>1500</v>
      </c>
      <c r="I537" t="s">
        <v>72</v>
      </c>
      <c r="J537" s="6">
        <v>29.9</v>
      </c>
      <c r="K537" t="s">
        <v>129</v>
      </c>
      <c r="L537" t="s">
        <v>1501</v>
      </c>
      <c r="M537" t="s">
        <v>3</v>
      </c>
      <c r="N537" s="25" t="str">
        <f>TEXT(tbl_Ledger[[#This Row],[Date]],"yyyy-mm")</f>
        <v>2025-08</v>
      </c>
      <c r="O537" s="25" t="str">
        <f>TEXT(tbl_Ledger[[#This Row],[Date]],"yyyy-mm") &amp; TRIM(tbl_Ledger[[#This Row],[Currency]])</f>
        <v>2025-08USD</v>
      </c>
      <c r="P537" s="25">
        <f>_xlfn.XLOOKUP(tbl_Ledger[[#This Row],[Key]], tbl_FX[Key], tbl_FX[Rate_to_NGN])</f>
        <v>1572</v>
      </c>
      <c r="Q537" s="37">
        <f>IF(tbl_Ledger[[#This Row],[Account_Type]]="Expense",-ABS(tbl_Ledger[[#This Row],[Amount]]*tbl_Ledger[[#This Row],[Rate_to_NGN]]),tbl_Ledger[[#This Row],[Amount]]*tbl_Ledger[[#This Row],[Rate_to_NGN]])</f>
        <v>47002.799999999996</v>
      </c>
      <c r="R537" s="25" t="str">
        <f>_xlfn.XLOOKUP(tbl_Ledger[[#This Row],[Account_Code]], tbl_Accounts[Account_Code], tbl_Accounts[Type])</f>
        <v>Revenue</v>
      </c>
      <c r="S537" s="25" t="str">
        <f>_xlfn.XLOOKUP(tbl_Ledger[[#This Row],[Account_Code]], tbl_Accounts[Account_Code], tbl_Accounts[PL_Bucket])</f>
        <v>Revenue</v>
      </c>
      <c r="T537" s="25">
        <f t="shared" si="8"/>
        <v>47002.799999999996</v>
      </c>
    </row>
    <row r="538" spans="1:20">
      <c r="A538" t="s">
        <v>1502</v>
      </c>
      <c r="B538" s="7">
        <v>45873</v>
      </c>
      <c r="C538" t="s">
        <v>126</v>
      </c>
      <c r="D538" t="s">
        <v>88</v>
      </c>
      <c r="E538" t="s">
        <v>132</v>
      </c>
      <c r="F538" s="12" t="s">
        <v>29</v>
      </c>
      <c r="G538" t="s">
        <v>30</v>
      </c>
      <c r="H538" t="s">
        <v>1503</v>
      </c>
      <c r="I538" t="s">
        <v>71</v>
      </c>
      <c r="J538" s="6">
        <v>53400</v>
      </c>
      <c r="K538" t="s">
        <v>134</v>
      </c>
      <c r="L538" t="s">
        <v>1501</v>
      </c>
      <c r="M538" t="s">
        <v>3</v>
      </c>
      <c r="N538" s="25" t="str">
        <f>TEXT(tbl_Ledger[[#This Row],[Date]],"yyyy-mm")</f>
        <v>2025-08</v>
      </c>
      <c r="O538" s="25" t="str">
        <f>TEXT(tbl_Ledger[[#This Row],[Date]],"yyyy-mm") &amp; TRIM(tbl_Ledger[[#This Row],[Currency]])</f>
        <v>2025-08NGN</v>
      </c>
      <c r="P538" s="25">
        <f>_xlfn.XLOOKUP(tbl_Ledger[[#This Row],[Key]], tbl_FX[Key], tbl_FX[Rate_to_NGN])</f>
        <v>1</v>
      </c>
      <c r="Q538" s="37">
        <f>IF(tbl_Ledger[[#This Row],[Account_Type]]="Expense",-ABS(tbl_Ledger[[#This Row],[Amount]]*tbl_Ledger[[#This Row],[Rate_to_NGN]]),tbl_Ledger[[#This Row],[Amount]]*tbl_Ledger[[#This Row],[Rate_to_NGN]])</f>
        <v>53400</v>
      </c>
      <c r="R538" s="25" t="str">
        <f>_xlfn.XLOOKUP(tbl_Ledger[[#This Row],[Account_Code]], tbl_Accounts[Account_Code], tbl_Accounts[Type])</f>
        <v>Revenue</v>
      </c>
      <c r="S538" s="25" t="str">
        <f>_xlfn.XLOOKUP(tbl_Ledger[[#This Row],[Account_Code]], tbl_Accounts[Account_Code], tbl_Accounts[PL_Bucket])</f>
        <v>Revenue</v>
      </c>
      <c r="T538" s="25">
        <f t="shared" si="8"/>
        <v>53400</v>
      </c>
    </row>
    <row r="539" spans="1:20">
      <c r="A539" t="s">
        <v>1504</v>
      </c>
      <c r="B539" s="7">
        <v>45873</v>
      </c>
      <c r="C539" t="s">
        <v>126</v>
      </c>
      <c r="D539" t="s">
        <v>88</v>
      </c>
      <c r="E539" t="s">
        <v>136</v>
      </c>
      <c r="F539" s="12" t="s">
        <v>29</v>
      </c>
      <c r="G539" t="s">
        <v>30</v>
      </c>
      <c r="H539" t="s">
        <v>1505</v>
      </c>
      <c r="I539" t="s">
        <v>71</v>
      </c>
      <c r="J539" s="6">
        <v>54900</v>
      </c>
      <c r="K539" t="s">
        <v>138</v>
      </c>
      <c r="L539" t="s">
        <v>1501</v>
      </c>
      <c r="M539" t="s">
        <v>3</v>
      </c>
      <c r="N539" s="25" t="str">
        <f>TEXT(tbl_Ledger[[#This Row],[Date]],"yyyy-mm")</f>
        <v>2025-08</v>
      </c>
      <c r="O539" s="25" t="str">
        <f>TEXT(tbl_Ledger[[#This Row],[Date]],"yyyy-mm") &amp; TRIM(tbl_Ledger[[#This Row],[Currency]])</f>
        <v>2025-08NGN</v>
      </c>
      <c r="P539" s="25">
        <f>_xlfn.XLOOKUP(tbl_Ledger[[#This Row],[Key]], tbl_FX[Key], tbl_FX[Rate_to_NGN])</f>
        <v>1</v>
      </c>
      <c r="Q539" s="37">
        <f>IF(tbl_Ledger[[#This Row],[Account_Type]]="Expense",-ABS(tbl_Ledger[[#This Row],[Amount]]*tbl_Ledger[[#This Row],[Rate_to_NGN]]),tbl_Ledger[[#This Row],[Amount]]*tbl_Ledger[[#This Row],[Rate_to_NGN]])</f>
        <v>54900</v>
      </c>
      <c r="R539" s="25" t="str">
        <f>_xlfn.XLOOKUP(tbl_Ledger[[#This Row],[Account_Code]], tbl_Accounts[Account_Code], tbl_Accounts[Type])</f>
        <v>Revenue</v>
      </c>
      <c r="S539" s="25" t="str">
        <f>_xlfn.XLOOKUP(tbl_Ledger[[#This Row],[Account_Code]], tbl_Accounts[Account_Code], tbl_Accounts[PL_Bucket])</f>
        <v>Revenue</v>
      </c>
      <c r="T539" s="25">
        <f t="shared" si="8"/>
        <v>54900</v>
      </c>
    </row>
    <row r="540" spans="1:20">
      <c r="A540" t="s">
        <v>1506</v>
      </c>
      <c r="B540" s="7">
        <v>45873</v>
      </c>
      <c r="C540" t="s">
        <v>126</v>
      </c>
      <c r="D540" t="s">
        <v>88</v>
      </c>
      <c r="E540" t="s">
        <v>140</v>
      </c>
      <c r="F540" s="12" t="s">
        <v>29</v>
      </c>
      <c r="G540" t="s">
        <v>30</v>
      </c>
      <c r="H540" t="s">
        <v>1507</v>
      </c>
      <c r="I540" t="s">
        <v>71</v>
      </c>
      <c r="J540" s="6">
        <v>49700</v>
      </c>
      <c r="K540" t="s">
        <v>3</v>
      </c>
      <c r="L540" t="s">
        <v>1508</v>
      </c>
      <c r="M540" t="s">
        <v>3</v>
      </c>
      <c r="N540" s="25" t="str">
        <f>TEXT(tbl_Ledger[[#This Row],[Date]],"yyyy-mm")</f>
        <v>2025-08</v>
      </c>
      <c r="O540" s="25" t="str">
        <f>TEXT(tbl_Ledger[[#This Row],[Date]],"yyyy-mm") &amp; TRIM(tbl_Ledger[[#This Row],[Currency]])</f>
        <v>2025-08NGN</v>
      </c>
      <c r="P540" s="25">
        <f>_xlfn.XLOOKUP(tbl_Ledger[[#This Row],[Key]], tbl_FX[Key], tbl_FX[Rate_to_NGN])</f>
        <v>1</v>
      </c>
      <c r="Q540" s="37">
        <f>IF(tbl_Ledger[[#This Row],[Account_Type]]="Expense",-ABS(tbl_Ledger[[#This Row],[Amount]]*tbl_Ledger[[#This Row],[Rate_to_NGN]]),tbl_Ledger[[#This Row],[Amount]]*tbl_Ledger[[#This Row],[Rate_to_NGN]])</f>
        <v>49700</v>
      </c>
      <c r="R540" s="25" t="str">
        <f>_xlfn.XLOOKUP(tbl_Ledger[[#This Row],[Account_Code]], tbl_Accounts[Account_Code], tbl_Accounts[Type])</f>
        <v>Revenue</v>
      </c>
      <c r="S540" s="25" t="str">
        <f>_xlfn.XLOOKUP(tbl_Ledger[[#This Row],[Account_Code]], tbl_Accounts[Account_Code], tbl_Accounts[PL_Bucket])</f>
        <v>Revenue</v>
      </c>
      <c r="T540" s="25">
        <f t="shared" si="8"/>
        <v>49700</v>
      </c>
    </row>
    <row r="541" spans="1:20">
      <c r="A541" t="s">
        <v>1509</v>
      </c>
      <c r="B541" s="7">
        <v>45874</v>
      </c>
      <c r="C541" t="s">
        <v>93</v>
      </c>
      <c r="D541" t="s">
        <v>94</v>
      </c>
      <c r="E541" t="s">
        <v>95</v>
      </c>
      <c r="F541" s="12" t="s">
        <v>24</v>
      </c>
      <c r="G541" t="s">
        <v>25</v>
      </c>
      <c r="H541" t="s">
        <v>1510</v>
      </c>
      <c r="I541" t="s">
        <v>71</v>
      </c>
      <c r="J541" s="6">
        <v>30600</v>
      </c>
      <c r="K541" t="s">
        <v>3</v>
      </c>
      <c r="L541" t="s">
        <v>1511</v>
      </c>
      <c r="M541" t="s">
        <v>3</v>
      </c>
      <c r="N541" s="25" t="str">
        <f>TEXT(tbl_Ledger[[#This Row],[Date]],"yyyy-mm")</f>
        <v>2025-08</v>
      </c>
      <c r="O541" s="25" t="str">
        <f>TEXT(tbl_Ledger[[#This Row],[Date]],"yyyy-mm") &amp; TRIM(tbl_Ledger[[#This Row],[Currency]])</f>
        <v>2025-08NGN</v>
      </c>
      <c r="P541" s="25">
        <f>_xlfn.XLOOKUP(tbl_Ledger[[#This Row],[Key]], tbl_FX[Key], tbl_FX[Rate_to_NGN])</f>
        <v>1</v>
      </c>
      <c r="Q541" s="37">
        <f>IF(tbl_Ledger[[#This Row],[Account_Type]]="Expense",-ABS(tbl_Ledger[[#This Row],[Amount]]*tbl_Ledger[[#This Row],[Rate_to_NGN]]),tbl_Ledger[[#This Row],[Amount]]*tbl_Ledger[[#This Row],[Rate_to_NGN]])</f>
        <v>30600</v>
      </c>
      <c r="R541" s="25" t="str">
        <f>_xlfn.XLOOKUP(tbl_Ledger[[#This Row],[Account_Code]], tbl_Accounts[Account_Code], tbl_Accounts[Type])</f>
        <v>Revenue</v>
      </c>
      <c r="S541" s="25" t="str">
        <f>_xlfn.XLOOKUP(tbl_Ledger[[#This Row],[Account_Code]], tbl_Accounts[Account_Code], tbl_Accounts[PL_Bucket])</f>
        <v>Revenue</v>
      </c>
      <c r="T541" s="25">
        <f t="shared" si="8"/>
        <v>30600</v>
      </c>
    </row>
    <row r="542" spans="1:20">
      <c r="A542" t="s">
        <v>1512</v>
      </c>
      <c r="B542" s="7">
        <v>45874</v>
      </c>
      <c r="C542" t="s">
        <v>93</v>
      </c>
      <c r="D542" t="s">
        <v>94</v>
      </c>
      <c r="E542" t="s">
        <v>99</v>
      </c>
      <c r="F542" s="12" t="s">
        <v>24</v>
      </c>
      <c r="G542" t="s">
        <v>25</v>
      </c>
      <c r="H542" t="s">
        <v>1513</v>
      </c>
      <c r="I542" t="s">
        <v>71</v>
      </c>
      <c r="J542" s="6">
        <v>30500</v>
      </c>
      <c r="K542" t="s">
        <v>3</v>
      </c>
      <c r="L542" t="s">
        <v>1514</v>
      </c>
      <c r="M542" t="s">
        <v>3</v>
      </c>
      <c r="N542" s="25" t="str">
        <f>TEXT(tbl_Ledger[[#This Row],[Date]],"yyyy-mm")</f>
        <v>2025-08</v>
      </c>
      <c r="O542" s="25" t="str">
        <f>TEXT(tbl_Ledger[[#This Row],[Date]],"yyyy-mm") &amp; TRIM(tbl_Ledger[[#This Row],[Currency]])</f>
        <v>2025-08NGN</v>
      </c>
      <c r="P542" s="25">
        <f>_xlfn.XLOOKUP(tbl_Ledger[[#This Row],[Key]], tbl_FX[Key], tbl_FX[Rate_to_NGN])</f>
        <v>1</v>
      </c>
      <c r="Q542" s="37">
        <f>IF(tbl_Ledger[[#This Row],[Account_Type]]="Expense",-ABS(tbl_Ledger[[#This Row],[Amount]]*tbl_Ledger[[#This Row],[Rate_to_NGN]]),tbl_Ledger[[#This Row],[Amount]]*tbl_Ledger[[#This Row],[Rate_to_NGN]])</f>
        <v>30500</v>
      </c>
      <c r="R542" s="25" t="str">
        <f>_xlfn.XLOOKUP(tbl_Ledger[[#This Row],[Account_Code]], tbl_Accounts[Account_Code], tbl_Accounts[Type])</f>
        <v>Revenue</v>
      </c>
      <c r="S542" s="25" t="str">
        <f>_xlfn.XLOOKUP(tbl_Ledger[[#This Row],[Account_Code]], tbl_Accounts[Account_Code], tbl_Accounts[PL_Bucket])</f>
        <v>Revenue</v>
      </c>
      <c r="T542" s="25">
        <f t="shared" si="8"/>
        <v>30500</v>
      </c>
    </row>
    <row r="543" spans="1:20">
      <c r="A543" t="s">
        <v>1515</v>
      </c>
      <c r="B543" s="7">
        <v>45874</v>
      </c>
      <c r="C543" t="s">
        <v>93</v>
      </c>
      <c r="D543" t="s">
        <v>94</v>
      </c>
      <c r="E543" t="s">
        <v>103</v>
      </c>
      <c r="F543" s="12" t="s">
        <v>24</v>
      </c>
      <c r="G543" t="s">
        <v>25</v>
      </c>
      <c r="H543" t="s">
        <v>1516</v>
      </c>
      <c r="I543" t="s">
        <v>71</v>
      </c>
      <c r="J543" s="6">
        <v>32000</v>
      </c>
      <c r="K543" t="s">
        <v>3</v>
      </c>
      <c r="L543" t="s">
        <v>1517</v>
      </c>
      <c r="M543" t="s">
        <v>3</v>
      </c>
      <c r="N543" s="25" t="str">
        <f>TEXT(tbl_Ledger[[#This Row],[Date]],"yyyy-mm")</f>
        <v>2025-08</v>
      </c>
      <c r="O543" s="25" t="str">
        <f>TEXT(tbl_Ledger[[#This Row],[Date]],"yyyy-mm") &amp; TRIM(tbl_Ledger[[#This Row],[Currency]])</f>
        <v>2025-08NGN</v>
      </c>
      <c r="P543" s="25">
        <f>_xlfn.XLOOKUP(tbl_Ledger[[#This Row],[Key]], tbl_FX[Key], tbl_FX[Rate_to_NGN])</f>
        <v>1</v>
      </c>
      <c r="Q543" s="37">
        <f>IF(tbl_Ledger[[#This Row],[Account_Type]]="Expense",-ABS(tbl_Ledger[[#This Row],[Amount]]*tbl_Ledger[[#This Row],[Rate_to_NGN]]),tbl_Ledger[[#This Row],[Amount]]*tbl_Ledger[[#This Row],[Rate_to_NGN]])</f>
        <v>32000</v>
      </c>
      <c r="R543" s="25" t="str">
        <f>_xlfn.XLOOKUP(tbl_Ledger[[#This Row],[Account_Code]], tbl_Accounts[Account_Code], tbl_Accounts[Type])</f>
        <v>Revenue</v>
      </c>
      <c r="S543" s="25" t="str">
        <f>_xlfn.XLOOKUP(tbl_Ledger[[#This Row],[Account_Code]], tbl_Accounts[Account_Code], tbl_Accounts[PL_Bucket])</f>
        <v>Revenue</v>
      </c>
      <c r="T543" s="25">
        <f t="shared" si="8"/>
        <v>32000</v>
      </c>
    </row>
    <row r="544" spans="1:20">
      <c r="A544" t="s">
        <v>1518</v>
      </c>
      <c r="B544" s="7">
        <v>45874</v>
      </c>
      <c r="C544" t="s">
        <v>93</v>
      </c>
      <c r="D544" t="s">
        <v>94</v>
      </c>
      <c r="E544" t="s">
        <v>160</v>
      </c>
      <c r="F544" s="12" t="s">
        <v>24</v>
      </c>
      <c r="G544" t="s">
        <v>25</v>
      </c>
      <c r="H544" t="s">
        <v>1519</v>
      </c>
      <c r="I544" t="s">
        <v>71</v>
      </c>
      <c r="J544" s="6">
        <v>28300</v>
      </c>
      <c r="K544" t="s">
        <v>3</v>
      </c>
      <c r="L544" t="s">
        <v>1517</v>
      </c>
      <c r="M544" t="s">
        <v>3</v>
      </c>
      <c r="N544" s="25" t="str">
        <f>TEXT(tbl_Ledger[[#This Row],[Date]],"yyyy-mm")</f>
        <v>2025-08</v>
      </c>
      <c r="O544" s="25" t="str">
        <f>TEXT(tbl_Ledger[[#This Row],[Date]],"yyyy-mm") &amp; TRIM(tbl_Ledger[[#This Row],[Currency]])</f>
        <v>2025-08NGN</v>
      </c>
      <c r="P544" s="25">
        <f>_xlfn.XLOOKUP(tbl_Ledger[[#This Row],[Key]], tbl_FX[Key], tbl_FX[Rate_to_NGN])</f>
        <v>1</v>
      </c>
      <c r="Q544" s="37">
        <f>IF(tbl_Ledger[[#This Row],[Account_Type]]="Expense",-ABS(tbl_Ledger[[#This Row],[Amount]]*tbl_Ledger[[#This Row],[Rate_to_NGN]]),tbl_Ledger[[#This Row],[Amount]]*tbl_Ledger[[#This Row],[Rate_to_NGN]])</f>
        <v>28300</v>
      </c>
      <c r="R544" s="25" t="str">
        <f>_xlfn.XLOOKUP(tbl_Ledger[[#This Row],[Account_Code]], tbl_Accounts[Account_Code], tbl_Accounts[Type])</f>
        <v>Revenue</v>
      </c>
      <c r="S544" s="25" t="str">
        <f>_xlfn.XLOOKUP(tbl_Ledger[[#This Row],[Account_Code]], tbl_Accounts[Account_Code], tbl_Accounts[PL_Bucket])</f>
        <v>Revenue</v>
      </c>
      <c r="T544" s="25">
        <f t="shared" si="8"/>
        <v>28300</v>
      </c>
    </row>
    <row r="545" spans="1:20">
      <c r="A545" t="s">
        <v>1520</v>
      </c>
      <c r="B545" s="7">
        <v>45874</v>
      </c>
      <c r="C545" t="s">
        <v>93</v>
      </c>
      <c r="D545" t="s">
        <v>111</v>
      </c>
      <c r="E545" t="s">
        <v>112</v>
      </c>
      <c r="F545" s="12" t="s">
        <v>24</v>
      </c>
      <c r="G545" t="s">
        <v>25</v>
      </c>
      <c r="H545" t="s">
        <v>1521</v>
      </c>
      <c r="I545" t="s">
        <v>71</v>
      </c>
      <c r="J545" s="6">
        <v>49700</v>
      </c>
      <c r="K545" t="s">
        <v>3</v>
      </c>
      <c r="L545" t="s">
        <v>1522</v>
      </c>
      <c r="M545" t="s">
        <v>3</v>
      </c>
      <c r="N545" s="25" t="str">
        <f>TEXT(tbl_Ledger[[#This Row],[Date]],"yyyy-mm")</f>
        <v>2025-08</v>
      </c>
      <c r="O545" s="25" t="str">
        <f>TEXT(tbl_Ledger[[#This Row],[Date]],"yyyy-mm") &amp; TRIM(tbl_Ledger[[#This Row],[Currency]])</f>
        <v>2025-08NGN</v>
      </c>
      <c r="P545" s="25">
        <f>_xlfn.XLOOKUP(tbl_Ledger[[#This Row],[Key]], tbl_FX[Key], tbl_FX[Rate_to_NGN])</f>
        <v>1</v>
      </c>
      <c r="Q545" s="37">
        <f>IF(tbl_Ledger[[#This Row],[Account_Type]]="Expense",-ABS(tbl_Ledger[[#This Row],[Amount]]*tbl_Ledger[[#This Row],[Rate_to_NGN]]),tbl_Ledger[[#This Row],[Amount]]*tbl_Ledger[[#This Row],[Rate_to_NGN]])</f>
        <v>49700</v>
      </c>
      <c r="R545" s="25" t="str">
        <f>_xlfn.XLOOKUP(tbl_Ledger[[#This Row],[Account_Code]], tbl_Accounts[Account_Code], tbl_Accounts[Type])</f>
        <v>Revenue</v>
      </c>
      <c r="S545" s="25" t="str">
        <f>_xlfn.XLOOKUP(tbl_Ledger[[#This Row],[Account_Code]], tbl_Accounts[Account_Code], tbl_Accounts[PL_Bucket])</f>
        <v>Revenue</v>
      </c>
      <c r="T545" s="25">
        <f t="shared" si="8"/>
        <v>49700</v>
      </c>
    </row>
    <row r="546" spans="1:20">
      <c r="A546" t="s">
        <v>1523</v>
      </c>
      <c r="B546" s="7">
        <v>45874</v>
      </c>
      <c r="C546" t="s">
        <v>93</v>
      </c>
      <c r="D546" t="s">
        <v>111</v>
      </c>
      <c r="E546" t="s">
        <v>116</v>
      </c>
      <c r="F546" s="12" t="s">
        <v>24</v>
      </c>
      <c r="G546" t="s">
        <v>25</v>
      </c>
      <c r="H546" t="s">
        <v>1524</v>
      </c>
      <c r="I546" t="s">
        <v>71</v>
      </c>
      <c r="J546" s="6">
        <v>51400</v>
      </c>
      <c r="K546" t="s">
        <v>3</v>
      </c>
      <c r="L546" t="s">
        <v>1522</v>
      </c>
      <c r="M546" t="s">
        <v>3</v>
      </c>
      <c r="N546" s="25" t="str">
        <f>TEXT(tbl_Ledger[[#This Row],[Date]],"yyyy-mm")</f>
        <v>2025-08</v>
      </c>
      <c r="O546" s="25" t="str">
        <f>TEXT(tbl_Ledger[[#This Row],[Date]],"yyyy-mm") &amp; TRIM(tbl_Ledger[[#This Row],[Currency]])</f>
        <v>2025-08NGN</v>
      </c>
      <c r="P546" s="25">
        <f>_xlfn.XLOOKUP(tbl_Ledger[[#This Row],[Key]], tbl_FX[Key], tbl_FX[Rate_to_NGN])</f>
        <v>1</v>
      </c>
      <c r="Q546" s="37">
        <f>IF(tbl_Ledger[[#This Row],[Account_Type]]="Expense",-ABS(tbl_Ledger[[#This Row],[Amount]]*tbl_Ledger[[#This Row],[Rate_to_NGN]]),tbl_Ledger[[#This Row],[Amount]]*tbl_Ledger[[#This Row],[Rate_to_NGN]])</f>
        <v>51400</v>
      </c>
      <c r="R546" s="25" t="str">
        <f>_xlfn.XLOOKUP(tbl_Ledger[[#This Row],[Account_Code]], tbl_Accounts[Account_Code], tbl_Accounts[Type])</f>
        <v>Revenue</v>
      </c>
      <c r="S546" s="25" t="str">
        <f>_xlfn.XLOOKUP(tbl_Ledger[[#This Row],[Account_Code]], tbl_Accounts[Account_Code], tbl_Accounts[PL_Bucket])</f>
        <v>Revenue</v>
      </c>
      <c r="T546" s="25">
        <f t="shared" si="8"/>
        <v>51400</v>
      </c>
    </row>
    <row r="547" spans="1:20">
      <c r="A547" t="s">
        <v>1525</v>
      </c>
      <c r="B547" s="7">
        <v>45874</v>
      </c>
      <c r="C547" t="s">
        <v>93</v>
      </c>
      <c r="D547" t="s">
        <v>111</v>
      </c>
      <c r="E547" t="s">
        <v>119</v>
      </c>
      <c r="F547" s="12" t="s">
        <v>24</v>
      </c>
      <c r="G547" t="s">
        <v>25</v>
      </c>
      <c r="H547" t="s">
        <v>1526</v>
      </c>
      <c r="I547" t="s">
        <v>71</v>
      </c>
      <c r="J547" s="6">
        <v>52200</v>
      </c>
      <c r="K547" t="s">
        <v>3</v>
      </c>
      <c r="L547" t="s">
        <v>1522</v>
      </c>
      <c r="M547" t="s">
        <v>3</v>
      </c>
      <c r="N547" s="25" t="str">
        <f>TEXT(tbl_Ledger[[#This Row],[Date]],"yyyy-mm")</f>
        <v>2025-08</v>
      </c>
      <c r="O547" s="25" t="str">
        <f>TEXT(tbl_Ledger[[#This Row],[Date]],"yyyy-mm") &amp; TRIM(tbl_Ledger[[#This Row],[Currency]])</f>
        <v>2025-08NGN</v>
      </c>
      <c r="P547" s="25">
        <f>_xlfn.XLOOKUP(tbl_Ledger[[#This Row],[Key]], tbl_FX[Key], tbl_FX[Rate_to_NGN])</f>
        <v>1</v>
      </c>
      <c r="Q547" s="37">
        <f>IF(tbl_Ledger[[#This Row],[Account_Type]]="Expense",-ABS(tbl_Ledger[[#This Row],[Amount]]*tbl_Ledger[[#This Row],[Rate_to_NGN]]),tbl_Ledger[[#This Row],[Amount]]*tbl_Ledger[[#This Row],[Rate_to_NGN]])</f>
        <v>52200</v>
      </c>
      <c r="R547" s="25" t="str">
        <f>_xlfn.XLOOKUP(tbl_Ledger[[#This Row],[Account_Code]], tbl_Accounts[Account_Code], tbl_Accounts[Type])</f>
        <v>Revenue</v>
      </c>
      <c r="S547" s="25" t="str">
        <f>_xlfn.XLOOKUP(tbl_Ledger[[#This Row],[Account_Code]], tbl_Accounts[Account_Code], tbl_Accounts[PL_Bucket])</f>
        <v>Revenue</v>
      </c>
      <c r="T547" s="25">
        <f t="shared" si="8"/>
        <v>52200</v>
      </c>
    </row>
    <row r="548" spans="1:20">
      <c r="A548" t="s">
        <v>1527</v>
      </c>
      <c r="B548" s="7">
        <v>45874</v>
      </c>
      <c r="C548" t="s">
        <v>93</v>
      </c>
      <c r="D548" t="s">
        <v>111</v>
      </c>
      <c r="E548" t="s">
        <v>170</v>
      </c>
      <c r="F548" s="12" t="s">
        <v>24</v>
      </c>
      <c r="G548" t="s">
        <v>25</v>
      </c>
      <c r="H548" t="s">
        <v>1528</v>
      </c>
      <c r="I548" t="s">
        <v>71</v>
      </c>
      <c r="J548" s="6">
        <v>47900</v>
      </c>
      <c r="K548" t="s">
        <v>3</v>
      </c>
      <c r="L548" t="s">
        <v>1522</v>
      </c>
      <c r="M548" t="s">
        <v>3</v>
      </c>
      <c r="N548" s="25" t="str">
        <f>TEXT(tbl_Ledger[[#This Row],[Date]],"yyyy-mm")</f>
        <v>2025-08</v>
      </c>
      <c r="O548" s="25" t="str">
        <f>TEXT(tbl_Ledger[[#This Row],[Date]],"yyyy-mm") &amp; TRIM(tbl_Ledger[[#This Row],[Currency]])</f>
        <v>2025-08NGN</v>
      </c>
      <c r="P548" s="25">
        <f>_xlfn.XLOOKUP(tbl_Ledger[[#This Row],[Key]], tbl_FX[Key], tbl_FX[Rate_to_NGN])</f>
        <v>1</v>
      </c>
      <c r="Q548" s="37">
        <f>IF(tbl_Ledger[[#This Row],[Account_Type]]="Expense",-ABS(tbl_Ledger[[#This Row],[Amount]]*tbl_Ledger[[#This Row],[Rate_to_NGN]]),tbl_Ledger[[#This Row],[Amount]]*tbl_Ledger[[#This Row],[Rate_to_NGN]])</f>
        <v>47900</v>
      </c>
      <c r="R548" s="25" t="str">
        <f>_xlfn.XLOOKUP(tbl_Ledger[[#This Row],[Account_Code]], tbl_Accounts[Account_Code], tbl_Accounts[Type])</f>
        <v>Revenue</v>
      </c>
      <c r="S548" s="25" t="str">
        <f>_xlfn.XLOOKUP(tbl_Ledger[[#This Row],[Account_Code]], tbl_Accounts[Account_Code], tbl_Accounts[PL_Bucket])</f>
        <v>Revenue</v>
      </c>
      <c r="T548" s="25">
        <f t="shared" si="8"/>
        <v>47900</v>
      </c>
    </row>
    <row r="549" spans="1:20">
      <c r="A549" t="s">
        <v>1529</v>
      </c>
      <c r="B549" s="7">
        <v>45874</v>
      </c>
      <c r="C549" t="s">
        <v>93</v>
      </c>
      <c r="D549" t="s">
        <v>111</v>
      </c>
      <c r="E549" t="s">
        <v>122</v>
      </c>
      <c r="F549" s="12" t="s">
        <v>24</v>
      </c>
      <c r="G549" t="s">
        <v>25</v>
      </c>
      <c r="H549" t="s">
        <v>1530</v>
      </c>
      <c r="I549" t="s">
        <v>71</v>
      </c>
      <c r="J549" s="6">
        <v>52100</v>
      </c>
      <c r="K549" t="s">
        <v>3</v>
      </c>
      <c r="L549" t="s">
        <v>1531</v>
      </c>
      <c r="M549" t="s">
        <v>3</v>
      </c>
      <c r="N549" s="25" t="str">
        <f>TEXT(tbl_Ledger[[#This Row],[Date]],"yyyy-mm")</f>
        <v>2025-08</v>
      </c>
      <c r="O549" s="25" t="str">
        <f>TEXT(tbl_Ledger[[#This Row],[Date]],"yyyy-mm") &amp; TRIM(tbl_Ledger[[#This Row],[Currency]])</f>
        <v>2025-08NGN</v>
      </c>
      <c r="P549" s="25">
        <f>_xlfn.XLOOKUP(tbl_Ledger[[#This Row],[Key]], tbl_FX[Key], tbl_FX[Rate_to_NGN])</f>
        <v>1</v>
      </c>
      <c r="Q549" s="37">
        <f>IF(tbl_Ledger[[#This Row],[Account_Type]]="Expense",-ABS(tbl_Ledger[[#This Row],[Amount]]*tbl_Ledger[[#This Row],[Rate_to_NGN]]),tbl_Ledger[[#This Row],[Amount]]*tbl_Ledger[[#This Row],[Rate_to_NGN]])</f>
        <v>52100</v>
      </c>
      <c r="R549" s="25" t="str">
        <f>_xlfn.XLOOKUP(tbl_Ledger[[#This Row],[Account_Code]], tbl_Accounts[Account_Code], tbl_Accounts[Type])</f>
        <v>Revenue</v>
      </c>
      <c r="S549" s="25" t="str">
        <f>_xlfn.XLOOKUP(tbl_Ledger[[#This Row],[Account_Code]], tbl_Accounts[Account_Code], tbl_Accounts[PL_Bucket])</f>
        <v>Revenue</v>
      </c>
      <c r="T549" s="25">
        <f t="shared" si="8"/>
        <v>52100</v>
      </c>
    </row>
    <row r="550" spans="1:20">
      <c r="A550" t="s">
        <v>1532</v>
      </c>
      <c r="B550" s="7">
        <v>45874</v>
      </c>
      <c r="C550" t="s">
        <v>126</v>
      </c>
      <c r="D550" t="s">
        <v>88</v>
      </c>
      <c r="E550" t="s">
        <v>127</v>
      </c>
      <c r="F550" s="12" t="s">
        <v>29</v>
      </c>
      <c r="G550" t="s">
        <v>30</v>
      </c>
      <c r="H550" t="s">
        <v>1533</v>
      </c>
      <c r="I550" t="s">
        <v>71</v>
      </c>
      <c r="J550" s="6">
        <v>45000</v>
      </c>
      <c r="K550" t="s">
        <v>129</v>
      </c>
      <c r="L550" t="s">
        <v>1534</v>
      </c>
      <c r="M550" t="s">
        <v>3</v>
      </c>
      <c r="N550" s="25" t="str">
        <f>TEXT(tbl_Ledger[[#This Row],[Date]],"yyyy-mm")</f>
        <v>2025-08</v>
      </c>
      <c r="O550" s="25" t="str">
        <f>TEXT(tbl_Ledger[[#This Row],[Date]],"yyyy-mm") &amp; TRIM(tbl_Ledger[[#This Row],[Currency]])</f>
        <v>2025-08NGN</v>
      </c>
      <c r="P550" s="25">
        <f>_xlfn.XLOOKUP(tbl_Ledger[[#This Row],[Key]], tbl_FX[Key], tbl_FX[Rate_to_NGN])</f>
        <v>1</v>
      </c>
      <c r="Q550" s="37">
        <f>IF(tbl_Ledger[[#This Row],[Account_Type]]="Expense",-ABS(tbl_Ledger[[#This Row],[Amount]]*tbl_Ledger[[#This Row],[Rate_to_NGN]]),tbl_Ledger[[#This Row],[Amount]]*tbl_Ledger[[#This Row],[Rate_to_NGN]])</f>
        <v>45000</v>
      </c>
      <c r="R550" s="25" t="str">
        <f>_xlfn.XLOOKUP(tbl_Ledger[[#This Row],[Account_Code]], tbl_Accounts[Account_Code], tbl_Accounts[Type])</f>
        <v>Revenue</v>
      </c>
      <c r="S550" s="25" t="str">
        <f>_xlfn.XLOOKUP(tbl_Ledger[[#This Row],[Account_Code]], tbl_Accounts[Account_Code], tbl_Accounts[PL_Bucket])</f>
        <v>Revenue</v>
      </c>
      <c r="T550" s="25">
        <f t="shared" si="8"/>
        <v>45000</v>
      </c>
    </row>
    <row r="551" spans="1:20">
      <c r="A551" t="s">
        <v>1535</v>
      </c>
      <c r="B551" s="7">
        <v>45874</v>
      </c>
      <c r="C551" t="s">
        <v>126</v>
      </c>
      <c r="D551" t="s">
        <v>88</v>
      </c>
      <c r="E551" t="s">
        <v>132</v>
      </c>
      <c r="F551" s="12" t="s">
        <v>29</v>
      </c>
      <c r="G551" t="s">
        <v>30</v>
      </c>
      <c r="H551" t="s">
        <v>1536</v>
      </c>
      <c r="I551" t="s">
        <v>71</v>
      </c>
      <c r="J551" s="6">
        <v>54100</v>
      </c>
      <c r="K551" t="s">
        <v>134</v>
      </c>
      <c r="L551" t="s">
        <v>1534</v>
      </c>
      <c r="M551" t="s">
        <v>3</v>
      </c>
      <c r="N551" s="25" t="str">
        <f>TEXT(tbl_Ledger[[#This Row],[Date]],"yyyy-mm")</f>
        <v>2025-08</v>
      </c>
      <c r="O551" s="25" t="str">
        <f>TEXT(tbl_Ledger[[#This Row],[Date]],"yyyy-mm") &amp; TRIM(tbl_Ledger[[#This Row],[Currency]])</f>
        <v>2025-08NGN</v>
      </c>
      <c r="P551" s="25">
        <f>_xlfn.XLOOKUP(tbl_Ledger[[#This Row],[Key]], tbl_FX[Key], tbl_FX[Rate_to_NGN])</f>
        <v>1</v>
      </c>
      <c r="Q551" s="37">
        <f>IF(tbl_Ledger[[#This Row],[Account_Type]]="Expense",-ABS(tbl_Ledger[[#This Row],[Amount]]*tbl_Ledger[[#This Row],[Rate_to_NGN]]),tbl_Ledger[[#This Row],[Amount]]*tbl_Ledger[[#This Row],[Rate_to_NGN]])</f>
        <v>54100</v>
      </c>
      <c r="R551" s="25" t="str">
        <f>_xlfn.XLOOKUP(tbl_Ledger[[#This Row],[Account_Code]], tbl_Accounts[Account_Code], tbl_Accounts[Type])</f>
        <v>Revenue</v>
      </c>
      <c r="S551" s="25" t="str">
        <f>_xlfn.XLOOKUP(tbl_Ledger[[#This Row],[Account_Code]], tbl_Accounts[Account_Code], tbl_Accounts[PL_Bucket])</f>
        <v>Revenue</v>
      </c>
      <c r="T551" s="25">
        <f t="shared" si="8"/>
        <v>54100</v>
      </c>
    </row>
    <row r="552" spans="1:20">
      <c r="A552" t="s">
        <v>1537</v>
      </c>
      <c r="B552" s="7">
        <v>45874</v>
      </c>
      <c r="C552" t="s">
        <v>126</v>
      </c>
      <c r="D552" t="s">
        <v>88</v>
      </c>
      <c r="E552" t="s">
        <v>136</v>
      </c>
      <c r="F552" s="12" t="s">
        <v>29</v>
      </c>
      <c r="G552" t="s">
        <v>30</v>
      </c>
      <c r="H552" t="s">
        <v>1538</v>
      </c>
      <c r="I552" t="s">
        <v>72</v>
      </c>
      <c r="J552" s="6">
        <v>28.12</v>
      </c>
      <c r="K552" t="s">
        <v>138</v>
      </c>
      <c r="L552" t="s">
        <v>1534</v>
      </c>
      <c r="M552" t="s">
        <v>3</v>
      </c>
      <c r="N552" s="25" t="str">
        <f>TEXT(tbl_Ledger[[#This Row],[Date]],"yyyy-mm")</f>
        <v>2025-08</v>
      </c>
      <c r="O552" s="25" t="str">
        <f>TEXT(tbl_Ledger[[#This Row],[Date]],"yyyy-mm") &amp; TRIM(tbl_Ledger[[#This Row],[Currency]])</f>
        <v>2025-08USD</v>
      </c>
      <c r="P552" s="25">
        <f>_xlfn.XLOOKUP(tbl_Ledger[[#This Row],[Key]], tbl_FX[Key], tbl_FX[Rate_to_NGN])</f>
        <v>1572</v>
      </c>
      <c r="Q552" s="37">
        <f>IF(tbl_Ledger[[#This Row],[Account_Type]]="Expense",-ABS(tbl_Ledger[[#This Row],[Amount]]*tbl_Ledger[[#This Row],[Rate_to_NGN]]),tbl_Ledger[[#This Row],[Amount]]*tbl_Ledger[[#This Row],[Rate_to_NGN]])</f>
        <v>44204.639999999999</v>
      </c>
      <c r="R552" s="25" t="str">
        <f>_xlfn.XLOOKUP(tbl_Ledger[[#This Row],[Account_Code]], tbl_Accounts[Account_Code], tbl_Accounts[Type])</f>
        <v>Revenue</v>
      </c>
      <c r="S552" s="25" t="str">
        <f>_xlfn.XLOOKUP(tbl_Ledger[[#This Row],[Account_Code]], tbl_Accounts[Account_Code], tbl_Accounts[PL_Bucket])</f>
        <v>Revenue</v>
      </c>
      <c r="T552" s="25">
        <f t="shared" si="8"/>
        <v>44204.639999999999</v>
      </c>
    </row>
    <row r="553" spans="1:20">
      <c r="A553" t="s">
        <v>1539</v>
      </c>
      <c r="B553" s="7">
        <v>45874</v>
      </c>
      <c r="C553" t="s">
        <v>126</v>
      </c>
      <c r="D553" t="s">
        <v>88</v>
      </c>
      <c r="E553" t="s">
        <v>140</v>
      </c>
      <c r="F553" s="12" t="s">
        <v>29</v>
      </c>
      <c r="G553" t="s">
        <v>30</v>
      </c>
      <c r="H553" t="s">
        <v>1540</v>
      </c>
      <c r="I553" t="s">
        <v>71</v>
      </c>
      <c r="J553" s="6">
        <v>43400</v>
      </c>
      <c r="K553" t="s">
        <v>3</v>
      </c>
      <c r="L553" t="s">
        <v>1541</v>
      </c>
      <c r="M553" t="s">
        <v>3</v>
      </c>
      <c r="N553" s="25" t="str">
        <f>TEXT(tbl_Ledger[[#This Row],[Date]],"yyyy-mm")</f>
        <v>2025-08</v>
      </c>
      <c r="O553" s="25" t="str">
        <f>TEXT(tbl_Ledger[[#This Row],[Date]],"yyyy-mm") &amp; TRIM(tbl_Ledger[[#This Row],[Currency]])</f>
        <v>2025-08NGN</v>
      </c>
      <c r="P553" s="25">
        <f>_xlfn.XLOOKUP(tbl_Ledger[[#This Row],[Key]], tbl_FX[Key], tbl_FX[Rate_to_NGN])</f>
        <v>1</v>
      </c>
      <c r="Q553" s="37">
        <f>IF(tbl_Ledger[[#This Row],[Account_Type]]="Expense",-ABS(tbl_Ledger[[#This Row],[Amount]]*tbl_Ledger[[#This Row],[Rate_to_NGN]]),tbl_Ledger[[#This Row],[Amount]]*tbl_Ledger[[#This Row],[Rate_to_NGN]])</f>
        <v>43400</v>
      </c>
      <c r="R553" s="25" t="str">
        <f>_xlfn.XLOOKUP(tbl_Ledger[[#This Row],[Account_Code]], tbl_Accounts[Account_Code], tbl_Accounts[Type])</f>
        <v>Revenue</v>
      </c>
      <c r="S553" s="25" t="str">
        <f>_xlfn.XLOOKUP(tbl_Ledger[[#This Row],[Account_Code]], tbl_Accounts[Account_Code], tbl_Accounts[PL_Bucket])</f>
        <v>Revenue</v>
      </c>
      <c r="T553" s="25">
        <f t="shared" si="8"/>
        <v>43400</v>
      </c>
    </row>
    <row r="554" spans="1:20">
      <c r="A554" t="s">
        <v>1542</v>
      </c>
      <c r="B554" s="7">
        <v>45874</v>
      </c>
      <c r="C554" t="s">
        <v>93</v>
      </c>
      <c r="D554" t="s">
        <v>111</v>
      </c>
      <c r="E554" t="s">
        <v>112</v>
      </c>
      <c r="F554" s="12" t="s">
        <v>31</v>
      </c>
      <c r="G554" t="s">
        <v>32</v>
      </c>
      <c r="H554" t="s">
        <v>1543</v>
      </c>
      <c r="I554" t="s">
        <v>71</v>
      </c>
      <c r="J554" s="6">
        <v>-118171</v>
      </c>
      <c r="K554" t="s">
        <v>3</v>
      </c>
      <c r="L554" t="s">
        <v>1544</v>
      </c>
      <c r="M554" t="s">
        <v>3</v>
      </c>
      <c r="N554" s="25" t="str">
        <f>TEXT(tbl_Ledger[[#This Row],[Date]],"yyyy-mm")</f>
        <v>2025-08</v>
      </c>
      <c r="O554" s="25" t="str">
        <f>TEXT(tbl_Ledger[[#This Row],[Date]],"yyyy-mm") &amp; TRIM(tbl_Ledger[[#This Row],[Currency]])</f>
        <v>2025-08NGN</v>
      </c>
      <c r="P554" s="25">
        <f>_xlfn.XLOOKUP(tbl_Ledger[[#This Row],[Key]], tbl_FX[Key], tbl_FX[Rate_to_NGN])</f>
        <v>1</v>
      </c>
      <c r="Q554" s="37">
        <f>IF(tbl_Ledger[[#This Row],[Account_Type]]="Expense",-ABS(tbl_Ledger[[#This Row],[Amount]]*tbl_Ledger[[#This Row],[Rate_to_NGN]]),tbl_Ledger[[#This Row],[Amount]]*tbl_Ledger[[#This Row],[Rate_to_NGN]])</f>
        <v>-118171</v>
      </c>
      <c r="R554" s="25" t="str">
        <f>_xlfn.XLOOKUP(tbl_Ledger[[#This Row],[Account_Code]], tbl_Accounts[Account_Code], tbl_Accounts[Type])</f>
        <v>Revenue</v>
      </c>
      <c r="S554" s="25" t="str">
        <f>_xlfn.XLOOKUP(tbl_Ledger[[#This Row],[Account_Code]], tbl_Accounts[Account_Code], tbl_Accounts[PL_Bucket])</f>
        <v>Revenue</v>
      </c>
      <c r="T554" s="25">
        <f t="shared" si="8"/>
        <v>118171</v>
      </c>
    </row>
    <row r="555" spans="1:20">
      <c r="A555" t="s">
        <v>1545</v>
      </c>
      <c r="B555" s="7">
        <v>45874</v>
      </c>
      <c r="C555" t="s">
        <v>93</v>
      </c>
      <c r="D555" t="s">
        <v>94</v>
      </c>
      <c r="E555" t="s">
        <v>95</v>
      </c>
      <c r="F555" s="12" t="s">
        <v>31</v>
      </c>
      <c r="G555" t="s">
        <v>32</v>
      </c>
      <c r="H555" t="s">
        <v>1546</v>
      </c>
      <c r="I555" t="s">
        <v>71</v>
      </c>
      <c r="J555" s="6">
        <v>74787</v>
      </c>
      <c r="K555" t="s">
        <v>3</v>
      </c>
      <c r="L555" t="s">
        <v>1547</v>
      </c>
      <c r="M555" t="s">
        <v>237</v>
      </c>
      <c r="N555" s="25" t="str">
        <f>TEXT(tbl_Ledger[[#This Row],[Date]],"yyyy-mm")</f>
        <v>2025-08</v>
      </c>
      <c r="O555" s="25" t="str">
        <f>TEXT(tbl_Ledger[[#This Row],[Date]],"yyyy-mm") &amp; TRIM(tbl_Ledger[[#This Row],[Currency]])</f>
        <v>2025-08NGN</v>
      </c>
      <c r="P555" s="25">
        <f>_xlfn.XLOOKUP(tbl_Ledger[[#This Row],[Key]], tbl_FX[Key], tbl_FX[Rate_to_NGN])</f>
        <v>1</v>
      </c>
      <c r="Q555" s="37">
        <f>IF(tbl_Ledger[[#This Row],[Account_Type]]="Expense",-ABS(tbl_Ledger[[#This Row],[Amount]]*tbl_Ledger[[#This Row],[Rate_to_NGN]]),tbl_Ledger[[#This Row],[Amount]]*tbl_Ledger[[#This Row],[Rate_to_NGN]])</f>
        <v>74787</v>
      </c>
      <c r="R555" s="25" t="str">
        <f>_xlfn.XLOOKUP(tbl_Ledger[[#This Row],[Account_Code]], tbl_Accounts[Account_Code], tbl_Accounts[Type])</f>
        <v>Revenue</v>
      </c>
      <c r="S555" s="25" t="str">
        <f>_xlfn.XLOOKUP(tbl_Ledger[[#This Row],[Account_Code]], tbl_Accounts[Account_Code], tbl_Accounts[PL_Bucket])</f>
        <v>Revenue</v>
      </c>
      <c r="T555" s="25">
        <f t="shared" si="8"/>
        <v>74787</v>
      </c>
    </row>
    <row r="556" spans="1:20">
      <c r="A556" t="s">
        <v>1548</v>
      </c>
      <c r="B556" s="7">
        <v>45874</v>
      </c>
      <c r="C556" t="s">
        <v>87</v>
      </c>
      <c r="D556" t="s">
        <v>94</v>
      </c>
      <c r="E556" t="s">
        <v>3</v>
      </c>
      <c r="F556" s="12" t="s">
        <v>49</v>
      </c>
      <c r="G556" t="s">
        <v>50</v>
      </c>
      <c r="H556" t="s">
        <v>1549</v>
      </c>
      <c r="I556" t="s">
        <v>71</v>
      </c>
      <c r="J556" s="6">
        <v>-720000</v>
      </c>
      <c r="K556" t="s">
        <v>320</v>
      </c>
      <c r="L556" t="s">
        <v>1550</v>
      </c>
      <c r="M556" t="s">
        <v>3</v>
      </c>
      <c r="N556" s="25" t="str">
        <f>TEXT(tbl_Ledger[[#This Row],[Date]],"yyyy-mm")</f>
        <v>2025-08</v>
      </c>
      <c r="O556" s="25" t="str">
        <f>TEXT(tbl_Ledger[[#This Row],[Date]],"yyyy-mm") &amp; TRIM(tbl_Ledger[[#This Row],[Currency]])</f>
        <v>2025-08NGN</v>
      </c>
      <c r="P556" s="25">
        <f>_xlfn.XLOOKUP(tbl_Ledger[[#This Row],[Key]], tbl_FX[Key], tbl_FX[Rate_to_NGN])</f>
        <v>1</v>
      </c>
      <c r="Q556" s="37">
        <f>IF(tbl_Ledger[[#This Row],[Account_Type]]="Expense",-ABS(tbl_Ledger[[#This Row],[Amount]]*tbl_Ledger[[#This Row],[Rate_to_NGN]]),tbl_Ledger[[#This Row],[Amount]]*tbl_Ledger[[#This Row],[Rate_to_NGN]])</f>
        <v>-720000</v>
      </c>
      <c r="R556" s="25" t="str">
        <f>_xlfn.XLOOKUP(tbl_Ledger[[#This Row],[Account_Code]], tbl_Accounts[Account_Code], tbl_Accounts[Type])</f>
        <v>Opex</v>
      </c>
      <c r="S556" s="25" t="str">
        <f>_xlfn.XLOOKUP(tbl_Ledger[[#This Row],[Account_Code]], tbl_Accounts[Account_Code], tbl_Accounts[PL_Bucket])</f>
        <v>Opex</v>
      </c>
      <c r="T556" s="25">
        <f t="shared" si="8"/>
        <v>-720000</v>
      </c>
    </row>
    <row r="557" spans="1:20">
      <c r="A557" t="s">
        <v>1551</v>
      </c>
      <c r="B557" s="7">
        <v>45874</v>
      </c>
      <c r="C557" t="s">
        <v>87</v>
      </c>
      <c r="D557" t="s">
        <v>111</v>
      </c>
      <c r="E557" t="s">
        <v>3</v>
      </c>
      <c r="F557" s="12" t="s">
        <v>49</v>
      </c>
      <c r="G557" t="s">
        <v>50</v>
      </c>
      <c r="H557" t="s">
        <v>1549</v>
      </c>
      <c r="I557" t="s">
        <v>71</v>
      </c>
      <c r="J557" s="6">
        <v>-1400000</v>
      </c>
      <c r="K557" t="s">
        <v>320</v>
      </c>
      <c r="L557" t="s">
        <v>1552</v>
      </c>
      <c r="M557" t="s">
        <v>3</v>
      </c>
      <c r="N557" s="25" t="str">
        <f>TEXT(tbl_Ledger[[#This Row],[Date]],"yyyy-mm")</f>
        <v>2025-08</v>
      </c>
      <c r="O557" s="25" t="str">
        <f>TEXT(tbl_Ledger[[#This Row],[Date]],"yyyy-mm") &amp; TRIM(tbl_Ledger[[#This Row],[Currency]])</f>
        <v>2025-08NGN</v>
      </c>
      <c r="P557" s="25">
        <f>_xlfn.XLOOKUP(tbl_Ledger[[#This Row],[Key]], tbl_FX[Key], tbl_FX[Rate_to_NGN])</f>
        <v>1</v>
      </c>
      <c r="Q557" s="37">
        <f>IF(tbl_Ledger[[#This Row],[Account_Type]]="Expense",-ABS(tbl_Ledger[[#This Row],[Amount]]*tbl_Ledger[[#This Row],[Rate_to_NGN]]),tbl_Ledger[[#This Row],[Amount]]*tbl_Ledger[[#This Row],[Rate_to_NGN]])</f>
        <v>-1400000</v>
      </c>
      <c r="R557" s="25" t="str">
        <f>_xlfn.XLOOKUP(tbl_Ledger[[#This Row],[Account_Code]], tbl_Accounts[Account_Code], tbl_Accounts[Type])</f>
        <v>Opex</v>
      </c>
      <c r="S557" s="25" t="str">
        <f>_xlfn.XLOOKUP(tbl_Ledger[[#This Row],[Account_Code]], tbl_Accounts[Account_Code], tbl_Accounts[PL_Bucket])</f>
        <v>Opex</v>
      </c>
      <c r="T557" s="25">
        <f t="shared" si="8"/>
        <v>-1400000</v>
      </c>
    </row>
    <row r="558" spans="1:20">
      <c r="A558" t="s">
        <v>1553</v>
      </c>
      <c r="B558" s="7">
        <v>45874</v>
      </c>
      <c r="C558" t="s">
        <v>87</v>
      </c>
      <c r="D558" t="s">
        <v>88</v>
      </c>
      <c r="E558" t="s">
        <v>3</v>
      </c>
      <c r="F558" s="12" t="s">
        <v>49</v>
      </c>
      <c r="G558" t="s">
        <v>50</v>
      </c>
      <c r="H558" t="s">
        <v>1549</v>
      </c>
      <c r="I558" t="s">
        <v>71</v>
      </c>
      <c r="J558" s="6">
        <v>-380000</v>
      </c>
      <c r="K558" t="s">
        <v>320</v>
      </c>
      <c r="L558" t="s">
        <v>1554</v>
      </c>
      <c r="M558" t="s">
        <v>3</v>
      </c>
      <c r="N558" s="25" t="str">
        <f>TEXT(tbl_Ledger[[#This Row],[Date]],"yyyy-mm")</f>
        <v>2025-08</v>
      </c>
      <c r="O558" s="25" t="str">
        <f>TEXT(tbl_Ledger[[#This Row],[Date]],"yyyy-mm") &amp; TRIM(tbl_Ledger[[#This Row],[Currency]])</f>
        <v>2025-08NGN</v>
      </c>
      <c r="P558" s="25">
        <f>_xlfn.XLOOKUP(tbl_Ledger[[#This Row],[Key]], tbl_FX[Key], tbl_FX[Rate_to_NGN])</f>
        <v>1</v>
      </c>
      <c r="Q558" s="37">
        <f>IF(tbl_Ledger[[#This Row],[Account_Type]]="Expense",-ABS(tbl_Ledger[[#This Row],[Amount]]*tbl_Ledger[[#This Row],[Rate_to_NGN]]),tbl_Ledger[[#This Row],[Amount]]*tbl_Ledger[[#This Row],[Rate_to_NGN]])</f>
        <v>-380000</v>
      </c>
      <c r="R558" s="25" t="str">
        <f>_xlfn.XLOOKUP(tbl_Ledger[[#This Row],[Account_Code]], tbl_Accounts[Account_Code], tbl_Accounts[Type])</f>
        <v>Opex</v>
      </c>
      <c r="S558" s="25" t="str">
        <f>_xlfn.XLOOKUP(tbl_Ledger[[#This Row],[Account_Code]], tbl_Accounts[Account_Code], tbl_Accounts[PL_Bucket])</f>
        <v>Opex</v>
      </c>
      <c r="T558" s="25">
        <f t="shared" si="8"/>
        <v>-380000</v>
      </c>
    </row>
    <row r="559" spans="1:20">
      <c r="A559" t="s">
        <v>1555</v>
      </c>
      <c r="B559" s="7">
        <v>45875</v>
      </c>
      <c r="C559" t="s">
        <v>93</v>
      </c>
      <c r="D559" t="s">
        <v>94</v>
      </c>
      <c r="E559" t="s">
        <v>95</v>
      </c>
      <c r="F559" s="12" t="s">
        <v>24</v>
      </c>
      <c r="G559" t="s">
        <v>25</v>
      </c>
      <c r="H559" t="s">
        <v>1556</v>
      </c>
      <c r="I559" t="s">
        <v>71</v>
      </c>
      <c r="J559" s="6">
        <v>32000</v>
      </c>
      <c r="K559" t="s">
        <v>3</v>
      </c>
      <c r="L559" t="s">
        <v>1557</v>
      </c>
      <c r="M559" t="s">
        <v>3</v>
      </c>
      <c r="N559" s="25" t="str">
        <f>TEXT(tbl_Ledger[[#This Row],[Date]],"yyyy-mm")</f>
        <v>2025-08</v>
      </c>
      <c r="O559" s="25" t="str">
        <f>TEXT(tbl_Ledger[[#This Row],[Date]],"yyyy-mm") &amp; TRIM(tbl_Ledger[[#This Row],[Currency]])</f>
        <v>2025-08NGN</v>
      </c>
      <c r="P559" s="25">
        <f>_xlfn.XLOOKUP(tbl_Ledger[[#This Row],[Key]], tbl_FX[Key], tbl_FX[Rate_to_NGN])</f>
        <v>1</v>
      </c>
      <c r="Q559" s="37">
        <f>IF(tbl_Ledger[[#This Row],[Account_Type]]="Expense",-ABS(tbl_Ledger[[#This Row],[Amount]]*tbl_Ledger[[#This Row],[Rate_to_NGN]]),tbl_Ledger[[#This Row],[Amount]]*tbl_Ledger[[#This Row],[Rate_to_NGN]])</f>
        <v>32000</v>
      </c>
      <c r="R559" s="25" t="str">
        <f>_xlfn.XLOOKUP(tbl_Ledger[[#This Row],[Account_Code]], tbl_Accounts[Account_Code], tbl_Accounts[Type])</f>
        <v>Revenue</v>
      </c>
      <c r="S559" s="25" t="str">
        <f>_xlfn.XLOOKUP(tbl_Ledger[[#This Row],[Account_Code]], tbl_Accounts[Account_Code], tbl_Accounts[PL_Bucket])</f>
        <v>Revenue</v>
      </c>
      <c r="T559" s="25">
        <f t="shared" si="8"/>
        <v>32000</v>
      </c>
    </row>
    <row r="560" spans="1:20">
      <c r="A560" t="s">
        <v>1558</v>
      </c>
      <c r="B560" s="7">
        <v>45875</v>
      </c>
      <c r="C560" t="s">
        <v>93</v>
      </c>
      <c r="D560" t="s">
        <v>94</v>
      </c>
      <c r="E560" t="s">
        <v>99</v>
      </c>
      <c r="F560" s="12" t="s">
        <v>24</v>
      </c>
      <c r="G560" t="s">
        <v>25</v>
      </c>
      <c r="H560" t="s">
        <v>1559</v>
      </c>
      <c r="I560" t="s">
        <v>71</v>
      </c>
      <c r="J560" s="6">
        <v>29300</v>
      </c>
      <c r="K560" t="s">
        <v>3</v>
      </c>
      <c r="L560" t="s">
        <v>1560</v>
      </c>
      <c r="M560" t="s">
        <v>3</v>
      </c>
      <c r="N560" s="25" t="str">
        <f>TEXT(tbl_Ledger[[#This Row],[Date]],"yyyy-mm")</f>
        <v>2025-08</v>
      </c>
      <c r="O560" s="25" t="str">
        <f>TEXT(tbl_Ledger[[#This Row],[Date]],"yyyy-mm") &amp; TRIM(tbl_Ledger[[#This Row],[Currency]])</f>
        <v>2025-08NGN</v>
      </c>
      <c r="P560" s="25">
        <f>_xlfn.XLOOKUP(tbl_Ledger[[#This Row],[Key]], tbl_FX[Key], tbl_FX[Rate_to_NGN])</f>
        <v>1</v>
      </c>
      <c r="Q560" s="37">
        <f>IF(tbl_Ledger[[#This Row],[Account_Type]]="Expense",-ABS(tbl_Ledger[[#This Row],[Amount]]*tbl_Ledger[[#This Row],[Rate_to_NGN]]),tbl_Ledger[[#This Row],[Amount]]*tbl_Ledger[[#This Row],[Rate_to_NGN]])</f>
        <v>29300</v>
      </c>
      <c r="R560" s="25" t="str">
        <f>_xlfn.XLOOKUP(tbl_Ledger[[#This Row],[Account_Code]], tbl_Accounts[Account_Code], tbl_Accounts[Type])</f>
        <v>Revenue</v>
      </c>
      <c r="S560" s="25" t="str">
        <f>_xlfn.XLOOKUP(tbl_Ledger[[#This Row],[Account_Code]], tbl_Accounts[Account_Code], tbl_Accounts[PL_Bucket])</f>
        <v>Revenue</v>
      </c>
      <c r="T560" s="25">
        <f t="shared" si="8"/>
        <v>29300</v>
      </c>
    </row>
    <row r="561" spans="1:20">
      <c r="A561" t="s">
        <v>1561</v>
      </c>
      <c r="B561" s="7">
        <v>45875</v>
      </c>
      <c r="C561" t="s">
        <v>93</v>
      </c>
      <c r="D561" t="s">
        <v>94</v>
      </c>
      <c r="E561" t="s">
        <v>103</v>
      </c>
      <c r="F561" s="12" t="s">
        <v>24</v>
      </c>
      <c r="G561" t="s">
        <v>25</v>
      </c>
      <c r="H561" t="s">
        <v>1562</v>
      </c>
      <c r="I561" t="s">
        <v>71</v>
      </c>
      <c r="J561" s="6">
        <v>27500</v>
      </c>
      <c r="K561" t="s">
        <v>3</v>
      </c>
      <c r="L561" t="s">
        <v>1563</v>
      </c>
      <c r="M561" t="s">
        <v>3</v>
      </c>
      <c r="N561" s="25" t="str">
        <f>TEXT(tbl_Ledger[[#This Row],[Date]],"yyyy-mm")</f>
        <v>2025-08</v>
      </c>
      <c r="O561" s="25" t="str">
        <f>TEXT(tbl_Ledger[[#This Row],[Date]],"yyyy-mm") &amp; TRIM(tbl_Ledger[[#This Row],[Currency]])</f>
        <v>2025-08NGN</v>
      </c>
      <c r="P561" s="25">
        <f>_xlfn.XLOOKUP(tbl_Ledger[[#This Row],[Key]], tbl_FX[Key], tbl_FX[Rate_to_NGN])</f>
        <v>1</v>
      </c>
      <c r="Q561" s="37">
        <f>IF(tbl_Ledger[[#This Row],[Account_Type]]="Expense",-ABS(tbl_Ledger[[#This Row],[Amount]]*tbl_Ledger[[#This Row],[Rate_to_NGN]]),tbl_Ledger[[#This Row],[Amount]]*tbl_Ledger[[#This Row],[Rate_to_NGN]])</f>
        <v>27500</v>
      </c>
      <c r="R561" s="25" t="str">
        <f>_xlfn.XLOOKUP(tbl_Ledger[[#This Row],[Account_Code]], tbl_Accounts[Account_Code], tbl_Accounts[Type])</f>
        <v>Revenue</v>
      </c>
      <c r="S561" s="25" t="str">
        <f>_xlfn.XLOOKUP(tbl_Ledger[[#This Row],[Account_Code]], tbl_Accounts[Account_Code], tbl_Accounts[PL_Bucket])</f>
        <v>Revenue</v>
      </c>
      <c r="T561" s="25">
        <f t="shared" si="8"/>
        <v>27500</v>
      </c>
    </row>
    <row r="562" spans="1:20">
      <c r="A562" t="s">
        <v>1564</v>
      </c>
      <c r="B562" s="7">
        <v>45875</v>
      </c>
      <c r="C562" t="s">
        <v>93</v>
      </c>
      <c r="D562" t="s">
        <v>94</v>
      </c>
      <c r="E562" t="s">
        <v>160</v>
      </c>
      <c r="F562" s="12" t="s">
        <v>24</v>
      </c>
      <c r="G562" t="s">
        <v>25</v>
      </c>
      <c r="H562" t="s">
        <v>1565</v>
      </c>
      <c r="I562" t="s">
        <v>71</v>
      </c>
      <c r="J562" s="6">
        <v>32000</v>
      </c>
      <c r="K562" t="s">
        <v>3</v>
      </c>
      <c r="L562" t="s">
        <v>1563</v>
      </c>
      <c r="M562" t="s">
        <v>3</v>
      </c>
      <c r="N562" s="25" t="str">
        <f>TEXT(tbl_Ledger[[#This Row],[Date]],"yyyy-mm")</f>
        <v>2025-08</v>
      </c>
      <c r="O562" s="25" t="str">
        <f>TEXT(tbl_Ledger[[#This Row],[Date]],"yyyy-mm") &amp; TRIM(tbl_Ledger[[#This Row],[Currency]])</f>
        <v>2025-08NGN</v>
      </c>
      <c r="P562" s="25">
        <f>_xlfn.XLOOKUP(tbl_Ledger[[#This Row],[Key]], tbl_FX[Key], tbl_FX[Rate_to_NGN])</f>
        <v>1</v>
      </c>
      <c r="Q562" s="37">
        <f>IF(tbl_Ledger[[#This Row],[Account_Type]]="Expense",-ABS(tbl_Ledger[[#This Row],[Amount]]*tbl_Ledger[[#This Row],[Rate_to_NGN]]),tbl_Ledger[[#This Row],[Amount]]*tbl_Ledger[[#This Row],[Rate_to_NGN]])</f>
        <v>32000</v>
      </c>
      <c r="R562" s="25" t="str">
        <f>_xlfn.XLOOKUP(tbl_Ledger[[#This Row],[Account_Code]], tbl_Accounts[Account_Code], tbl_Accounts[Type])</f>
        <v>Revenue</v>
      </c>
      <c r="S562" s="25" t="str">
        <f>_xlfn.XLOOKUP(tbl_Ledger[[#This Row],[Account_Code]], tbl_Accounts[Account_Code], tbl_Accounts[PL_Bucket])</f>
        <v>Revenue</v>
      </c>
      <c r="T562" s="25">
        <f t="shared" si="8"/>
        <v>32000</v>
      </c>
    </row>
    <row r="563" spans="1:20">
      <c r="A563" t="s">
        <v>1566</v>
      </c>
      <c r="B563" s="7">
        <v>45875</v>
      </c>
      <c r="C563" t="s">
        <v>93</v>
      </c>
      <c r="D563" t="s">
        <v>94</v>
      </c>
      <c r="E563" t="s">
        <v>107</v>
      </c>
      <c r="F563" s="12" t="s">
        <v>24</v>
      </c>
      <c r="G563" t="s">
        <v>25</v>
      </c>
      <c r="H563" t="s">
        <v>1567</v>
      </c>
      <c r="I563" t="s">
        <v>71</v>
      </c>
      <c r="J563" s="6">
        <v>32400</v>
      </c>
      <c r="K563" t="s">
        <v>3</v>
      </c>
      <c r="L563" t="s">
        <v>1568</v>
      </c>
      <c r="M563" t="s">
        <v>3</v>
      </c>
      <c r="N563" s="25" t="str">
        <f>TEXT(tbl_Ledger[[#This Row],[Date]],"yyyy-mm")</f>
        <v>2025-08</v>
      </c>
      <c r="O563" s="25" t="str">
        <f>TEXT(tbl_Ledger[[#This Row],[Date]],"yyyy-mm") &amp; TRIM(tbl_Ledger[[#This Row],[Currency]])</f>
        <v>2025-08NGN</v>
      </c>
      <c r="P563" s="25">
        <f>_xlfn.XLOOKUP(tbl_Ledger[[#This Row],[Key]], tbl_FX[Key], tbl_FX[Rate_to_NGN])</f>
        <v>1</v>
      </c>
      <c r="Q563" s="37">
        <f>IF(tbl_Ledger[[#This Row],[Account_Type]]="Expense",-ABS(tbl_Ledger[[#This Row],[Amount]]*tbl_Ledger[[#This Row],[Rate_to_NGN]]),tbl_Ledger[[#This Row],[Amount]]*tbl_Ledger[[#This Row],[Rate_to_NGN]])</f>
        <v>32400</v>
      </c>
      <c r="R563" s="25" t="str">
        <f>_xlfn.XLOOKUP(tbl_Ledger[[#This Row],[Account_Code]], tbl_Accounts[Account_Code], tbl_Accounts[Type])</f>
        <v>Revenue</v>
      </c>
      <c r="S563" s="25" t="str">
        <f>_xlfn.XLOOKUP(tbl_Ledger[[#This Row],[Account_Code]], tbl_Accounts[Account_Code], tbl_Accounts[PL_Bucket])</f>
        <v>Revenue</v>
      </c>
      <c r="T563" s="25">
        <f t="shared" si="8"/>
        <v>32400</v>
      </c>
    </row>
    <row r="564" spans="1:20">
      <c r="A564" t="s">
        <v>1569</v>
      </c>
      <c r="B564" s="7">
        <v>45875</v>
      </c>
      <c r="C564" t="s">
        <v>93</v>
      </c>
      <c r="D564" t="s">
        <v>111</v>
      </c>
      <c r="E564" t="s">
        <v>112</v>
      </c>
      <c r="F564" s="12" t="s">
        <v>24</v>
      </c>
      <c r="G564" t="s">
        <v>25</v>
      </c>
      <c r="H564" t="s">
        <v>1570</v>
      </c>
      <c r="I564" t="s">
        <v>71</v>
      </c>
      <c r="J564" s="6">
        <v>51100</v>
      </c>
      <c r="K564" t="s">
        <v>3</v>
      </c>
      <c r="L564" t="s">
        <v>1571</v>
      </c>
      <c r="M564" t="s">
        <v>3</v>
      </c>
      <c r="N564" s="25" t="str">
        <f>TEXT(tbl_Ledger[[#This Row],[Date]],"yyyy-mm")</f>
        <v>2025-08</v>
      </c>
      <c r="O564" s="25" t="str">
        <f>TEXT(tbl_Ledger[[#This Row],[Date]],"yyyy-mm") &amp; TRIM(tbl_Ledger[[#This Row],[Currency]])</f>
        <v>2025-08NGN</v>
      </c>
      <c r="P564" s="25">
        <f>_xlfn.XLOOKUP(tbl_Ledger[[#This Row],[Key]], tbl_FX[Key], tbl_FX[Rate_to_NGN])</f>
        <v>1</v>
      </c>
      <c r="Q564" s="37">
        <f>IF(tbl_Ledger[[#This Row],[Account_Type]]="Expense",-ABS(tbl_Ledger[[#This Row],[Amount]]*tbl_Ledger[[#This Row],[Rate_to_NGN]]),tbl_Ledger[[#This Row],[Amount]]*tbl_Ledger[[#This Row],[Rate_to_NGN]])</f>
        <v>51100</v>
      </c>
      <c r="R564" s="25" t="str">
        <f>_xlfn.XLOOKUP(tbl_Ledger[[#This Row],[Account_Code]], tbl_Accounts[Account_Code], tbl_Accounts[Type])</f>
        <v>Revenue</v>
      </c>
      <c r="S564" s="25" t="str">
        <f>_xlfn.XLOOKUP(tbl_Ledger[[#This Row],[Account_Code]], tbl_Accounts[Account_Code], tbl_Accounts[PL_Bucket])</f>
        <v>Revenue</v>
      </c>
      <c r="T564" s="25">
        <f t="shared" si="8"/>
        <v>51100</v>
      </c>
    </row>
    <row r="565" spans="1:20">
      <c r="A565" t="s">
        <v>1572</v>
      </c>
      <c r="B565" s="7">
        <v>45875</v>
      </c>
      <c r="C565" t="s">
        <v>93</v>
      </c>
      <c r="D565" t="s">
        <v>111</v>
      </c>
      <c r="E565" t="s">
        <v>116</v>
      </c>
      <c r="F565" s="12" t="s">
        <v>24</v>
      </c>
      <c r="G565" t="s">
        <v>25</v>
      </c>
      <c r="H565" t="s">
        <v>1573</v>
      </c>
      <c r="I565" t="s">
        <v>71</v>
      </c>
      <c r="J565" s="6">
        <v>53000</v>
      </c>
      <c r="K565" t="s">
        <v>3</v>
      </c>
      <c r="L565" t="s">
        <v>1571</v>
      </c>
      <c r="M565" t="s">
        <v>3</v>
      </c>
      <c r="N565" s="25" t="str">
        <f>TEXT(tbl_Ledger[[#This Row],[Date]],"yyyy-mm")</f>
        <v>2025-08</v>
      </c>
      <c r="O565" s="25" t="str">
        <f>TEXT(tbl_Ledger[[#This Row],[Date]],"yyyy-mm") &amp; TRIM(tbl_Ledger[[#This Row],[Currency]])</f>
        <v>2025-08NGN</v>
      </c>
      <c r="P565" s="25">
        <f>_xlfn.XLOOKUP(tbl_Ledger[[#This Row],[Key]], tbl_FX[Key], tbl_FX[Rate_to_NGN])</f>
        <v>1</v>
      </c>
      <c r="Q565" s="37">
        <f>IF(tbl_Ledger[[#This Row],[Account_Type]]="Expense",-ABS(tbl_Ledger[[#This Row],[Amount]]*tbl_Ledger[[#This Row],[Rate_to_NGN]]),tbl_Ledger[[#This Row],[Amount]]*tbl_Ledger[[#This Row],[Rate_to_NGN]])</f>
        <v>53000</v>
      </c>
      <c r="R565" s="25" t="str">
        <f>_xlfn.XLOOKUP(tbl_Ledger[[#This Row],[Account_Code]], tbl_Accounts[Account_Code], tbl_Accounts[Type])</f>
        <v>Revenue</v>
      </c>
      <c r="S565" s="25" t="str">
        <f>_xlfn.XLOOKUP(tbl_Ledger[[#This Row],[Account_Code]], tbl_Accounts[Account_Code], tbl_Accounts[PL_Bucket])</f>
        <v>Revenue</v>
      </c>
      <c r="T565" s="25">
        <f t="shared" si="8"/>
        <v>53000</v>
      </c>
    </row>
    <row r="566" spans="1:20">
      <c r="A566" t="s">
        <v>1574</v>
      </c>
      <c r="B566" s="7">
        <v>45875</v>
      </c>
      <c r="C566" t="s">
        <v>93</v>
      </c>
      <c r="D566" t="s">
        <v>111</v>
      </c>
      <c r="E566" t="s">
        <v>119</v>
      </c>
      <c r="F566" s="12" t="s">
        <v>24</v>
      </c>
      <c r="G566" t="s">
        <v>25</v>
      </c>
      <c r="H566" t="s">
        <v>1575</v>
      </c>
      <c r="I566" t="s">
        <v>71</v>
      </c>
      <c r="J566" s="6">
        <v>50400</v>
      </c>
      <c r="K566" t="s">
        <v>3</v>
      </c>
      <c r="L566" t="s">
        <v>1571</v>
      </c>
      <c r="M566" t="s">
        <v>3</v>
      </c>
      <c r="N566" s="25" t="str">
        <f>TEXT(tbl_Ledger[[#This Row],[Date]],"yyyy-mm")</f>
        <v>2025-08</v>
      </c>
      <c r="O566" s="25" t="str">
        <f>TEXT(tbl_Ledger[[#This Row],[Date]],"yyyy-mm") &amp; TRIM(tbl_Ledger[[#This Row],[Currency]])</f>
        <v>2025-08NGN</v>
      </c>
      <c r="P566" s="25">
        <f>_xlfn.XLOOKUP(tbl_Ledger[[#This Row],[Key]], tbl_FX[Key], tbl_FX[Rate_to_NGN])</f>
        <v>1</v>
      </c>
      <c r="Q566" s="37">
        <f>IF(tbl_Ledger[[#This Row],[Account_Type]]="Expense",-ABS(tbl_Ledger[[#This Row],[Amount]]*tbl_Ledger[[#This Row],[Rate_to_NGN]]),tbl_Ledger[[#This Row],[Amount]]*tbl_Ledger[[#This Row],[Rate_to_NGN]])</f>
        <v>50400</v>
      </c>
      <c r="R566" s="25" t="str">
        <f>_xlfn.XLOOKUP(tbl_Ledger[[#This Row],[Account_Code]], tbl_Accounts[Account_Code], tbl_Accounts[Type])</f>
        <v>Revenue</v>
      </c>
      <c r="S566" s="25" t="str">
        <f>_xlfn.XLOOKUP(tbl_Ledger[[#This Row],[Account_Code]], tbl_Accounts[Account_Code], tbl_Accounts[PL_Bucket])</f>
        <v>Revenue</v>
      </c>
      <c r="T566" s="25">
        <f t="shared" si="8"/>
        <v>50400</v>
      </c>
    </row>
    <row r="567" spans="1:20">
      <c r="A567" t="s">
        <v>1576</v>
      </c>
      <c r="B567" s="7">
        <v>45875</v>
      </c>
      <c r="C567" t="s">
        <v>93</v>
      </c>
      <c r="D567" t="s">
        <v>111</v>
      </c>
      <c r="E567" t="s">
        <v>122</v>
      </c>
      <c r="F567" s="12" t="s">
        <v>24</v>
      </c>
      <c r="G567" t="s">
        <v>25</v>
      </c>
      <c r="H567" t="s">
        <v>1577</v>
      </c>
      <c r="I567" t="s">
        <v>71</v>
      </c>
      <c r="J567" s="6">
        <v>49300</v>
      </c>
      <c r="K567" t="s">
        <v>3</v>
      </c>
      <c r="L567" t="s">
        <v>1578</v>
      </c>
      <c r="M567" t="s">
        <v>3</v>
      </c>
      <c r="N567" s="25" t="str">
        <f>TEXT(tbl_Ledger[[#This Row],[Date]],"yyyy-mm")</f>
        <v>2025-08</v>
      </c>
      <c r="O567" s="25" t="str">
        <f>TEXT(tbl_Ledger[[#This Row],[Date]],"yyyy-mm") &amp; TRIM(tbl_Ledger[[#This Row],[Currency]])</f>
        <v>2025-08NGN</v>
      </c>
      <c r="P567" s="25">
        <f>_xlfn.XLOOKUP(tbl_Ledger[[#This Row],[Key]], tbl_FX[Key], tbl_FX[Rate_to_NGN])</f>
        <v>1</v>
      </c>
      <c r="Q567" s="37">
        <f>IF(tbl_Ledger[[#This Row],[Account_Type]]="Expense",-ABS(tbl_Ledger[[#This Row],[Amount]]*tbl_Ledger[[#This Row],[Rate_to_NGN]]),tbl_Ledger[[#This Row],[Amount]]*tbl_Ledger[[#This Row],[Rate_to_NGN]])</f>
        <v>49300</v>
      </c>
      <c r="R567" s="25" t="str">
        <f>_xlfn.XLOOKUP(tbl_Ledger[[#This Row],[Account_Code]], tbl_Accounts[Account_Code], tbl_Accounts[Type])</f>
        <v>Revenue</v>
      </c>
      <c r="S567" s="25" t="str">
        <f>_xlfn.XLOOKUP(tbl_Ledger[[#This Row],[Account_Code]], tbl_Accounts[Account_Code], tbl_Accounts[PL_Bucket])</f>
        <v>Revenue</v>
      </c>
      <c r="T567" s="25">
        <f t="shared" si="8"/>
        <v>49300</v>
      </c>
    </row>
    <row r="568" spans="1:20">
      <c r="A568" t="s">
        <v>1579</v>
      </c>
      <c r="B568" s="7">
        <v>45875</v>
      </c>
      <c r="C568" t="s">
        <v>126</v>
      </c>
      <c r="D568" t="s">
        <v>88</v>
      </c>
      <c r="E568" t="s">
        <v>127</v>
      </c>
      <c r="F568" s="12" t="s">
        <v>29</v>
      </c>
      <c r="G568" t="s">
        <v>30</v>
      </c>
      <c r="H568" t="s">
        <v>1580</v>
      </c>
      <c r="I568" t="s">
        <v>71</v>
      </c>
      <c r="J568" s="6">
        <v>43700</v>
      </c>
      <c r="K568" t="s">
        <v>129</v>
      </c>
      <c r="L568" t="s">
        <v>1581</v>
      </c>
      <c r="M568" t="s">
        <v>3</v>
      </c>
      <c r="N568" s="25" t="str">
        <f>TEXT(tbl_Ledger[[#This Row],[Date]],"yyyy-mm")</f>
        <v>2025-08</v>
      </c>
      <c r="O568" s="25" t="str">
        <f>TEXT(tbl_Ledger[[#This Row],[Date]],"yyyy-mm") &amp; TRIM(tbl_Ledger[[#This Row],[Currency]])</f>
        <v>2025-08NGN</v>
      </c>
      <c r="P568" s="25">
        <f>_xlfn.XLOOKUP(tbl_Ledger[[#This Row],[Key]], tbl_FX[Key], tbl_FX[Rate_to_NGN])</f>
        <v>1</v>
      </c>
      <c r="Q568" s="37">
        <f>IF(tbl_Ledger[[#This Row],[Account_Type]]="Expense",-ABS(tbl_Ledger[[#This Row],[Amount]]*tbl_Ledger[[#This Row],[Rate_to_NGN]]),tbl_Ledger[[#This Row],[Amount]]*tbl_Ledger[[#This Row],[Rate_to_NGN]])</f>
        <v>43700</v>
      </c>
      <c r="R568" s="25" t="str">
        <f>_xlfn.XLOOKUP(tbl_Ledger[[#This Row],[Account_Code]], tbl_Accounts[Account_Code], tbl_Accounts[Type])</f>
        <v>Revenue</v>
      </c>
      <c r="S568" s="25" t="str">
        <f>_xlfn.XLOOKUP(tbl_Ledger[[#This Row],[Account_Code]], tbl_Accounts[Account_Code], tbl_Accounts[PL_Bucket])</f>
        <v>Revenue</v>
      </c>
      <c r="T568" s="25">
        <f t="shared" si="8"/>
        <v>43700</v>
      </c>
    </row>
    <row r="569" spans="1:20">
      <c r="A569" t="s">
        <v>1582</v>
      </c>
      <c r="B569" s="7">
        <v>45875</v>
      </c>
      <c r="C569" t="s">
        <v>126</v>
      </c>
      <c r="D569" t="s">
        <v>88</v>
      </c>
      <c r="E569" t="s">
        <v>132</v>
      </c>
      <c r="F569" s="12" t="s">
        <v>29</v>
      </c>
      <c r="G569" t="s">
        <v>30</v>
      </c>
      <c r="H569" t="s">
        <v>1583</v>
      </c>
      <c r="I569" t="s">
        <v>71</v>
      </c>
      <c r="J569" s="6">
        <v>51300</v>
      </c>
      <c r="K569" t="s">
        <v>134</v>
      </c>
      <c r="L569" t="s">
        <v>1581</v>
      </c>
      <c r="M569" t="s">
        <v>3</v>
      </c>
      <c r="N569" s="25" t="str">
        <f>TEXT(tbl_Ledger[[#This Row],[Date]],"yyyy-mm")</f>
        <v>2025-08</v>
      </c>
      <c r="O569" s="25" t="str">
        <f>TEXT(tbl_Ledger[[#This Row],[Date]],"yyyy-mm") &amp; TRIM(tbl_Ledger[[#This Row],[Currency]])</f>
        <v>2025-08NGN</v>
      </c>
      <c r="P569" s="25">
        <f>_xlfn.XLOOKUP(tbl_Ledger[[#This Row],[Key]], tbl_FX[Key], tbl_FX[Rate_to_NGN])</f>
        <v>1</v>
      </c>
      <c r="Q569" s="37">
        <f>IF(tbl_Ledger[[#This Row],[Account_Type]]="Expense",-ABS(tbl_Ledger[[#This Row],[Amount]]*tbl_Ledger[[#This Row],[Rate_to_NGN]]),tbl_Ledger[[#This Row],[Amount]]*tbl_Ledger[[#This Row],[Rate_to_NGN]])</f>
        <v>51300</v>
      </c>
      <c r="R569" s="25" t="str">
        <f>_xlfn.XLOOKUP(tbl_Ledger[[#This Row],[Account_Code]], tbl_Accounts[Account_Code], tbl_Accounts[Type])</f>
        <v>Revenue</v>
      </c>
      <c r="S569" s="25" t="str">
        <f>_xlfn.XLOOKUP(tbl_Ledger[[#This Row],[Account_Code]], tbl_Accounts[Account_Code], tbl_Accounts[PL_Bucket])</f>
        <v>Revenue</v>
      </c>
      <c r="T569" s="25">
        <f t="shared" si="8"/>
        <v>51300</v>
      </c>
    </row>
    <row r="570" spans="1:20">
      <c r="A570" t="s">
        <v>1584</v>
      </c>
      <c r="B570" s="7">
        <v>45875</v>
      </c>
      <c r="C570" t="s">
        <v>126</v>
      </c>
      <c r="D570" t="s">
        <v>88</v>
      </c>
      <c r="E570" t="s">
        <v>136</v>
      </c>
      <c r="F570" s="12" t="s">
        <v>29</v>
      </c>
      <c r="G570" t="s">
        <v>30</v>
      </c>
      <c r="H570" t="s">
        <v>1585</v>
      </c>
      <c r="I570" t="s">
        <v>71</v>
      </c>
      <c r="J570" s="6">
        <v>53100</v>
      </c>
      <c r="K570" t="s">
        <v>138</v>
      </c>
      <c r="L570" t="s">
        <v>1581</v>
      </c>
      <c r="M570" t="s">
        <v>3</v>
      </c>
      <c r="N570" s="25" t="str">
        <f>TEXT(tbl_Ledger[[#This Row],[Date]],"yyyy-mm")</f>
        <v>2025-08</v>
      </c>
      <c r="O570" s="25" t="str">
        <f>TEXT(tbl_Ledger[[#This Row],[Date]],"yyyy-mm") &amp; TRIM(tbl_Ledger[[#This Row],[Currency]])</f>
        <v>2025-08NGN</v>
      </c>
      <c r="P570" s="25">
        <f>_xlfn.XLOOKUP(tbl_Ledger[[#This Row],[Key]], tbl_FX[Key], tbl_FX[Rate_to_NGN])</f>
        <v>1</v>
      </c>
      <c r="Q570" s="37">
        <f>IF(tbl_Ledger[[#This Row],[Account_Type]]="Expense",-ABS(tbl_Ledger[[#This Row],[Amount]]*tbl_Ledger[[#This Row],[Rate_to_NGN]]),tbl_Ledger[[#This Row],[Amount]]*tbl_Ledger[[#This Row],[Rate_to_NGN]])</f>
        <v>53100</v>
      </c>
      <c r="R570" s="25" t="str">
        <f>_xlfn.XLOOKUP(tbl_Ledger[[#This Row],[Account_Code]], tbl_Accounts[Account_Code], tbl_Accounts[Type])</f>
        <v>Revenue</v>
      </c>
      <c r="S570" s="25" t="str">
        <f>_xlfn.XLOOKUP(tbl_Ledger[[#This Row],[Account_Code]], tbl_Accounts[Account_Code], tbl_Accounts[PL_Bucket])</f>
        <v>Revenue</v>
      </c>
      <c r="T570" s="25">
        <f t="shared" si="8"/>
        <v>53100</v>
      </c>
    </row>
    <row r="571" spans="1:20">
      <c r="A571" t="s">
        <v>1586</v>
      </c>
      <c r="B571" s="7">
        <v>45875</v>
      </c>
      <c r="C571" t="s">
        <v>126</v>
      </c>
      <c r="D571" t="s">
        <v>88</v>
      </c>
      <c r="E571" t="s">
        <v>140</v>
      </c>
      <c r="F571" s="12" t="s">
        <v>29</v>
      </c>
      <c r="G571" t="s">
        <v>30</v>
      </c>
      <c r="H571" t="s">
        <v>1587</v>
      </c>
      <c r="I571" t="s">
        <v>71</v>
      </c>
      <c r="J571" s="6">
        <v>48200</v>
      </c>
      <c r="K571" t="s">
        <v>3</v>
      </c>
      <c r="L571" t="s">
        <v>1588</v>
      </c>
      <c r="M571" t="s">
        <v>3</v>
      </c>
      <c r="N571" s="25" t="str">
        <f>TEXT(tbl_Ledger[[#This Row],[Date]],"yyyy-mm")</f>
        <v>2025-08</v>
      </c>
      <c r="O571" s="25" t="str">
        <f>TEXT(tbl_Ledger[[#This Row],[Date]],"yyyy-mm") &amp; TRIM(tbl_Ledger[[#This Row],[Currency]])</f>
        <v>2025-08NGN</v>
      </c>
      <c r="P571" s="25">
        <f>_xlfn.XLOOKUP(tbl_Ledger[[#This Row],[Key]], tbl_FX[Key], tbl_FX[Rate_to_NGN])</f>
        <v>1</v>
      </c>
      <c r="Q571" s="37">
        <f>IF(tbl_Ledger[[#This Row],[Account_Type]]="Expense",-ABS(tbl_Ledger[[#This Row],[Amount]]*tbl_Ledger[[#This Row],[Rate_to_NGN]]),tbl_Ledger[[#This Row],[Amount]]*tbl_Ledger[[#This Row],[Rate_to_NGN]])</f>
        <v>48200</v>
      </c>
      <c r="R571" s="25" t="str">
        <f>_xlfn.XLOOKUP(tbl_Ledger[[#This Row],[Account_Code]], tbl_Accounts[Account_Code], tbl_Accounts[Type])</f>
        <v>Revenue</v>
      </c>
      <c r="S571" s="25" t="str">
        <f>_xlfn.XLOOKUP(tbl_Ledger[[#This Row],[Account_Code]], tbl_Accounts[Account_Code], tbl_Accounts[PL_Bucket])</f>
        <v>Revenue</v>
      </c>
      <c r="T571" s="25">
        <f t="shared" si="8"/>
        <v>48200</v>
      </c>
    </row>
    <row r="572" spans="1:20">
      <c r="A572" t="s">
        <v>1589</v>
      </c>
      <c r="B572" s="7">
        <v>45875</v>
      </c>
      <c r="C572" t="s">
        <v>93</v>
      </c>
      <c r="D572" t="s">
        <v>111</v>
      </c>
      <c r="E572" t="s">
        <v>112</v>
      </c>
      <c r="F572" s="12" t="s">
        <v>31</v>
      </c>
      <c r="G572" t="s">
        <v>32</v>
      </c>
      <c r="H572" t="s">
        <v>1590</v>
      </c>
      <c r="I572" t="s">
        <v>71</v>
      </c>
      <c r="J572" s="6">
        <v>106876</v>
      </c>
      <c r="K572" t="s">
        <v>3</v>
      </c>
      <c r="L572" t="s">
        <v>1591</v>
      </c>
      <c r="M572" t="s">
        <v>237</v>
      </c>
      <c r="N572" s="25" t="str">
        <f>TEXT(tbl_Ledger[[#This Row],[Date]],"yyyy-mm")</f>
        <v>2025-08</v>
      </c>
      <c r="O572" s="25" t="str">
        <f>TEXT(tbl_Ledger[[#This Row],[Date]],"yyyy-mm") &amp; TRIM(tbl_Ledger[[#This Row],[Currency]])</f>
        <v>2025-08NGN</v>
      </c>
      <c r="P572" s="25">
        <f>_xlfn.XLOOKUP(tbl_Ledger[[#This Row],[Key]], tbl_FX[Key], tbl_FX[Rate_to_NGN])</f>
        <v>1</v>
      </c>
      <c r="Q572" s="37">
        <f>IF(tbl_Ledger[[#This Row],[Account_Type]]="Expense",-ABS(tbl_Ledger[[#This Row],[Amount]]*tbl_Ledger[[#This Row],[Rate_to_NGN]]),tbl_Ledger[[#This Row],[Amount]]*tbl_Ledger[[#This Row],[Rate_to_NGN]])</f>
        <v>106876</v>
      </c>
      <c r="R572" s="25" t="str">
        <f>_xlfn.XLOOKUP(tbl_Ledger[[#This Row],[Account_Code]], tbl_Accounts[Account_Code], tbl_Accounts[Type])</f>
        <v>Revenue</v>
      </c>
      <c r="S572" s="25" t="str">
        <f>_xlfn.XLOOKUP(tbl_Ledger[[#This Row],[Account_Code]], tbl_Accounts[Account_Code], tbl_Accounts[PL_Bucket])</f>
        <v>Revenue</v>
      </c>
      <c r="T572" s="25">
        <f t="shared" si="8"/>
        <v>106876</v>
      </c>
    </row>
    <row r="573" spans="1:20">
      <c r="A573" t="s">
        <v>1592</v>
      </c>
      <c r="B573" s="7">
        <v>45875</v>
      </c>
      <c r="C573" t="s">
        <v>87</v>
      </c>
      <c r="D573" t="s">
        <v>111</v>
      </c>
      <c r="E573" t="s">
        <v>3</v>
      </c>
      <c r="F573" s="12" t="s">
        <v>36</v>
      </c>
      <c r="G573" t="s">
        <v>37</v>
      </c>
      <c r="H573" t="s">
        <v>1593</v>
      </c>
      <c r="I573" t="s">
        <v>71</v>
      </c>
      <c r="J573" s="6">
        <v>-1309000</v>
      </c>
      <c r="K573" t="s">
        <v>987</v>
      </c>
      <c r="L573" t="s">
        <v>1594</v>
      </c>
      <c r="M573" t="s">
        <v>3</v>
      </c>
      <c r="N573" s="25" t="str">
        <f>TEXT(tbl_Ledger[[#This Row],[Date]],"yyyy-mm")</f>
        <v>2025-08</v>
      </c>
      <c r="O573" s="25" t="str">
        <f>TEXT(tbl_Ledger[[#This Row],[Date]],"yyyy-mm") &amp; TRIM(tbl_Ledger[[#This Row],[Currency]])</f>
        <v>2025-08NGN</v>
      </c>
      <c r="P573" s="25">
        <f>_xlfn.XLOOKUP(tbl_Ledger[[#This Row],[Key]], tbl_FX[Key], tbl_FX[Rate_to_NGN])</f>
        <v>1</v>
      </c>
      <c r="Q573" s="37">
        <f>IF(tbl_Ledger[[#This Row],[Account_Type]]="Expense",-ABS(tbl_Ledger[[#This Row],[Amount]]*tbl_Ledger[[#This Row],[Rate_to_NGN]]),tbl_Ledger[[#This Row],[Amount]]*tbl_Ledger[[#This Row],[Rate_to_NGN]])</f>
        <v>-1309000</v>
      </c>
      <c r="R573" s="25" t="str">
        <f>_xlfn.XLOOKUP(tbl_Ledger[[#This Row],[Account_Code]], tbl_Accounts[Account_Code], tbl_Accounts[Type])</f>
        <v>COGS</v>
      </c>
      <c r="S573" s="25" t="str">
        <f>_xlfn.XLOOKUP(tbl_Ledger[[#This Row],[Account_Code]], tbl_Accounts[Account_Code], tbl_Accounts[PL_Bucket])</f>
        <v>COGS</v>
      </c>
      <c r="T573" s="25">
        <f t="shared" si="8"/>
        <v>-1309000</v>
      </c>
    </row>
    <row r="574" spans="1:20">
      <c r="A574" t="s">
        <v>1595</v>
      </c>
      <c r="B574" s="7">
        <v>45876</v>
      </c>
      <c r="C574" t="s">
        <v>93</v>
      </c>
      <c r="D574" t="s">
        <v>94</v>
      </c>
      <c r="E574" t="s">
        <v>95</v>
      </c>
      <c r="F574" s="12" t="s">
        <v>24</v>
      </c>
      <c r="G574" t="s">
        <v>25</v>
      </c>
      <c r="H574" t="s">
        <v>1596</v>
      </c>
      <c r="I574" t="s">
        <v>71</v>
      </c>
      <c r="J574" s="6">
        <v>29000</v>
      </c>
      <c r="K574" t="s">
        <v>3</v>
      </c>
      <c r="L574" t="s">
        <v>1597</v>
      </c>
      <c r="M574" t="s">
        <v>3</v>
      </c>
      <c r="N574" s="25" t="str">
        <f>TEXT(tbl_Ledger[[#This Row],[Date]],"yyyy-mm")</f>
        <v>2025-08</v>
      </c>
      <c r="O574" s="25" t="str">
        <f>TEXT(tbl_Ledger[[#This Row],[Date]],"yyyy-mm") &amp; TRIM(tbl_Ledger[[#This Row],[Currency]])</f>
        <v>2025-08NGN</v>
      </c>
      <c r="P574" s="25">
        <f>_xlfn.XLOOKUP(tbl_Ledger[[#This Row],[Key]], tbl_FX[Key], tbl_FX[Rate_to_NGN])</f>
        <v>1</v>
      </c>
      <c r="Q574" s="37">
        <f>IF(tbl_Ledger[[#This Row],[Account_Type]]="Expense",-ABS(tbl_Ledger[[#This Row],[Amount]]*tbl_Ledger[[#This Row],[Rate_to_NGN]]),tbl_Ledger[[#This Row],[Amount]]*tbl_Ledger[[#This Row],[Rate_to_NGN]])</f>
        <v>29000</v>
      </c>
      <c r="R574" s="25" t="str">
        <f>_xlfn.XLOOKUP(tbl_Ledger[[#This Row],[Account_Code]], tbl_Accounts[Account_Code], tbl_Accounts[Type])</f>
        <v>Revenue</v>
      </c>
      <c r="S574" s="25" t="str">
        <f>_xlfn.XLOOKUP(tbl_Ledger[[#This Row],[Account_Code]], tbl_Accounts[Account_Code], tbl_Accounts[PL_Bucket])</f>
        <v>Revenue</v>
      </c>
      <c r="T574" s="25">
        <f t="shared" si="8"/>
        <v>29000</v>
      </c>
    </row>
    <row r="575" spans="1:20">
      <c r="A575" t="s">
        <v>1598</v>
      </c>
      <c r="B575" s="7">
        <v>45876</v>
      </c>
      <c r="C575" t="s">
        <v>93</v>
      </c>
      <c r="D575" t="s">
        <v>94</v>
      </c>
      <c r="E575" t="s">
        <v>99</v>
      </c>
      <c r="F575" s="12" t="s">
        <v>24</v>
      </c>
      <c r="G575" t="s">
        <v>25</v>
      </c>
      <c r="H575" t="s">
        <v>1599</v>
      </c>
      <c r="I575" t="s">
        <v>71</v>
      </c>
      <c r="J575" s="6">
        <v>29800</v>
      </c>
      <c r="K575" t="s">
        <v>3</v>
      </c>
      <c r="L575" t="s">
        <v>1600</v>
      </c>
      <c r="M575" t="s">
        <v>3</v>
      </c>
      <c r="N575" s="25" t="str">
        <f>TEXT(tbl_Ledger[[#This Row],[Date]],"yyyy-mm")</f>
        <v>2025-08</v>
      </c>
      <c r="O575" s="25" t="str">
        <f>TEXT(tbl_Ledger[[#This Row],[Date]],"yyyy-mm") &amp; TRIM(tbl_Ledger[[#This Row],[Currency]])</f>
        <v>2025-08NGN</v>
      </c>
      <c r="P575" s="25">
        <f>_xlfn.XLOOKUP(tbl_Ledger[[#This Row],[Key]], tbl_FX[Key], tbl_FX[Rate_to_NGN])</f>
        <v>1</v>
      </c>
      <c r="Q575" s="37">
        <f>IF(tbl_Ledger[[#This Row],[Account_Type]]="Expense",-ABS(tbl_Ledger[[#This Row],[Amount]]*tbl_Ledger[[#This Row],[Rate_to_NGN]]),tbl_Ledger[[#This Row],[Amount]]*tbl_Ledger[[#This Row],[Rate_to_NGN]])</f>
        <v>29800</v>
      </c>
      <c r="R575" s="25" t="str">
        <f>_xlfn.XLOOKUP(tbl_Ledger[[#This Row],[Account_Code]], tbl_Accounts[Account_Code], tbl_Accounts[Type])</f>
        <v>Revenue</v>
      </c>
      <c r="S575" s="25" t="str">
        <f>_xlfn.XLOOKUP(tbl_Ledger[[#This Row],[Account_Code]], tbl_Accounts[Account_Code], tbl_Accounts[PL_Bucket])</f>
        <v>Revenue</v>
      </c>
      <c r="T575" s="25">
        <f t="shared" si="8"/>
        <v>29800</v>
      </c>
    </row>
    <row r="576" spans="1:20">
      <c r="A576" t="s">
        <v>1601</v>
      </c>
      <c r="B576" s="7">
        <v>45876</v>
      </c>
      <c r="C576" t="s">
        <v>93</v>
      </c>
      <c r="D576" t="s">
        <v>94</v>
      </c>
      <c r="E576" t="s">
        <v>103</v>
      </c>
      <c r="F576" s="12" t="s">
        <v>24</v>
      </c>
      <c r="G576" t="s">
        <v>25</v>
      </c>
      <c r="H576" t="s">
        <v>1602</v>
      </c>
      <c r="I576" t="s">
        <v>71</v>
      </c>
      <c r="J576" s="6">
        <v>32200</v>
      </c>
      <c r="K576" t="s">
        <v>3</v>
      </c>
      <c r="L576" t="s">
        <v>1603</v>
      </c>
      <c r="M576" t="s">
        <v>3</v>
      </c>
      <c r="N576" s="25" t="str">
        <f>TEXT(tbl_Ledger[[#This Row],[Date]],"yyyy-mm")</f>
        <v>2025-08</v>
      </c>
      <c r="O576" s="25" t="str">
        <f>TEXT(tbl_Ledger[[#This Row],[Date]],"yyyy-mm") &amp; TRIM(tbl_Ledger[[#This Row],[Currency]])</f>
        <v>2025-08NGN</v>
      </c>
      <c r="P576" s="25">
        <f>_xlfn.XLOOKUP(tbl_Ledger[[#This Row],[Key]], tbl_FX[Key], tbl_FX[Rate_to_NGN])</f>
        <v>1</v>
      </c>
      <c r="Q576" s="37">
        <f>IF(tbl_Ledger[[#This Row],[Account_Type]]="Expense",-ABS(tbl_Ledger[[#This Row],[Amount]]*tbl_Ledger[[#This Row],[Rate_to_NGN]]),tbl_Ledger[[#This Row],[Amount]]*tbl_Ledger[[#This Row],[Rate_to_NGN]])</f>
        <v>32200</v>
      </c>
      <c r="R576" s="25" t="str">
        <f>_xlfn.XLOOKUP(tbl_Ledger[[#This Row],[Account_Code]], tbl_Accounts[Account_Code], tbl_Accounts[Type])</f>
        <v>Revenue</v>
      </c>
      <c r="S576" s="25" t="str">
        <f>_xlfn.XLOOKUP(tbl_Ledger[[#This Row],[Account_Code]], tbl_Accounts[Account_Code], tbl_Accounts[PL_Bucket])</f>
        <v>Revenue</v>
      </c>
      <c r="T576" s="25">
        <f t="shared" si="8"/>
        <v>32200</v>
      </c>
    </row>
    <row r="577" spans="1:20">
      <c r="A577" t="s">
        <v>1604</v>
      </c>
      <c r="B577" s="7">
        <v>45876</v>
      </c>
      <c r="C577" t="s">
        <v>93</v>
      </c>
      <c r="D577" t="s">
        <v>94</v>
      </c>
      <c r="E577" t="s">
        <v>160</v>
      </c>
      <c r="F577" s="12" t="s">
        <v>24</v>
      </c>
      <c r="G577" t="s">
        <v>25</v>
      </c>
      <c r="H577" t="s">
        <v>1605</v>
      </c>
      <c r="I577" t="s">
        <v>71</v>
      </c>
      <c r="J577" s="6">
        <v>31400</v>
      </c>
      <c r="K577" t="s">
        <v>3</v>
      </c>
      <c r="L577" t="s">
        <v>1603</v>
      </c>
      <c r="M577" t="s">
        <v>3</v>
      </c>
      <c r="N577" s="25" t="str">
        <f>TEXT(tbl_Ledger[[#This Row],[Date]],"yyyy-mm")</f>
        <v>2025-08</v>
      </c>
      <c r="O577" s="25" t="str">
        <f>TEXT(tbl_Ledger[[#This Row],[Date]],"yyyy-mm") &amp; TRIM(tbl_Ledger[[#This Row],[Currency]])</f>
        <v>2025-08NGN</v>
      </c>
      <c r="P577" s="25">
        <f>_xlfn.XLOOKUP(tbl_Ledger[[#This Row],[Key]], tbl_FX[Key], tbl_FX[Rate_to_NGN])</f>
        <v>1</v>
      </c>
      <c r="Q577" s="37">
        <f>IF(tbl_Ledger[[#This Row],[Account_Type]]="Expense",-ABS(tbl_Ledger[[#This Row],[Amount]]*tbl_Ledger[[#This Row],[Rate_to_NGN]]),tbl_Ledger[[#This Row],[Amount]]*tbl_Ledger[[#This Row],[Rate_to_NGN]])</f>
        <v>31400</v>
      </c>
      <c r="R577" s="25" t="str">
        <f>_xlfn.XLOOKUP(tbl_Ledger[[#This Row],[Account_Code]], tbl_Accounts[Account_Code], tbl_Accounts[Type])</f>
        <v>Revenue</v>
      </c>
      <c r="S577" s="25" t="str">
        <f>_xlfn.XLOOKUP(tbl_Ledger[[#This Row],[Account_Code]], tbl_Accounts[Account_Code], tbl_Accounts[PL_Bucket])</f>
        <v>Revenue</v>
      </c>
      <c r="T577" s="25">
        <f t="shared" si="8"/>
        <v>31400</v>
      </c>
    </row>
    <row r="578" spans="1:20">
      <c r="A578" t="s">
        <v>1606</v>
      </c>
      <c r="B578" s="7">
        <v>45876</v>
      </c>
      <c r="C578" t="s">
        <v>93</v>
      </c>
      <c r="D578" t="s">
        <v>94</v>
      </c>
      <c r="E578" t="s">
        <v>107</v>
      </c>
      <c r="F578" s="12" t="s">
        <v>24</v>
      </c>
      <c r="G578" t="s">
        <v>25</v>
      </c>
      <c r="H578" t="s">
        <v>1607</v>
      </c>
      <c r="I578" t="s">
        <v>71</v>
      </c>
      <c r="J578" s="6">
        <v>30000</v>
      </c>
      <c r="K578" t="s">
        <v>3</v>
      </c>
      <c r="L578" t="s">
        <v>1608</v>
      </c>
      <c r="M578" t="s">
        <v>3</v>
      </c>
      <c r="N578" s="25" t="str">
        <f>TEXT(tbl_Ledger[[#This Row],[Date]],"yyyy-mm")</f>
        <v>2025-08</v>
      </c>
      <c r="O578" s="25" t="str">
        <f>TEXT(tbl_Ledger[[#This Row],[Date]],"yyyy-mm") &amp; TRIM(tbl_Ledger[[#This Row],[Currency]])</f>
        <v>2025-08NGN</v>
      </c>
      <c r="P578" s="25">
        <f>_xlfn.XLOOKUP(tbl_Ledger[[#This Row],[Key]], tbl_FX[Key], tbl_FX[Rate_to_NGN])</f>
        <v>1</v>
      </c>
      <c r="Q578" s="37">
        <f>IF(tbl_Ledger[[#This Row],[Account_Type]]="Expense",-ABS(tbl_Ledger[[#This Row],[Amount]]*tbl_Ledger[[#This Row],[Rate_to_NGN]]),tbl_Ledger[[#This Row],[Amount]]*tbl_Ledger[[#This Row],[Rate_to_NGN]])</f>
        <v>30000</v>
      </c>
      <c r="R578" s="25" t="str">
        <f>_xlfn.XLOOKUP(tbl_Ledger[[#This Row],[Account_Code]], tbl_Accounts[Account_Code], tbl_Accounts[Type])</f>
        <v>Revenue</v>
      </c>
      <c r="S578" s="25" t="str">
        <f>_xlfn.XLOOKUP(tbl_Ledger[[#This Row],[Account_Code]], tbl_Accounts[Account_Code], tbl_Accounts[PL_Bucket])</f>
        <v>Revenue</v>
      </c>
      <c r="T578" s="25">
        <f t="shared" ref="T578:T641" si="9">IF(AND(S578="Revenue",F578&lt;&gt;4900),ABS(Q578),-ABS(Q578))</f>
        <v>30000</v>
      </c>
    </row>
    <row r="579" spans="1:20">
      <c r="A579" t="s">
        <v>1609</v>
      </c>
      <c r="B579" s="7">
        <v>45876</v>
      </c>
      <c r="C579" t="s">
        <v>93</v>
      </c>
      <c r="D579" t="s">
        <v>111</v>
      </c>
      <c r="E579" t="s">
        <v>112</v>
      </c>
      <c r="F579" s="12" t="s">
        <v>24</v>
      </c>
      <c r="G579" t="s">
        <v>25</v>
      </c>
      <c r="H579" t="s">
        <v>1610</v>
      </c>
      <c r="I579" t="s">
        <v>71</v>
      </c>
      <c r="J579" s="6">
        <v>50300</v>
      </c>
      <c r="K579" t="s">
        <v>3</v>
      </c>
      <c r="L579" t="s">
        <v>1611</v>
      </c>
      <c r="M579" t="s">
        <v>3</v>
      </c>
      <c r="N579" s="25" t="str">
        <f>TEXT(tbl_Ledger[[#This Row],[Date]],"yyyy-mm")</f>
        <v>2025-08</v>
      </c>
      <c r="O579" s="25" t="str">
        <f>TEXT(tbl_Ledger[[#This Row],[Date]],"yyyy-mm") &amp; TRIM(tbl_Ledger[[#This Row],[Currency]])</f>
        <v>2025-08NGN</v>
      </c>
      <c r="P579" s="25">
        <f>_xlfn.XLOOKUP(tbl_Ledger[[#This Row],[Key]], tbl_FX[Key], tbl_FX[Rate_to_NGN])</f>
        <v>1</v>
      </c>
      <c r="Q579" s="37">
        <f>IF(tbl_Ledger[[#This Row],[Account_Type]]="Expense",-ABS(tbl_Ledger[[#This Row],[Amount]]*tbl_Ledger[[#This Row],[Rate_to_NGN]]),tbl_Ledger[[#This Row],[Amount]]*tbl_Ledger[[#This Row],[Rate_to_NGN]])</f>
        <v>50300</v>
      </c>
      <c r="R579" s="25" t="str">
        <f>_xlfn.XLOOKUP(tbl_Ledger[[#This Row],[Account_Code]], tbl_Accounts[Account_Code], tbl_Accounts[Type])</f>
        <v>Revenue</v>
      </c>
      <c r="S579" s="25" t="str">
        <f>_xlfn.XLOOKUP(tbl_Ledger[[#This Row],[Account_Code]], tbl_Accounts[Account_Code], tbl_Accounts[PL_Bucket])</f>
        <v>Revenue</v>
      </c>
      <c r="T579" s="25">
        <f t="shared" si="9"/>
        <v>50300</v>
      </c>
    </row>
    <row r="580" spans="1:20">
      <c r="A580" t="s">
        <v>1612</v>
      </c>
      <c r="B580" s="7">
        <v>45876</v>
      </c>
      <c r="C580" t="s">
        <v>93</v>
      </c>
      <c r="D580" t="s">
        <v>111</v>
      </c>
      <c r="E580" t="s">
        <v>116</v>
      </c>
      <c r="F580" s="12" t="s">
        <v>24</v>
      </c>
      <c r="G580" t="s">
        <v>25</v>
      </c>
      <c r="H580" t="s">
        <v>1613</v>
      </c>
      <c r="I580" t="s">
        <v>71</v>
      </c>
      <c r="J580" s="6">
        <v>53600</v>
      </c>
      <c r="K580" t="s">
        <v>3</v>
      </c>
      <c r="L580" t="s">
        <v>1611</v>
      </c>
      <c r="M580" t="s">
        <v>3</v>
      </c>
      <c r="N580" s="25" t="str">
        <f>TEXT(tbl_Ledger[[#This Row],[Date]],"yyyy-mm")</f>
        <v>2025-08</v>
      </c>
      <c r="O580" s="25" t="str">
        <f>TEXT(tbl_Ledger[[#This Row],[Date]],"yyyy-mm") &amp; TRIM(tbl_Ledger[[#This Row],[Currency]])</f>
        <v>2025-08NGN</v>
      </c>
      <c r="P580" s="25">
        <f>_xlfn.XLOOKUP(tbl_Ledger[[#This Row],[Key]], tbl_FX[Key], tbl_FX[Rate_to_NGN])</f>
        <v>1</v>
      </c>
      <c r="Q580" s="37">
        <f>IF(tbl_Ledger[[#This Row],[Account_Type]]="Expense",-ABS(tbl_Ledger[[#This Row],[Amount]]*tbl_Ledger[[#This Row],[Rate_to_NGN]]),tbl_Ledger[[#This Row],[Amount]]*tbl_Ledger[[#This Row],[Rate_to_NGN]])</f>
        <v>53600</v>
      </c>
      <c r="R580" s="25" t="str">
        <f>_xlfn.XLOOKUP(tbl_Ledger[[#This Row],[Account_Code]], tbl_Accounts[Account_Code], tbl_Accounts[Type])</f>
        <v>Revenue</v>
      </c>
      <c r="S580" s="25" t="str">
        <f>_xlfn.XLOOKUP(tbl_Ledger[[#This Row],[Account_Code]], tbl_Accounts[Account_Code], tbl_Accounts[PL_Bucket])</f>
        <v>Revenue</v>
      </c>
      <c r="T580" s="25">
        <f t="shared" si="9"/>
        <v>53600</v>
      </c>
    </row>
    <row r="581" spans="1:20">
      <c r="A581" t="s">
        <v>1614</v>
      </c>
      <c r="B581" s="7">
        <v>45876</v>
      </c>
      <c r="C581" t="s">
        <v>93</v>
      </c>
      <c r="D581" t="s">
        <v>111</v>
      </c>
      <c r="E581" t="s">
        <v>119</v>
      </c>
      <c r="F581" s="12" t="s">
        <v>24</v>
      </c>
      <c r="G581" t="s">
        <v>25</v>
      </c>
      <c r="H581" t="s">
        <v>1615</v>
      </c>
      <c r="I581" t="s">
        <v>71</v>
      </c>
      <c r="J581" s="6">
        <v>49900</v>
      </c>
      <c r="K581" t="s">
        <v>3</v>
      </c>
      <c r="L581" t="s">
        <v>1611</v>
      </c>
      <c r="M581" t="s">
        <v>3</v>
      </c>
      <c r="N581" s="25" t="str">
        <f>TEXT(tbl_Ledger[[#This Row],[Date]],"yyyy-mm")</f>
        <v>2025-08</v>
      </c>
      <c r="O581" s="25" t="str">
        <f>TEXT(tbl_Ledger[[#This Row],[Date]],"yyyy-mm") &amp; TRIM(tbl_Ledger[[#This Row],[Currency]])</f>
        <v>2025-08NGN</v>
      </c>
      <c r="P581" s="25">
        <f>_xlfn.XLOOKUP(tbl_Ledger[[#This Row],[Key]], tbl_FX[Key], tbl_FX[Rate_to_NGN])</f>
        <v>1</v>
      </c>
      <c r="Q581" s="37">
        <f>IF(tbl_Ledger[[#This Row],[Account_Type]]="Expense",-ABS(tbl_Ledger[[#This Row],[Amount]]*tbl_Ledger[[#This Row],[Rate_to_NGN]]),tbl_Ledger[[#This Row],[Amount]]*tbl_Ledger[[#This Row],[Rate_to_NGN]])</f>
        <v>49900</v>
      </c>
      <c r="R581" s="25" t="str">
        <f>_xlfn.XLOOKUP(tbl_Ledger[[#This Row],[Account_Code]], tbl_Accounts[Account_Code], tbl_Accounts[Type])</f>
        <v>Revenue</v>
      </c>
      <c r="S581" s="25" t="str">
        <f>_xlfn.XLOOKUP(tbl_Ledger[[#This Row],[Account_Code]], tbl_Accounts[Account_Code], tbl_Accounts[PL_Bucket])</f>
        <v>Revenue</v>
      </c>
      <c r="T581" s="25">
        <f t="shared" si="9"/>
        <v>49900</v>
      </c>
    </row>
    <row r="582" spans="1:20">
      <c r="A582" t="s">
        <v>1616</v>
      </c>
      <c r="B582" s="7">
        <v>45876</v>
      </c>
      <c r="C582" t="s">
        <v>93</v>
      </c>
      <c r="D582" t="s">
        <v>111</v>
      </c>
      <c r="E582" t="s">
        <v>122</v>
      </c>
      <c r="F582" s="12" t="s">
        <v>24</v>
      </c>
      <c r="G582" t="s">
        <v>25</v>
      </c>
      <c r="H582" t="s">
        <v>1617</v>
      </c>
      <c r="I582" t="s">
        <v>71</v>
      </c>
      <c r="J582" s="6">
        <v>52000</v>
      </c>
      <c r="K582" t="s">
        <v>3</v>
      </c>
      <c r="L582" t="s">
        <v>1618</v>
      </c>
      <c r="M582" t="s">
        <v>3</v>
      </c>
      <c r="N582" s="25" t="str">
        <f>TEXT(tbl_Ledger[[#This Row],[Date]],"yyyy-mm")</f>
        <v>2025-08</v>
      </c>
      <c r="O582" s="25" t="str">
        <f>TEXT(tbl_Ledger[[#This Row],[Date]],"yyyy-mm") &amp; TRIM(tbl_Ledger[[#This Row],[Currency]])</f>
        <v>2025-08NGN</v>
      </c>
      <c r="P582" s="25">
        <f>_xlfn.XLOOKUP(tbl_Ledger[[#This Row],[Key]], tbl_FX[Key], tbl_FX[Rate_to_NGN])</f>
        <v>1</v>
      </c>
      <c r="Q582" s="37">
        <f>IF(tbl_Ledger[[#This Row],[Account_Type]]="Expense",-ABS(tbl_Ledger[[#This Row],[Amount]]*tbl_Ledger[[#This Row],[Rate_to_NGN]]),tbl_Ledger[[#This Row],[Amount]]*tbl_Ledger[[#This Row],[Rate_to_NGN]])</f>
        <v>52000</v>
      </c>
      <c r="R582" s="25" t="str">
        <f>_xlfn.XLOOKUP(tbl_Ledger[[#This Row],[Account_Code]], tbl_Accounts[Account_Code], tbl_Accounts[Type])</f>
        <v>Revenue</v>
      </c>
      <c r="S582" s="25" t="str">
        <f>_xlfn.XLOOKUP(tbl_Ledger[[#This Row],[Account_Code]], tbl_Accounts[Account_Code], tbl_Accounts[PL_Bucket])</f>
        <v>Revenue</v>
      </c>
      <c r="T582" s="25">
        <f t="shared" si="9"/>
        <v>52000</v>
      </c>
    </row>
    <row r="583" spans="1:20">
      <c r="A583" t="s">
        <v>1619</v>
      </c>
      <c r="B583" s="7">
        <v>45876</v>
      </c>
      <c r="C583" t="s">
        <v>126</v>
      </c>
      <c r="D583" t="s">
        <v>88</v>
      </c>
      <c r="E583" t="s">
        <v>127</v>
      </c>
      <c r="F583" s="12" t="s">
        <v>29</v>
      </c>
      <c r="G583" t="s">
        <v>30</v>
      </c>
      <c r="H583" t="s">
        <v>1620</v>
      </c>
      <c r="I583" t="s">
        <v>72</v>
      </c>
      <c r="J583" s="6">
        <v>31.93</v>
      </c>
      <c r="K583" t="s">
        <v>129</v>
      </c>
      <c r="L583" t="s">
        <v>1621</v>
      </c>
      <c r="M583" t="s">
        <v>3</v>
      </c>
      <c r="N583" s="25" t="str">
        <f>TEXT(tbl_Ledger[[#This Row],[Date]],"yyyy-mm")</f>
        <v>2025-08</v>
      </c>
      <c r="O583" s="25" t="str">
        <f>TEXT(tbl_Ledger[[#This Row],[Date]],"yyyy-mm") &amp; TRIM(tbl_Ledger[[#This Row],[Currency]])</f>
        <v>2025-08USD</v>
      </c>
      <c r="P583" s="25">
        <f>_xlfn.XLOOKUP(tbl_Ledger[[#This Row],[Key]], tbl_FX[Key], tbl_FX[Rate_to_NGN])</f>
        <v>1572</v>
      </c>
      <c r="Q583" s="37">
        <f>IF(tbl_Ledger[[#This Row],[Account_Type]]="Expense",-ABS(tbl_Ledger[[#This Row],[Amount]]*tbl_Ledger[[#This Row],[Rate_to_NGN]]),tbl_Ledger[[#This Row],[Amount]]*tbl_Ledger[[#This Row],[Rate_to_NGN]])</f>
        <v>50193.96</v>
      </c>
      <c r="R583" s="25" t="str">
        <f>_xlfn.XLOOKUP(tbl_Ledger[[#This Row],[Account_Code]], tbl_Accounts[Account_Code], tbl_Accounts[Type])</f>
        <v>Revenue</v>
      </c>
      <c r="S583" s="25" t="str">
        <f>_xlfn.XLOOKUP(tbl_Ledger[[#This Row],[Account_Code]], tbl_Accounts[Account_Code], tbl_Accounts[PL_Bucket])</f>
        <v>Revenue</v>
      </c>
      <c r="T583" s="25">
        <f t="shared" si="9"/>
        <v>50193.96</v>
      </c>
    </row>
    <row r="584" spans="1:20">
      <c r="A584" t="s">
        <v>1622</v>
      </c>
      <c r="B584" s="7">
        <v>45876</v>
      </c>
      <c r="C584" t="s">
        <v>126</v>
      </c>
      <c r="D584" t="s">
        <v>88</v>
      </c>
      <c r="E584" t="s">
        <v>132</v>
      </c>
      <c r="F584" s="12" t="s">
        <v>29</v>
      </c>
      <c r="G584" t="s">
        <v>30</v>
      </c>
      <c r="H584" t="s">
        <v>1623</v>
      </c>
      <c r="I584" t="s">
        <v>71</v>
      </c>
      <c r="J584" s="6">
        <v>53600</v>
      </c>
      <c r="K584" t="s">
        <v>134</v>
      </c>
      <c r="L584" t="s">
        <v>1621</v>
      </c>
      <c r="M584" t="s">
        <v>3</v>
      </c>
      <c r="N584" s="25" t="str">
        <f>TEXT(tbl_Ledger[[#This Row],[Date]],"yyyy-mm")</f>
        <v>2025-08</v>
      </c>
      <c r="O584" s="25" t="str">
        <f>TEXT(tbl_Ledger[[#This Row],[Date]],"yyyy-mm") &amp; TRIM(tbl_Ledger[[#This Row],[Currency]])</f>
        <v>2025-08NGN</v>
      </c>
      <c r="P584" s="25">
        <f>_xlfn.XLOOKUP(tbl_Ledger[[#This Row],[Key]], tbl_FX[Key], tbl_FX[Rate_to_NGN])</f>
        <v>1</v>
      </c>
      <c r="Q584" s="37">
        <f>IF(tbl_Ledger[[#This Row],[Account_Type]]="Expense",-ABS(tbl_Ledger[[#This Row],[Amount]]*tbl_Ledger[[#This Row],[Rate_to_NGN]]),tbl_Ledger[[#This Row],[Amount]]*tbl_Ledger[[#This Row],[Rate_to_NGN]])</f>
        <v>53600</v>
      </c>
      <c r="R584" s="25" t="str">
        <f>_xlfn.XLOOKUP(tbl_Ledger[[#This Row],[Account_Code]], tbl_Accounts[Account_Code], tbl_Accounts[Type])</f>
        <v>Revenue</v>
      </c>
      <c r="S584" s="25" t="str">
        <f>_xlfn.XLOOKUP(tbl_Ledger[[#This Row],[Account_Code]], tbl_Accounts[Account_Code], tbl_Accounts[PL_Bucket])</f>
        <v>Revenue</v>
      </c>
      <c r="T584" s="25">
        <f t="shared" si="9"/>
        <v>53600</v>
      </c>
    </row>
    <row r="585" spans="1:20">
      <c r="A585" t="s">
        <v>1624</v>
      </c>
      <c r="B585" s="7">
        <v>45876</v>
      </c>
      <c r="C585" t="s">
        <v>126</v>
      </c>
      <c r="D585" t="s">
        <v>88</v>
      </c>
      <c r="E585" t="s">
        <v>136</v>
      </c>
      <c r="F585" s="12" t="s">
        <v>29</v>
      </c>
      <c r="G585" t="s">
        <v>30</v>
      </c>
      <c r="H585" t="s">
        <v>1625</v>
      </c>
      <c r="I585" t="s">
        <v>72</v>
      </c>
      <c r="J585" s="6">
        <v>34.99</v>
      </c>
      <c r="K585" t="s">
        <v>138</v>
      </c>
      <c r="L585" t="s">
        <v>1621</v>
      </c>
      <c r="M585" t="s">
        <v>3</v>
      </c>
      <c r="N585" s="25" t="str">
        <f>TEXT(tbl_Ledger[[#This Row],[Date]],"yyyy-mm")</f>
        <v>2025-08</v>
      </c>
      <c r="O585" s="25" t="str">
        <f>TEXT(tbl_Ledger[[#This Row],[Date]],"yyyy-mm") &amp; TRIM(tbl_Ledger[[#This Row],[Currency]])</f>
        <v>2025-08USD</v>
      </c>
      <c r="P585" s="25">
        <f>_xlfn.XLOOKUP(tbl_Ledger[[#This Row],[Key]], tbl_FX[Key], tbl_FX[Rate_to_NGN])</f>
        <v>1572</v>
      </c>
      <c r="Q585" s="37">
        <f>IF(tbl_Ledger[[#This Row],[Account_Type]]="Expense",-ABS(tbl_Ledger[[#This Row],[Amount]]*tbl_Ledger[[#This Row],[Rate_to_NGN]]),tbl_Ledger[[#This Row],[Amount]]*tbl_Ledger[[#This Row],[Rate_to_NGN]])</f>
        <v>55004.280000000006</v>
      </c>
      <c r="R585" s="25" t="str">
        <f>_xlfn.XLOOKUP(tbl_Ledger[[#This Row],[Account_Code]], tbl_Accounts[Account_Code], tbl_Accounts[Type])</f>
        <v>Revenue</v>
      </c>
      <c r="S585" s="25" t="str">
        <f>_xlfn.XLOOKUP(tbl_Ledger[[#This Row],[Account_Code]], tbl_Accounts[Account_Code], tbl_Accounts[PL_Bucket])</f>
        <v>Revenue</v>
      </c>
      <c r="T585" s="25">
        <f t="shared" si="9"/>
        <v>55004.280000000006</v>
      </c>
    </row>
    <row r="586" spans="1:20">
      <c r="A586" t="s">
        <v>1626</v>
      </c>
      <c r="B586" s="7">
        <v>45876</v>
      </c>
      <c r="C586" t="s">
        <v>126</v>
      </c>
      <c r="D586" t="s">
        <v>88</v>
      </c>
      <c r="E586" t="s">
        <v>140</v>
      </c>
      <c r="F586" s="12" t="s">
        <v>29</v>
      </c>
      <c r="G586" t="s">
        <v>30</v>
      </c>
      <c r="H586" t="s">
        <v>1627</v>
      </c>
      <c r="I586" t="s">
        <v>71</v>
      </c>
      <c r="J586" s="6">
        <v>50400</v>
      </c>
      <c r="K586" t="s">
        <v>3</v>
      </c>
      <c r="L586" t="s">
        <v>1628</v>
      </c>
      <c r="M586" t="s">
        <v>3</v>
      </c>
      <c r="N586" s="25" t="str">
        <f>TEXT(tbl_Ledger[[#This Row],[Date]],"yyyy-mm")</f>
        <v>2025-08</v>
      </c>
      <c r="O586" s="25" t="str">
        <f>TEXT(tbl_Ledger[[#This Row],[Date]],"yyyy-mm") &amp; TRIM(tbl_Ledger[[#This Row],[Currency]])</f>
        <v>2025-08NGN</v>
      </c>
      <c r="P586" s="25">
        <f>_xlfn.XLOOKUP(tbl_Ledger[[#This Row],[Key]], tbl_FX[Key], tbl_FX[Rate_to_NGN])</f>
        <v>1</v>
      </c>
      <c r="Q586" s="37">
        <f>IF(tbl_Ledger[[#This Row],[Account_Type]]="Expense",-ABS(tbl_Ledger[[#This Row],[Amount]]*tbl_Ledger[[#This Row],[Rate_to_NGN]]),tbl_Ledger[[#This Row],[Amount]]*tbl_Ledger[[#This Row],[Rate_to_NGN]])</f>
        <v>50400</v>
      </c>
      <c r="R586" s="25" t="str">
        <f>_xlfn.XLOOKUP(tbl_Ledger[[#This Row],[Account_Code]], tbl_Accounts[Account_Code], tbl_Accounts[Type])</f>
        <v>Revenue</v>
      </c>
      <c r="S586" s="25" t="str">
        <f>_xlfn.XLOOKUP(tbl_Ledger[[#This Row],[Account_Code]], tbl_Accounts[Account_Code], tbl_Accounts[PL_Bucket])</f>
        <v>Revenue</v>
      </c>
      <c r="T586" s="25">
        <f t="shared" si="9"/>
        <v>50400</v>
      </c>
    </row>
    <row r="587" spans="1:20">
      <c r="A587" t="s">
        <v>1629</v>
      </c>
      <c r="B587" s="7">
        <v>45876</v>
      </c>
      <c r="C587" t="s">
        <v>87</v>
      </c>
      <c r="D587" t="s">
        <v>94</v>
      </c>
      <c r="E587" t="s">
        <v>3</v>
      </c>
      <c r="F587" s="12" t="s">
        <v>33</v>
      </c>
      <c r="G587" t="s">
        <v>34</v>
      </c>
      <c r="H587" t="s">
        <v>1630</v>
      </c>
      <c r="I587" t="s">
        <v>71</v>
      </c>
      <c r="J587" s="6">
        <v>-619000</v>
      </c>
      <c r="K587" t="s">
        <v>316</v>
      </c>
      <c r="L587" t="s">
        <v>1631</v>
      </c>
      <c r="M587" t="s">
        <v>3</v>
      </c>
      <c r="N587" s="25" t="str">
        <f>TEXT(tbl_Ledger[[#This Row],[Date]],"yyyy-mm")</f>
        <v>2025-08</v>
      </c>
      <c r="O587" s="25" t="str">
        <f>TEXT(tbl_Ledger[[#This Row],[Date]],"yyyy-mm") &amp; TRIM(tbl_Ledger[[#This Row],[Currency]])</f>
        <v>2025-08NGN</v>
      </c>
      <c r="P587" s="25">
        <f>_xlfn.XLOOKUP(tbl_Ledger[[#This Row],[Key]], tbl_FX[Key], tbl_FX[Rate_to_NGN])</f>
        <v>1</v>
      </c>
      <c r="Q587" s="37">
        <f>IF(tbl_Ledger[[#This Row],[Account_Type]]="Expense",-ABS(tbl_Ledger[[#This Row],[Amount]]*tbl_Ledger[[#This Row],[Rate_to_NGN]]),tbl_Ledger[[#This Row],[Amount]]*tbl_Ledger[[#This Row],[Rate_to_NGN]])</f>
        <v>-619000</v>
      </c>
      <c r="R587" s="25" t="str">
        <f>_xlfn.XLOOKUP(tbl_Ledger[[#This Row],[Account_Code]], tbl_Accounts[Account_Code], tbl_Accounts[Type])</f>
        <v>COGS</v>
      </c>
      <c r="S587" s="25" t="str">
        <f>_xlfn.XLOOKUP(tbl_Ledger[[#This Row],[Account_Code]], tbl_Accounts[Account_Code], tbl_Accounts[PL_Bucket])</f>
        <v>COGS</v>
      </c>
      <c r="T587" s="25">
        <f t="shared" si="9"/>
        <v>-619000</v>
      </c>
    </row>
    <row r="588" spans="1:20">
      <c r="A588" t="s">
        <v>1632</v>
      </c>
      <c r="B588" s="7">
        <v>45876</v>
      </c>
      <c r="C588" t="s">
        <v>87</v>
      </c>
      <c r="D588" t="s">
        <v>94</v>
      </c>
      <c r="E588" t="s">
        <v>3</v>
      </c>
      <c r="F588" s="12" t="s">
        <v>33</v>
      </c>
      <c r="G588" t="s">
        <v>34</v>
      </c>
      <c r="H588" t="s">
        <v>1630</v>
      </c>
      <c r="I588" t="s">
        <v>71</v>
      </c>
      <c r="J588" s="6">
        <v>-687000</v>
      </c>
      <c r="K588" t="s">
        <v>316</v>
      </c>
      <c r="L588" t="s">
        <v>1633</v>
      </c>
      <c r="M588" t="s">
        <v>3</v>
      </c>
      <c r="N588" s="25" t="str">
        <f>TEXT(tbl_Ledger[[#This Row],[Date]],"yyyy-mm")</f>
        <v>2025-08</v>
      </c>
      <c r="O588" s="25" t="str">
        <f>TEXT(tbl_Ledger[[#This Row],[Date]],"yyyy-mm") &amp; TRIM(tbl_Ledger[[#This Row],[Currency]])</f>
        <v>2025-08NGN</v>
      </c>
      <c r="P588" s="25">
        <f>_xlfn.XLOOKUP(tbl_Ledger[[#This Row],[Key]], tbl_FX[Key], tbl_FX[Rate_to_NGN])</f>
        <v>1</v>
      </c>
      <c r="Q588" s="37">
        <f>IF(tbl_Ledger[[#This Row],[Account_Type]]="Expense",-ABS(tbl_Ledger[[#This Row],[Amount]]*tbl_Ledger[[#This Row],[Rate_to_NGN]]),tbl_Ledger[[#This Row],[Amount]]*tbl_Ledger[[#This Row],[Rate_to_NGN]])</f>
        <v>-687000</v>
      </c>
      <c r="R588" s="25" t="str">
        <f>_xlfn.XLOOKUP(tbl_Ledger[[#This Row],[Account_Code]], tbl_Accounts[Account_Code], tbl_Accounts[Type])</f>
        <v>COGS</v>
      </c>
      <c r="S588" s="25" t="str">
        <f>_xlfn.XLOOKUP(tbl_Ledger[[#This Row],[Account_Code]], tbl_Accounts[Account_Code], tbl_Accounts[PL_Bucket])</f>
        <v>COGS</v>
      </c>
      <c r="T588" s="25">
        <f t="shared" si="9"/>
        <v>-687000</v>
      </c>
    </row>
    <row r="589" spans="1:20">
      <c r="A589" t="s">
        <v>1634</v>
      </c>
      <c r="B589" s="7">
        <v>45876</v>
      </c>
      <c r="C589" t="s">
        <v>87</v>
      </c>
      <c r="D589" t="s">
        <v>88</v>
      </c>
      <c r="E589" t="s">
        <v>3</v>
      </c>
      <c r="F589" s="12" t="s">
        <v>40</v>
      </c>
      <c r="G589" t="s">
        <v>41</v>
      </c>
      <c r="H589" t="s">
        <v>1428</v>
      </c>
      <c r="I589" t="s">
        <v>71</v>
      </c>
      <c r="J589" s="6">
        <v>-564000</v>
      </c>
      <c r="K589" t="s">
        <v>90</v>
      </c>
      <c r="L589" t="s">
        <v>1635</v>
      </c>
      <c r="M589" t="s">
        <v>3</v>
      </c>
      <c r="N589" s="25" t="str">
        <f>TEXT(tbl_Ledger[[#This Row],[Date]],"yyyy-mm")</f>
        <v>2025-08</v>
      </c>
      <c r="O589" s="25" t="str">
        <f>TEXT(tbl_Ledger[[#This Row],[Date]],"yyyy-mm") &amp; TRIM(tbl_Ledger[[#This Row],[Currency]])</f>
        <v>2025-08NGN</v>
      </c>
      <c r="P589" s="25">
        <f>_xlfn.XLOOKUP(tbl_Ledger[[#This Row],[Key]], tbl_FX[Key], tbl_FX[Rate_to_NGN])</f>
        <v>1</v>
      </c>
      <c r="Q589" s="37">
        <f>IF(tbl_Ledger[[#This Row],[Account_Type]]="Expense",-ABS(tbl_Ledger[[#This Row],[Amount]]*tbl_Ledger[[#This Row],[Rate_to_NGN]]),tbl_Ledger[[#This Row],[Amount]]*tbl_Ledger[[#This Row],[Rate_to_NGN]])</f>
        <v>-564000</v>
      </c>
      <c r="R589" s="25" t="str">
        <f>_xlfn.XLOOKUP(tbl_Ledger[[#This Row],[Account_Code]], tbl_Accounts[Account_Code], tbl_Accounts[Type])</f>
        <v>COGS</v>
      </c>
      <c r="S589" s="25" t="str">
        <f>_xlfn.XLOOKUP(tbl_Ledger[[#This Row],[Account_Code]], tbl_Accounts[Account_Code], tbl_Accounts[PL_Bucket])</f>
        <v>COGS</v>
      </c>
      <c r="T589" s="25">
        <f t="shared" si="9"/>
        <v>-564000</v>
      </c>
    </row>
    <row r="590" spans="1:20">
      <c r="A590" t="s">
        <v>1636</v>
      </c>
      <c r="B590" s="7">
        <v>45877</v>
      </c>
      <c r="C590" t="s">
        <v>93</v>
      </c>
      <c r="D590" t="s">
        <v>94</v>
      </c>
      <c r="E590" t="s">
        <v>95</v>
      </c>
      <c r="F590" s="12" t="s">
        <v>24</v>
      </c>
      <c r="G590" t="s">
        <v>25</v>
      </c>
      <c r="H590" t="s">
        <v>1637</v>
      </c>
      <c r="I590" t="s">
        <v>71</v>
      </c>
      <c r="J590" s="6">
        <v>27500</v>
      </c>
      <c r="K590" t="s">
        <v>3</v>
      </c>
      <c r="L590" t="s">
        <v>1638</v>
      </c>
      <c r="M590" t="s">
        <v>3</v>
      </c>
      <c r="N590" s="25" t="str">
        <f>TEXT(tbl_Ledger[[#This Row],[Date]],"yyyy-mm")</f>
        <v>2025-08</v>
      </c>
      <c r="O590" s="25" t="str">
        <f>TEXT(tbl_Ledger[[#This Row],[Date]],"yyyy-mm") &amp; TRIM(tbl_Ledger[[#This Row],[Currency]])</f>
        <v>2025-08NGN</v>
      </c>
      <c r="P590" s="25">
        <f>_xlfn.XLOOKUP(tbl_Ledger[[#This Row],[Key]], tbl_FX[Key], tbl_FX[Rate_to_NGN])</f>
        <v>1</v>
      </c>
      <c r="Q590" s="37">
        <f>IF(tbl_Ledger[[#This Row],[Account_Type]]="Expense",-ABS(tbl_Ledger[[#This Row],[Amount]]*tbl_Ledger[[#This Row],[Rate_to_NGN]]),tbl_Ledger[[#This Row],[Amount]]*tbl_Ledger[[#This Row],[Rate_to_NGN]])</f>
        <v>27500</v>
      </c>
      <c r="R590" s="25" t="str">
        <f>_xlfn.XLOOKUP(tbl_Ledger[[#This Row],[Account_Code]], tbl_Accounts[Account_Code], tbl_Accounts[Type])</f>
        <v>Revenue</v>
      </c>
      <c r="S590" s="25" t="str">
        <f>_xlfn.XLOOKUP(tbl_Ledger[[#This Row],[Account_Code]], tbl_Accounts[Account_Code], tbl_Accounts[PL_Bucket])</f>
        <v>Revenue</v>
      </c>
      <c r="T590" s="25">
        <f t="shared" si="9"/>
        <v>27500</v>
      </c>
    </row>
    <row r="591" spans="1:20">
      <c r="A591" t="s">
        <v>1639</v>
      </c>
      <c r="B591" s="7">
        <v>45877</v>
      </c>
      <c r="C591" t="s">
        <v>93</v>
      </c>
      <c r="D591" t="s">
        <v>94</v>
      </c>
      <c r="E591" t="s">
        <v>99</v>
      </c>
      <c r="F591" s="12" t="s">
        <v>24</v>
      </c>
      <c r="G591" t="s">
        <v>25</v>
      </c>
      <c r="H591" t="s">
        <v>1640</v>
      </c>
      <c r="I591" t="s">
        <v>71</v>
      </c>
      <c r="J591" s="6">
        <v>29400</v>
      </c>
      <c r="K591" t="s">
        <v>3</v>
      </c>
      <c r="L591" t="s">
        <v>1641</v>
      </c>
      <c r="M591" t="s">
        <v>3</v>
      </c>
      <c r="N591" s="25" t="str">
        <f>TEXT(tbl_Ledger[[#This Row],[Date]],"yyyy-mm")</f>
        <v>2025-08</v>
      </c>
      <c r="O591" s="25" t="str">
        <f>TEXT(tbl_Ledger[[#This Row],[Date]],"yyyy-mm") &amp; TRIM(tbl_Ledger[[#This Row],[Currency]])</f>
        <v>2025-08NGN</v>
      </c>
      <c r="P591" s="25">
        <f>_xlfn.XLOOKUP(tbl_Ledger[[#This Row],[Key]], tbl_FX[Key], tbl_FX[Rate_to_NGN])</f>
        <v>1</v>
      </c>
      <c r="Q591" s="37">
        <f>IF(tbl_Ledger[[#This Row],[Account_Type]]="Expense",-ABS(tbl_Ledger[[#This Row],[Amount]]*tbl_Ledger[[#This Row],[Rate_to_NGN]]),tbl_Ledger[[#This Row],[Amount]]*tbl_Ledger[[#This Row],[Rate_to_NGN]])</f>
        <v>29400</v>
      </c>
      <c r="R591" s="25" t="str">
        <f>_xlfn.XLOOKUP(tbl_Ledger[[#This Row],[Account_Code]], tbl_Accounts[Account_Code], tbl_Accounts[Type])</f>
        <v>Revenue</v>
      </c>
      <c r="S591" s="25" t="str">
        <f>_xlfn.XLOOKUP(tbl_Ledger[[#This Row],[Account_Code]], tbl_Accounts[Account_Code], tbl_Accounts[PL_Bucket])</f>
        <v>Revenue</v>
      </c>
      <c r="T591" s="25">
        <f t="shared" si="9"/>
        <v>29400</v>
      </c>
    </row>
    <row r="592" spans="1:20">
      <c r="A592" t="s">
        <v>1642</v>
      </c>
      <c r="B592" s="7">
        <v>45877</v>
      </c>
      <c r="C592" t="s">
        <v>93</v>
      </c>
      <c r="D592" t="s">
        <v>94</v>
      </c>
      <c r="E592" t="s">
        <v>103</v>
      </c>
      <c r="F592" s="12" t="s">
        <v>24</v>
      </c>
      <c r="G592" t="s">
        <v>25</v>
      </c>
      <c r="H592" t="s">
        <v>1643</v>
      </c>
      <c r="I592" t="s">
        <v>71</v>
      </c>
      <c r="J592" s="6">
        <v>31900</v>
      </c>
      <c r="K592" t="s">
        <v>3</v>
      </c>
      <c r="L592" t="s">
        <v>1644</v>
      </c>
      <c r="M592" t="s">
        <v>3</v>
      </c>
      <c r="N592" s="25" t="str">
        <f>TEXT(tbl_Ledger[[#This Row],[Date]],"yyyy-mm")</f>
        <v>2025-08</v>
      </c>
      <c r="O592" s="25" t="str">
        <f>TEXT(tbl_Ledger[[#This Row],[Date]],"yyyy-mm") &amp; TRIM(tbl_Ledger[[#This Row],[Currency]])</f>
        <v>2025-08NGN</v>
      </c>
      <c r="P592" s="25">
        <f>_xlfn.XLOOKUP(tbl_Ledger[[#This Row],[Key]], tbl_FX[Key], tbl_FX[Rate_to_NGN])</f>
        <v>1</v>
      </c>
      <c r="Q592" s="37">
        <f>IF(tbl_Ledger[[#This Row],[Account_Type]]="Expense",-ABS(tbl_Ledger[[#This Row],[Amount]]*tbl_Ledger[[#This Row],[Rate_to_NGN]]),tbl_Ledger[[#This Row],[Amount]]*tbl_Ledger[[#This Row],[Rate_to_NGN]])</f>
        <v>31900</v>
      </c>
      <c r="R592" s="25" t="str">
        <f>_xlfn.XLOOKUP(tbl_Ledger[[#This Row],[Account_Code]], tbl_Accounts[Account_Code], tbl_Accounts[Type])</f>
        <v>Revenue</v>
      </c>
      <c r="S592" s="25" t="str">
        <f>_xlfn.XLOOKUP(tbl_Ledger[[#This Row],[Account_Code]], tbl_Accounts[Account_Code], tbl_Accounts[PL_Bucket])</f>
        <v>Revenue</v>
      </c>
      <c r="T592" s="25">
        <f t="shared" si="9"/>
        <v>31900</v>
      </c>
    </row>
    <row r="593" spans="1:20">
      <c r="A593" t="s">
        <v>1645</v>
      </c>
      <c r="B593" s="7">
        <v>45877</v>
      </c>
      <c r="C593" t="s">
        <v>93</v>
      </c>
      <c r="D593" t="s">
        <v>94</v>
      </c>
      <c r="E593" t="s">
        <v>160</v>
      </c>
      <c r="F593" s="12" t="s">
        <v>24</v>
      </c>
      <c r="G593" t="s">
        <v>25</v>
      </c>
      <c r="H593" t="s">
        <v>1646</v>
      </c>
      <c r="I593" t="s">
        <v>71</v>
      </c>
      <c r="J593" s="6">
        <v>32700</v>
      </c>
      <c r="K593" t="s">
        <v>3</v>
      </c>
      <c r="L593" t="s">
        <v>1644</v>
      </c>
      <c r="M593" t="s">
        <v>3</v>
      </c>
      <c r="N593" s="25" t="str">
        <f>TEXT(tbl_Ledger[[#This Row],[Date]],"yyyy-mm")</f>
        <v>2025-08</v>
      </c>
      <c r="O593" s="25" t="str">
        <f>TEXT(tbl_Ledger[[#This Row],[Date]],"yyyy-mm") &amp; TRIM(tbl_Ledger[[#This Row],[Currency]])</f>
        <v>2025-08NGN</v>
      </c>
      <c r="P593" s="25">
        <f>_xlfn.XLOOKUP(tbl_Ledger[[#This Row],[Key]], tbl_FX[Key], tbl_FX[Rate_to_NGN])</f>
        <v>1</v>
      </c>
      <c r="Q593" s="37">
        <f>IF(tbl_Ledger[[#This Row],[Account_Type]]="Expense",-ABS(tbl_Ledger[[#This Row],[Amount]]*tbl_Ledger[[#This Row],[Rate_to_NGN]]),tbl_Ledger[[#This Row],[Amount]]*tbl_Ledger[[#This Row],[Rate_to_NGN]])</f>
        <v>32700</v>
      </c>
      <c r="R593" s="25" t="str">
        <f>_xlfn.XLOOKUP(tbl_Ledger[[#This Row],[Account_Code]], tbl_Accounts[Account_Code], tbl_Accounts[Type])</f>
        <v>Revenue</v>
      </c>
      <c r="S593" s="25" t="str">
        <f>_xlfn.XLOOKUP(tbl_Ledger[[#This Row],[Account_Code]], tbl_Accounts[Account_Code], tbl_Accounts[PL_Bucket])</f>
        <v>Revenue</v>
      </c>
      <c r="T593" s="25">
        <f t="shared" si="9"/>
        <v>32700</v>
      </c>
    </row>
    <row r="594" spans="1:20">
      <c r="A594" t="s">
        <v>1647</v>
      </c>
      <c r="B594" s="7">
        <v>45877</v>
      </c>
      <c r="C594" t="s">
        <v>93</v>
      </c>
      <c r="D594" t="s">
        <v>94</v>
      </c>
      <c r="E594" t="s">
        <v>107</v>
      </c>
      <c r="F594" s="12" t="s">
        <v>24</v>
      </c>
      <c r="G594" t="s">
        <v>25</v>
      </c>
      <c r="H594" t="s">
        <v>1648</v>
      </c>
      <c r="I594" t="s">
        <v>71</v>
      </c>
      <c r="J594" s="6">
        <v>29000</v>
      </c>
      <c r="K594" t="s">
        <v>3</v>
      </c>
      <c r="L594" t="s">
        <v>1649</v>
      </c>
      <c r="M594" t="s">
        <v>3</v>
      </c>
      <c r="N594" s="25" t="str">
        <f>TEXT(tbl_Ledger[[#This Row],[Date]],"yyyy-mm")</f>
        <v>2025-08</v>
      </c>
      <c r="O594" s="25" t="str">
        <f>TEXT(tbl_Ledger[[#This Row],[Date]],"yyyy-mm") &amp; TRIM(tbl_Ledger[[#This Row],[Currency]])</f>
        <v>2025-08NGN</v>
      </c>
      <c r="P594" s="25">
        <f>_xlfn.XLOOKUP(tbl_Ledger[[#This Row],[Key]], tbl_FX[Key], tbl_FX[Rate_to_NGN])</f>
        <v>1</v>
      </c>
      <c r="Q594" s="37">
        <f>IF(tbl_Ledger[[#This Row],[Account_Type]]="Expense",-ABS(tbl_Ledger[[#This Row],[Amount]]*tbl_Ledger[[#This Row],[Rate_to_NGN]]),tbl_Ledger[[#This Row],[Amount]]*tbl_Ledger[[#This Row],[Rate_to_NGN]])</f>
        <v>29000</v>
      </c>
      <c r="R594" s="25" t="str">
        <f>_xlfn.XLOOKUP(tbl_Ledger[[#This Row],[Account_Code]], tbl_Accounts[Account_Code], tbl_Accounts[Type])</f>
        <v>Revenue</v>
      </c>
      <c r="S594" s="25" t="str">
        <f>_xlfn.XLOOKUP(tbl_Ledger[[#This Row],[Account_Code]], tbl_Accounts[Account_Code], tbl_Accounts[PL_Bucket])</f>
        <v>Revenue</v>
      </c>
      <c r="T594" s="25">
        <f t="shared" si="9"/>
        <v>29000</v>
      </c>
    </row>
    <row r="595" spans="1:20">
      <c r="A595" t="s">
        <v>1650</v>
      </c>
      <c r="B595" s="7">
        <v>45877</v>
      </c>
      <c r="C595" t="s">
        <v>93</v>
      </c>
      <c r="D595" t="s">
        <v>111</v>
      </c>
      <c r="E595" t="s">
        <v>112</v>
      </c>
      <c r="F595" s="12" t="s">
        <v>24</v>
      </c>
      <c r="G595" t="s">
        <v>25</v>
      </c>
      <c r="H595" t="s">
        <v>1651</v>
      </c>
      <c r="I595" t="s">
        <v>71</v>
      </c>
      <c r="J595" s="6">
        <v>52700</v>
      </c>
      <c r="K595" t="s">
        <v>3</v>
      </c>
      <c r="L595" t="s">
        <v>1652</v>
      </c>
      <c r="M595" t="s">
        <v>3</v>
      </c>
      <c r="N595" s="25" t="str">
        <f>TEXT(tbl_Ledger[[#This Row],[Date]],"yyyy-mm")</f>
        <v>2025-08</v>
      </c>
      <c r="O595" s="25" t="str">
        <f>TEXT(tbl_Ledger[[#This Row],[Date]],"yyyy-mm") &amp; TRIM(tbl_Ledger[[#This Row],[Currency]])</f>
        <v>2025-08NGN</v>
      </c>
      <c r="P595" s="25">
        <f>_xlfn.XLOOKUP(tbl_Ledger[[#This Row],[Key]], tbl_FX[Key], tbl_FX[Rate_to_NGN])</f>
        <v>1</v>
      </c>
      <c r="Q595" s="37">
        <f>IF(tbl_Ledger[[#This Row],[Account_Type]]="Expense",-ABS(tbl_Ledger[[#This Row],[Amount]]*tbl_Ledger[[#This Row],[Rate_to_NGN]]),tbl_Ledger[[#This Row],[Amount]]*tbl_Ledger[[#This Row],[Rate_to_NGN]])</f>
        <v>52700</v>
      </c>
      <c r="R595" s="25" t="str">
        <f>_xlfn.XLOOKUP(tbl_Ledger[[#This Row],[Account_Code]], tbl_Accounts[Account_Code], tbl_Accounts[Type])</f>
        <v>Revenue</v>
      </c>
      <c r="S595" s="25" t="str">
        <f>_xlfn.XLOOKUP(tbl_Ledger[[#This Row],[Account_Code]], tbl_Accounts[Account_Code], tbl_Accounts[PL_Bucket])</f>
        <v>Revenue</v>
      </c>
      <c r="T595" s="25">
        <f t="shared" si="9"/>
        <v>52700</v>
      </c>
    </row>
    <row r="596" spans="1:20">
      <c r="A596" t="s">
        <v>1653</v>
      </c>
      <c r="B596" s="7">
        <v>45877</v>
      </c>
      <c r="C596" t="s">
        <v>93</v>
      </c>
      <c r="D596" t="s">
        <v>111</v>
      </c>
      <c r="E596" t="s">
        <v>116</v>
      </c>
      <c r="F596" s="12" t="s">
        <v>24</v>
      </c>
      <c r="G596" t="s">
        <v>25</v>
      </c>
      <c r="H596" t="s">
        <v>1654</v>
      </c>
      <c r="I596" t="s">
        <v>71</v>
      </c>
      <c r="J596" s="6">
        <v>49000</v>
      </c>
      <c r="K596" t="s">
        <v>3</v>
      </c>
      <c r="L596" t="s">
        <v>1652</v>
      </c>
      <c r="M596" t="s">
        <v>3</v>
      </c>
      <c r="N596" s="25" t="str">
        <f>TEXT(tbl_Ledger[[#This Row],[Date]],"yyyy-mm")</f>
        <v>2025-08</v>
      </c>
      <c r="O596" s="25" t="str">
        <f>TEXT(tbl_Ledger[[#This Row],[Date]],"yyyy-mm") &amp; TRIM(tbl_Ledger[[#This Row],[Currency]])</f>
        <v>2025-08NGN</v>
      </c>
      <c r="P596" s="25">
        <f>_xlfn.XLOOKUP(tbl_Ledger[[#This Row],[Key]], tbl_FX[Key], tbl_FX[Rate_to_NGN])</f>
        <v>1</v>
      </c>
      <c r="Q596" s="37">
        <f>IF(tbl_Ledger[[#This Row],[Account_Type]]="Expense",-ABS(tbl_Ledger[[#This Row],[Amount]]*tbl_Ledger[[#This Row],[Rate_to_NGN]]),tbl_Ledger[[#This Row],[Amount]]*tbl_Ledger[[#This Row],[Rate_to_NGN]])</f>
        <v>49000</v>
      </c>
      <c r="R596" s="25" t="str">
        <f>_xlfn.XLOOKUP(tbl_Ledger[[#This Row],[Account_Code]], tbl_Accounts[Account_Code], tbl_Accounts[Type])</f>
        <v>Revenue</v>
      </c>
      <c r="S596" s="25" t="str">
        <f>_xlfn.XLOOKUP(tbl_Ledger[[#This Row],[Account_Code]], tbl_Accounts[Account_Code], tbl_Accounts[PL_Bucket])</f>
        <v>Revenue</v>
      </c>
      <c r="T596" s="25">
        <f t="shared" si="9"/>
        <v>49000</v>
      </c>
    </row>
    <row r="597" spans="1:20">
      <c r="A597" t="s">
        <v>1655</v>
      </c>
      <c r="B597" s="7">
        <v>45877</v>
      </c>
      <c r="C597" t="s">
        <v>93</v>
      </c>
      <c r="D597" t="s">
        <v>111</v>
      </c>
      <c r="E597" t="s">
        <v>119</v>
      </c>
      <c r="F597" s="12" t="s">
        <v>24</v>
      </c>
      <c r="G597" t="s">
        <v>25</v>
      </c>
      <c r="H597" t="s">
        <v>1656</v>
      </c>
      <c r="I597" t="s">
        <v>71</v>
      </c>
      <c r="J597" s="6">
        <v>53500</v>
      </c>
      <c r="K597" t="s">
        <v>3</v>
      </c>
      <c r="L597" t="s">
        <v>1652</v>
      </c>
      <c r="M597" t="s">
        <v>3</v>
      </c>
      <c r="N597" s="25" t="str">
        <f>TEXT(tbl_Ledger[[#This Row],[Date]],"yyyy-mm")</f>
        <v>2025-08</v>
      </c>
      <c r="O597" s="25" t="str">
        <f>TEXT(tbl_Ledger[[#This Row],[Date]],"yyyy-mm") &amp; TRIM(tbl_Ledger[[#This Row],[Currency]])</f>
        <v>2025-08NGN</v>
      </c>
      <c r="P597" s="25">
        <f>_xlfn.XLOOKUP(tbl_Ledger[[#This Row],[Key]], tbl_FX[Key], tbl_FX[Rate_to_NGN])</f>
        <v>1</v>
      </c>
      <c r="Q597" s="37">
        <f>IF(tbl_Ledger[[#This Row],[Account_Type]]="Expense",-ABS(tbl_Ledger[[#This Row],[Amount]]*tbl_Ledger[[#This Row],[Rate_to_NGN]]),tbl_Ledger[[#This Row],[Amount]]*tbl_Ledger[[#This Row],[Rate_to_NGN]])</f>
        <v>53500</v>
      </c>
      <c r="R597" s="25" t="str">
        <f>_xlfn.XLOOKUP(tbl_Ledger[[#This Row],[Account_Code]], tbl_Accounts[Account_Code], tbl_Accounts[Type])</f>
        <v>Revenue</v>
      </c>
      <c r="S597" s="25" t="str">
        <f>_xlfn.XLOOKUP(tbl_Ledger[[#This Row],[Account_Code]], tbl_Accounts[Account_Code], tbl_Accounts[PL_Bucket])</f>
        <v>Revenue</v>
      </c>
      <c r="T597" s="25">
        <f t="shared" si="9"/>
        <v>53500</v>
      </c>
    </row>
    <row r="598" spans="1:20">
      <c r="A598" t="s">
        <v>1657</v>
      </c>
      <c r="B598" s="7">
        <v>45877</v>
      </c>
      <c r="C598" t="s">
        <v>93</v>
      </c>
      <c r="D598" t="s">
        <v>111</v>
      </c>
      <c r="E598" t="s">
        <v>170</v>
      </c>
      <c r="F598" s="12" t="s">
        <v>24</v>
      </c>
      <c r="G598" t="s">
        <v>25</v>
      </c>
      <c r="H598" t="s">
        <v>1658</v>
      </c>
      <c r="I598" t="s">
        <v>71</v>
      </c>
      <c r="J598" s="6">
        <v>52900</v>
      </c>
      <c r="K598" t="s">
        <v>3</v>
      </c>
      <c r="L598" t="s">
        <v>1652</v>
      </c>
      <c r="M598" t="s">
        <v>3</v>
      </c>
      <c r="N598" s="25" t="str">
        <f>TEXT(tbl_Ledger[[#This Row],[Date]],"yyyy-mm")</f>
        <v>2025-08</v>
      </c>
      <c r="O598" s="25" t="str">
        <f>TEXT(tbl_Ledger[[#This Row],[Date]],"yyyy-mm") &amp; TRIM(tbl_Ledger[[#This Row],[Currency]])</f>
        <v>2025-08NGN</v>
      </c>
      <c r="P598" s="25">
        <f>_xlfn.XLOOKUP(tbl_Ledger[[#This Row],[Key]], tbl_FX[Key], tbl_FX[Rate_to_NGN])</f>
        <v>1</v>
      </c>
      <c r="Q598" s="37">
        <f>IF(tbl_Ledger[[#This Row],[Account_Type]]="Expense",-ABS(tbl_Ledger[[#This Row],[Amount]]*tbl_Ledger[[#This Row],[Rate_to_NGN]]),tbl_Ledger[[#This Row],[Amount]]*tbl_Ledger[[#This Row],[Rate_to_NGN]])</f>
        <v>52900</v>
      </c>
      <c r="R598" s="25" t="str">
        <f>_xlfn.XLOOKUP(tbl_Ledger[[#This Row],[Account_Code]], tbl_Accounts[Account_Code], tbl_Accounts[Type])</f>
        <v>Revenue</v>
      </c>
      <c r="S598" s="25" t="str">
        <f>_xlfn.XLOOKUP(tbl_Ledger[[#This Row],[Account_Code]], tbl_Accounts[Account_Code], tbl_Accounts[PL_Bucket])</f>
        <v>Revenue</v>
      </c>
      <c r="T598" s="25">
        <f t="shared" si="9"/>
        <v>52900</v>
      </c>
    </row>
    <row r="599" spans="1:20">
      <c r="A599" t="s">
        <v>1659</v>
      </c>
      <c r="B599" s="7">
        <v>45877</v>
      </c>
      <c r="C599" t="s">
        <v>93</v>
      </c>
      <c r="D599" t="s">
        <v>111</v>
      </c>
      <c r="E599" t="s">
        <v>122</v>
      </c>
      <c r="F599" s="12" t="s">
        <v>24</v>
      </c>
      <c r="G599" t="s">
        <v>25</v>
      </c>
      <c r="H599" t="s">
        <v>1660</v>
      </c>
      <c r="I599" t="s">
        <v>71</v>
      </c>
      <c r="J599" s="6">
        <v>51200</v>
      </c>
      <c r="K599" t="s">
        <v>3</v>
      </c>
      <c r="L599" t="s">
        <v>1661</v>
      </c>
      <c r="M599" t="s">
        <v>3</v>
      </c>
      <c r="N599" s="25" t="str">
        <f>TEXT(tbl_Ledger[[#This Row],[Date]],"yyyy-mm")</f>
        <v>2025-08</v>
      </c>
      <c r="O599" s="25" t="str">
        <f>TEXT(tbl_Ledger[[#This Row],[Date]],"yyyy-mm") &amp; TRIM(tbl_Ledger[[#This Row],[Currency]])</f>
        <v>2025-08NGN</v>
      </c>
      <c r="P599" s="25">
        <f>_xlfn.XLOOKUP(tbl_Ledger[[#This Row],[Key]], tbl_FX[Key], tbl_FX[Rate_to_NGN])</f>
        <v>1</v>
      </c>
      <c r="Q599" s="37">
        <f>IF(tbl_Ledger[[#This Row],[Account_Type]]="Expense",-ABS(tbl_Ledger[[#This Row],[Amount]]*tbl_Ledger[[#This Row],[Rate_to_NGN]]),tbl_Ledger[[#This Row],[Amount]]*tbl_Ledger[[#This Row],[Rate_to_NGN]])</f>
        <v>51200</v>
      </c>
      <c r="R599" s="25" t="str">
        <f>_xlfn.XLOOKUP(tbl_Ledger[[#This Row],[Account_Code]], tbl_Accounts[Account_Code], tbl_Accounts[Type])</f>
        <v>Revenue</v>
      </c>
      <c r="S599" s="25" t="str">
        <f>_xlfn.XLOOKUP(tbl_Ledger[[#This Row],[Account_Code]], tbl_Accounts[Account_Code], tbl_Accounts[PL_Bucket])</f>
        <v>Revenue</v>
      </c>
      <c r="T599" s="25">
        <f t="shared" si="9"/>
        <v>51200</v>
      </c>
    </row>
    <row r="600" spans="1:20">
      <c r="A600" t="s">
        <v>1662</v>
      </c>
      <c r="B600" s="7">
        <v>45877</v>
      </c>
      <c r="C600" t="s">
        <v>126</v>
      </c>
      <c r="D600" t="s">
        <v>88</v>
      </c>
      <c r="E600" t="s">
        <v>127</v>
      </c>
      <c r="F600" s="12" t="s">
        <v>29</v>
      </c>
      <c r="G600" t="s">
        <v>30</v>
      </c>
      <c r="H600" t="s">
        <v>1663</v>
      </c>
      <c r="I600" t="s">
        <v>71</v>
      </c>
      <c r="J600" s="6">
        <v>52000</v>
      </c>
      <c r="K600" t="s">
        <v>129</v>
      </c>
      <c r="L600" t="s">
        <v>1664</v>
      </c>
      <c r="M600" t="s">
        <v>3</v>
      </c>
      <c r="N600" s="25" t="str">
        <f>TEXT(tbl_Ledger[[#This Row],[Date]],"yyyy-mm")</f>
        <v>2025-08</v>
      </c>
      <c r="O600" s="25" t="str">
        <f>TEXT(tbl_Ledger[[#This Row],[Date]],"yyyy-mm") &amp; TRIM(tbl_Ledger[[#This Row],[Currency]])</f>
        <v>2025-08NGN</v>
      </c>
      <c r="P600" s="25">
        <f>_xlfn.XLOOKUP(tbl_Ledger[[#This Row],[Key]], tbl_FX[Key], tbl_FX[Rate_to_NGN])</f>
        <v>1</v>
      </c>
      <c r="Q600" s="37">
        <f>IF(tbl_Ledger[[#This Row],[Account_Type]]="Expense",-ABS(tbl_Ledger[[#This Row],[Amount]]*tbl_Ledger[[#This Row],[Rate_to_NGN]]),tbl_Ledger[[#This Row],[Amount]]*tbl_Ledger[[#This Row],[Rate_to_NGN]])</f>
        <v>52000</v>
      </c>
      <c r="R600" s="25" t="str">
        <f>_xlfn.XLOOKUP(tbl_Ledger[[#This Row],[Account_Code]], tbl_Accounts[Account_Code], tbl_Accounts[Type])</f>
        <v>Revenue</v>
      </c>
      <c r="S600" s="25" t="str">
        <f>_xlfn.XLOOKUP(tbl_Ledger[[#This Row],[Account_Code]], tbl_Accounts[Account_Code], tbl_Accounts[PL_Bucket])</f>
        <v>Revenue</v>
      </c>
      <c r="T600" s="25">
        <f t="shared" si="9"/>
        <v>52000</v>
      </c>
    </row>
    <row r="601" spans="1:20">
      <c r="A601" t="s">
        <v>1665</v>
      </c>
      <c r="B601" s="7">
        <v>45877</v>
      </c>
      <c r="C601" t="s">
        <v>126</v>
      </c>
      <c r="D601" t="s">
        <v>88</v>
      </c>
      <c r="E601" t="s">
        <v>132</v>
      </c>
      <c r="F601" s="12" t="s">
        <v>29</v>
      </c>
      <c r="G601" t="s">
        <v>30</v>
      </c>
      <c r="H601" t="s">
        <v>1666</v>
      </c>
      <c r="I601" t="s">
        <v>71</v>
      </c>
      <c r="J601" s="6">
        <v>51100</v>
      </c>
      <c r="K601" t="s">
        <v>134</v>
      </c>
      <c r="L601" t="s">
        <v>1664</v>
      </c>
      <c r="M601" t="s">
        <v>3</v>
      </c>
      <c r="N601" s="25" t="str">
        <f>TEXT(tbl_Ledger[[#This Row],[Date]],"yyyy-mm")</f>
        <v>2025-08</v>
      </c>
      <c r="O601" s="25" t="str">
        <f>TEXT(tbl_Ledger[[#This Row],[Date]],"yyyy-mm") &amp; TRIM(tbl_Ledger[[#This Row],[Currency]])</f>
        <v>2025-08NGN</v>
      </c>
      <c r="P601" s="25">
        <f>_xlfn.XLOOKUP(tbl_Ledger[[#This Row],[Key]], tbl_FX[Key], tbl_FX[Rate_to_NGN])</f>
        <v>1</v>
      </c>
      <c r="Q601" s="37">
        <f>IF(tbl_Ledger[[#This Row],[Account_Type]]="Expense",-ABS(tbl_Ledger[[#This Row],[Amount]]*tbl_Ledger[[#This Row],[Rate_to_NGN]]),tbl_Ledger[[#This Row],[Amount]]*tbl_Ledger[[#This Row],[Rate_to_NGN]])</f>
        <v>51100</v>
      </c>
      <c r="R601" s="25" t="str">
        <f>_xlfn.XLOOKUP(tbl_Ledger[[#This Row],[Account_Code]], tbl_Accounts[Account_Code], tbl_Accounts[Type])</f>
        <v>Revenue</v>
      </c>
      <c r="S601" s="25" t="str">
        <f>_xlfn.XLOOKUP(tbl_Ledger[[#This Row],[Account_Code]], tbl_Accounts[Account_Code], tbl_Accounts[PL_Bucket])</f>
        <v>Revenue</v>
      </c>
      <c r="T601" s="25">
        <f t="shared" si="9"/>
        <v>51100</v>
      </c>
    </row>
    <row r="602" spans="1:20">
      <c r="A602" t="s">
        <v>1667</v>
      </c>
      <c r="B602" s="7">
        <v>45877</v>
      </c>
      <c r="C602" t="s">
        <v>126</v>
      </c>
      <c r="D602" t="s">
        <v>88</v>
      </c>
      <c r="E602" t="s">
        <v>140</v>
      </c>
      <c r="F602" s="12" t="s">
        <v>29</v>
      </c>
      <c r="G602" t="s">
        <v>30</v>
      </c>
      <c r="H602" t="s">
        <v>1668</v>
      </c>
      <c r="I602" t="s">
        <v>71</v>
      </c>
      <c r="J602" s="6">
        <v>49000</v>
      </c>
      <c r="K602" t="s">
        <v>3</v>
      </c>
      <c r="L602" t="s">
        <v>1669</v>
      </c>
      <c r="M602" t="s">
        <v>3</v>
      </c>
      <c r="N602" s="25" t="str">
        <f>TEXT(tbl_Ledger[[#This Row],[Date]],"yyyy-mm")</f>
        <v>2025-08</v>
      </c>
      <c r="O602" s="25" t="str">
        <f>TEXT(tbl_Ledger[[#This Row],[Date]],"yyyy-mm") &amp; TRIM(tbl_Ledger[[#This Row],[Currency]])</f>
        <v>2025-08NGN</v>
      </c>
      <c r="P602" s="25">
        <f>_xlfn.XLOOKUP(tbl_Ledger[[#This Row],[Key]], tbl_FX[Key], tbl_FX[Rate_to_NGN])</f>
        <v>1</v>
      </c>
      <c r="Q602" s="37">
        <f>IF(tbl_Ledger[[#This Row],[Account_Type]]="Expense",-ABS(tbl_Ledger[[#This Row],[Amount]]*tbl_Ledger[[#This Row],[Rate_to_NGN]]),tbl_Ledger[[#This Row],[Amount]]*tbl_Ledger[[#This Row],[Rate_to_NGN]])</f>
        <v>49000</v>
      </c>
      <c r="R602" s="25" t="str">
        <f>_xlfn.XLOOKUP(tbl_Ledger[[#This Row],[Account_Code]], tbl_Accounts[Account_Code], tbl_Accounts[Type])</f>
        <v>Revenue</v>
      </c>
      <c r="S602" s="25" t="str">
        <f>_xlfn.XLOOKUP(tbl_Ledger[[#This Row],[Account_Code]], tbl_Accounts[Account_Code], tbl_Accounts[PL_Bucket])</f>
        <v>Revenue</v>
      </c>
      <c r="T602" s="25">
        <f t="shared" si="9"/>
        <v>49000</v>
      </c>
    </row>
    <row r="603" spans="1:20">
      <c r="A603" t="s">
        <v>1670</v>
      </c>
      <c r="B603" s="7">
        <v>45878</v>
      </c>
      <c r="C603" t="s">
        <v>93</v>
      </c>
      <c r="D603" t="s">
        <v>94</v>
      </c>
      <c r="E603" t="s">
        <v>95</v>
      </c>
      <c r="F603" s="12" t="s">
        <v>24</v>
      </c>
      <c r="G603" t="s">
        <v>25</v>
      </c>
      <c r="H603" t="s">
        <v>1671</v>
      </c>
      <c r="I603" t="s">
        <v>71</v>
      </c>
      <c r="J603" s="6">
        <v>40800</v>
      </c>
      <c r="K603" t="s">
        <v>3</v>
      </c>
      <c r="L603" t="s">
        <v>1672</v>
      </c>
      <c r="M603" t="s">
        <v>3</v>
      </c>
      <c r="N603" s="25" t="str">
        <f>TEXT(tbl_Ledger[[#This Row],[Date]],"yyyy-mm")</f>
        <v>2025-08</v>
      </c>
      <c r="O603" s="25" t="str">
        <f>TEXT(tbl_Ledger[[#This Row],[Date]],"yyyy-mm") &amp; TRIM(tbl_Ledger[[#This Row],[Currency]])</f>
        <v>2025-08NGN</v>
      </c>
      <c r="P603" s="25">
        <f>_xlfn.XLOOKUP(tbl_Ledger[[#This Row],[Key]], tbl_FX[Key], tbl_FX[Rate_to_NGN])</f>
        <v>1</v>
      </c>
      <c r="Q603" s="37">
        <f>IF(tbl_Ledger[[#This Row],[Account_Type]]="Expense",-ABS(tbl_Ledger[[#This Row],[Amount]]*tbl_Ledger[[#This Row],[Rate_to_NGN]]),tbl_Ledger[[#This Row],[Amount]]*tbl_Ledger[[#This Row],[Rate_to_NGN]])</f>
        <v>40800</v>
      </c>
      <c r="R603" s="25" t="str">
        <f>_xlfn.XLOOKUP(tbl_Ledger[[#This Row],[Account_Code]], tbl_Accounts[Account_Code], tbl_Accounts[Type])</f>
        <v>Revenue</v>
      </c>
      <c r="S603" s="25" t="str">
        <f>_xlfn.XLOOKUP(tbl_Ledger[[#This Row],[Account_Code]], tbl_Accounts[Account_Code], tbl_Accounts[PL_Bucket])</f>
        <v>Revenue</v>
      </c>
      <c r="T603" s="25">
        <f t="shared" si="9"/>
        <v>40800</v>
      </c>
    </row>
    <row r="604" spans="1:20">
      <c r="A604" t="s">
        <v>1673</v>
      </c>
      <c r="B604" s="7">
        <v>45878</v>
      </c>
      <c r="C604" t="s">
        <v>93</v>
      </c>
      <c r="D604" t="s">
        <v>94</v>
      </c>
      <c r="E604" t="s">
        <v>99</v>
      </c>
      <c r="F604" s="12" t="s">
        <v>24</v>
      </c>
      <c r="G604" t="s">
        <v>25</v>
      </c>
      <c r="H604" t="s">
        <v>1674</v>
      </c>
      <c r="I604" t="s">
        <v>71</v>
      </c>
      <c r="J604" s="6">
        <v>41100</v>
      </c>
      <c r="K604" t="s">
        <v>3</v>
      </c>
      <c r="L604" t="s">
        <v>1675</v>
      </c>
      <c r="M604" t="s">
        <v>3</v>
      </c>
      <c r="N604" s="25" t="str">
        <f>TEXT(tbl_Ledger[[#This Row],[Date]],"yyyy-mm")</f>
        <v>2025-08</v>
      </c>
      <c r="O604" s="25" t="str">
        <f>TEXT(tbl_Ledger[[#This Row],[Date]],"yyyy-mm") &amp; TRIM(tbl_Ledger[[#This Row],[Currency]])</f>
        <v>2025-08NGN</v>
      </c>
      <c r="P604" s="25">
        <f>_xlfn.XLOOKUP(tbl_Ledger[[#This Row],[Key]], tbl_FX[Key], tbl_FX[Rate_to_NGN])</f>
        <v>1</v>
      </c>
      <c r="Q604" s="37">
        <f>IF(tbl_Ledger[[#This Row],[Account_Type]]="Expense",-ABS(tbl_Ledger[[#This Row],[Amount]]*tbl_Ledger[[#This Row],[Rate_to_NGN]]),tbl_Ledger[[#This Row],[Amount]]*tbl_Ledger[[#This Row],[Rate_to_NGN]])</f>
        <v>41100</v>
      </c>
      <c r="R604" s="25" t="str">
        <f>_xlfn.XLOOKUP(tbl_Ledger[[#This Row],[Account_Code]], tbl_Accounts[Account_Code], tbl_Accounts[Type])</f>
        <v>Revenue</v>
      </c>
      <c r="S604" s="25" t="str">
        <f>_xlfn.XLOOKUP(tbl_Ledger[[#This Row],[Account_Code]], tbl_Accounts[Account_Code], tbl_Accounts[PL_Bucket])</f>
        <v>Revenue</v>
      </c>
      <c r="T604" s="25">
        <f t="shared" si="9"/>
        <v>41100</v>
      </c>
    </row>
    <row r="605" spans="1:20">
      <c r="A605" t="s">
        <v>1676</v>
      </c>
      <c r="B605" s="7">
        <v>45878</v>
      </c>
      <c r="C605" t="s">
        <v>93</v>
      </c>
      <c r="D605" t="s">
        <v>94</v>
      </c>
      <c r="E605" t="s">
        <v>103</v>
      </c>
      <c r="F605" s="12" t="s">
        <v>24</v>
      </c>
      <c r="G605" t="s">
        <v>25</v>
      </c>
      <c r="H605" t="s">
        <v>1677</v>
      </c>
      <c r="I605" t="s">
        <v>71</v>
      </c>
      <c r="J605" s="6">
        <v>36100</v>
      </c>
      <c r="K605" t="s">
        <v>3</v>
      </c>
      <c r="L605" t="s">
        <v>1678</v>
      </c>
      <c r="M605" t="s">
        <v>3</v>
      </c>
      <c r="N605" s="25" t="str">
        <f>TEXT(tbl_Ledger[[#This Row],[Date]],"yyyy-mm")</f>
        <v>2025-08</v>
      </c>
      <c r="O605" s="25" t="str">
        <f>TEXT(tbl_Ledger[[#This Row],[Date]],"yyyy-mm") &amp; TRIM(tbl_Ledger[[#This Row],[Currency]])</f>
        <v>2025-08NGN</v>
      </c>
      <c r="P605" s="25">
        <f>_xlfn.XLOOKUP(tbl_Ledger[[#This Row],[Key]], tbl_FX[Key], tbl_FX[Rate_to_NGN])</f>
        <v>1</v>
      </c>
      <c r="Q605" s="37">
        <f>IF(tbl_Ledger[[#This Row],[Account_Type]]="Expense",-ABS(tbl_Ledger[[#This Row],[Amount]]*tbl_Ledger[[#This Row],[Rate_to_NGN]]),tbl_Ledger[[#This Row],[Amount]]*tbl_Ledger[[#This Row],[Rate_to_NGN]])</f>
        <v>36100</v>
      </c>
      <c r="R605" s="25" t="str">
        <f>_xlfn.XLOOKUP(tbl_Ledger[[#This Row],[Account_Code]], tbl_Accounts[Account_Code], tbl_Accounts[Type])</f>
        <v>Revenue</v>
      </c>
      <c r="S605" s="25" t="str">
        <f>_xlfn.XLOOKUP(tbl_Ledger[[#This Row],[Account_Code]], tbl_Accounts[Account_Code], tbl_Accounts[PL_Bucket])</f>
        <v>Revenue</v>
      </c>
      <c r="T605" s="25">
        <f t="shared" si="9"/>
        <v>36100</v>
      </c>
    </row>
    <row r="606" spans="1:20">
      <c r="A606" t="s">
        <v>1679</v>
      </c>
      <c r="B606" s="7">
        <v>45878</v>
      </c>
      <c r="C606" t="s">
        <v>93</v>
      </c>
      <c r="D606" t="s">
        <v>94</v>
      </c>
      <c r="E606" t="s">
        <v>160</v>
      </c>
      <c r="F606" s="12" t="s">
        <v>24</v>
      </c>
      <c r="G606" t="s">
        <v>25</v>
      </c>
      <c r="H606" t="s">
        <v>1680</v>
      </c>
      <c r="I606" t="s">
        <v>71</v>
      </c>
      <c r="J606" s="6">
        <v>38700</v>
      </c>
      <c r="K606" t="s">
        <v>3</v>
      </c>
      <c r="L606" t="s">
        <v>1678</v>
      </c>
      <c r="M606" t="s">
        <v>3</v>
      </c>
      <c r="N606" s="25" t="str">
        <f>TEXT(tbl_Ledger[[#This Row],[Date]],"yyyy-mm")</f>
        <v>2025-08</v>
      </c>
      <c r="O606" s="25" t="str">
        <f>TEXT(tbl_Ledger[[#This Row],[Date]],"yyyy-mm") &amp; TRIM(tbl_Ledger[[#This Row],[Currency]])</f>
        <v>2025-08NGN</v>
      </c>
      <c r="P606" s="25">
        <f>_xlfn.XLOOKUP(tbl_Ledger[[#This Row],[Key]], tbl_FX[Key], tbl_FX[Rate_to_NGN])</f>
        <v>1</v>
      </c>
      <c r="Q606" s="37">
        <f>IF(tbl_Ledger[[#This Row],[Account_Type]]="Expense",-ABS(tbl_Ledger[[#This Row],[Amount]]*tbl_Ledger[[#This Row],[Rate_to_NGN]]),tbl_Ledger[[#This Row],[Amount]]*tbl_Ledger[[#This Row],[Rate_to_NGN]])</f>
        <v>38700</v>
      </c>
      <c r="R606" s="25" t="str">
        <f>_xlfn.XLOOKUP(tbl_Ledger[[#This Row],[Account_Code]], tbl_Accounts[Account_Code], tbl_Accounts[Type])</f>
        <v>Revenue</v>
      </c>
      <c r="S606" s="25" t="str">
        <f>_xlfn.XLOOKUP(tbl_Ledger[[#This Row],[Account_Code]], tbl_Accounts[Account_Code], tbl_Accounts[PL_Bucket])</f>
        <v>Revenue</v>
      </c>
      <c r="T606" s="25">
        <f t="shared" si="9"/>
        <v>38700</v>
      </c>
    </row>
    <row r="607" spans="1:20">
      <c r="A607" t="s">
        <v>1681</v>
      </c>
      <c r="B607" s="7">
        <v>45878</v>
      </c>
      <c r="C607" t="s">
        <v>93</v>
      </c>
      <c r="D607" t="s">
        <v>94</v>
      </c>
      <c r="E607" t="s">
        <v>107</v>
      </c>
      <c r="F607" s="12" t="s">
        <v>24</v>
      </c>
      <c r="G607" t="s">
        <v>25</v>
      </c>
      <c r="H607" t="s">
        <v>1682</v>
      </c>
      <c r="I607" t="s">
        <v>71</v>
      </c>
      <c r="J607" s="6">
        <v>38500</v>
      </c>
      <c r="K607" t="s">
        <v>3</v>
      </c>
      <c r="L607" t="s">
        <v>1683</v>
      </c>
      <c r="M607" t="s">
        <v>3</v>
      </c>
      <c r="N607" s="25" t="str">
        <f>TEXT(tbl_Ledger[[#This Row],[Date]],"yyyy-mm")</f>
        <v>2025-08</v>
      </c>
      <c r="O607" s="25" t="str">
        <f>TEXT(tbl_Ledger[[#This Row],[Date]],"yyyy-mm") &amp; TRIM(tbl_Ledger[[#This Row],[Currency]])</f>
        <v>2025-08NGN</v>
      </c>
      <c r="P607" s="25">
        <f>_xlfn.XLOOKUP(tbl_Ledger[[#This Row],[Key]], tbl_FX[Key], tbl_FX[Rate_to_NGN])</f>
        <v>1</v>
      </c>
      <c r="Q607" s="37">
        <f>IF(tbl_Ledger[[#This Row],[Account_Type]]="Expense",-ABS(tbl_Ledger[[#This Row],[Amount]]*tbl_Ledger[[#This Row],[Rate_to_NGN]]),tbl_Ledger[[#This Row],[Amount]]*tbl_Ledger[[#This Row],[Rate_to_NGN]])</f>
        <v>38500</v>
      </c>
      <c r="R607" s="25" t="str">
        <f>_xlfn.XLOOKUP(tbl_Ledger[[#This Row],[Account_Code]], tbl_Accounts[Account_Code], tbl_Accounts[Type])</f>
        <v>Revenue</v>
      </c>
      <c r="S607" s="25" t="str">
        <f>_xlfn.XLOOKUP(tbl_Ledger[[#This Row],[Account_Code]], tbl_Accounts[Account_Code], tbl_Accounts[PL_Bucket])</f>
        <v>Revenue</v>
      </c>
      <c r="T607" s="25">
        <f t="shared" si="9"/>
        <v>38500</v>
      </c>
    </row>
    <row r="608" spans="1:20">
      <c r="A608" t="s">
        <v>1684</v>
      </c>
      <c r="B608" s="7">
        <v>45878</v>
      </c>
      <c r="C608" t="s">
        <v>93</v>
      </c>
      <c r="D608" t="s">
        <v>111</v>
      </c>
      <c r="E608" t="s">
        <v>112</v>
      </c>
      <c r="F608" s="12" t="s">
        <v>24</v>
      </c>
      <c r="G608" t="s">
        <v>25</v>
      </c>
      <c r="H608" t="s">
        <v>1685</v>
      </c>
      <c r="I608" t="s">
        <v>71</v>
      </c>
      <c r="J608" s="6">
        <v>65100</v>
      </c>
      <c r="K608" t="s">
        <v>3</v>
      </c>
      <c r="L608" t="s">
        <v>1686</v>
      </c>
      <c r="M608" t="s">
        <v>3</v>
      </c>
      <c r="N608" s="25" t="str">
        <f>TEXT(tbl_Ledger[[#This Row],[Date]],"yyyy-mm")</f>
        <v>2025-08</v>
      </c>
      <c r="O608" s="25" t="str">
        <f>TEXT(tbl_Ledger[[#This Row],[Date]],"yyyy-mm") &amp; TRIM(tbl_Ledger[[#This Row],[Currency]])</f>
        <v>2025-08NGN</v>
      </c>
      <c r="P608" s="25">
        <f>_xlfn.XLOOKUP(tbl_Ledger[[#This Row],[Key]], tbl_FX[Key], tbl_FX[Rate_to_NGN])</f>
        <v>1</v>
      </c>
      <c r="Q608" s="37">
        <f>IF(tbl_Ledger[[#This Row],[Account_Type]]="Expense",-ABS(tbl_Ledger[[#This Row],[Amount]]*tbl_Ledger[[#This Row],[Rate_to_NGN]]),tbl_Ledger[[#This Row],[Amount]]*tbl_Ledger[[#This Row],[Rate_to_NGN]])</f>
        <v>65100</v>
      </c>
      <c r="R608" s="25" t="str">
        <f>_xlfn.XLOOKUP(tbl_Ledger[[#This Row],[Account_Code]], tbl_Accounts[Account_Code], tbl_Accounts[Type])</f>
        <v>Revenue</v>
      </c>
      <c r="S608" s="25" t="str">
        <f>_xlfn.XLOOKUP(tbl_Ledger[[#This Row],[Account_Code]], tbl_Accounts[Account_Code], tbl_Accounts[PL_Bucket])</f>
        <v>Revenue</v>
      </c>
      <c r="T608" s="25">
        <f t="shared" si="9"/>
        <v>65100</v>
      </c>
    </row>
    <row r="609" spans="1:20">
      <c r="A609" t="s">
        <v>1687</v>
      </c>
      <c r="B609" s="7">
        <v>45878</v>
      </c>
      <c r="C609" t="s">
        <v>93</v>
      </c>
      <c r="D609" t="s">
        <v>111</v>
      </c>
      <c r="E609" t="s">
        <v>116</v>
      </c>
      <c r="F609" s="12" t="s">
        <v>24</v>
      </c>
      <c r="G609" t="s">
        <v>25</v>
      </c>
      <c r="H609" t="s">
        <v>1688</v>
      </c>
      <c r="I609" t="s">
        <v>71</v>
      </c>
      <c r="J609" s="6">
        <v>67100</v>
      </c>
      <c r="K609" t="s">
        <v>3</v>
      </c>
      <c r="L609" t="s">
        <v>1686</v>
      </c>
      <c r="M609" t="s">
        <v>3</v>
      </c>
      <c r="N609" s="25" t="str">
        <f>TEXT(tbl_Ledger[[#This Row],[Date]],"yyyy-mm")</f>
        <v>2025-08</v>
      </c>
      <c r="O609" s="25" t="str">
        <f>TEXT(tbl_Ledger[[#This Row],[Date]],"yyyy-mm") &amp; TRIM(tbl_Ledger[[#This Row],[Currency]])</f>
        <v>2025-08NGN</v>
      </c>
      <c r="P609" s="25">
        <f>_xlfn.XLOOKUP(tbl_Ledger[[#This Row],[Key]], tbl_FX[Key], tbl_FX[Rate_to_NGN])</f>
        <v>1</v>
      </c>
      <c r="Q609" s="37">
        <f>IF(tbl_Ledger[[#This Row],[Account_Type]]="Expense",-ABS(tbl_Ledger[[#This Row],[Amount]]*tbl_Ledger[[#This Row],[Rate_to_NGN]]),tbl_Ledger[[#This Row],[Amount]]*tbl_Ledger[[#This Row],[Rate_to_NGN]])</f>
        <v>67100</v>
      </c>
      <c r="R609" s="25" t="str">
        <f>_xlfn.XLOOKUP(tbl_Ledger[[#This Row],[Account_Code]], tbl_Accounts[Account_Code], tbl_Accounts[Type])</f>
        <v>Revenue</v>
      </c>
      <c r="S609" s="25" t="str">
        <f>_xlfn.XLOOKUP(tbl_Ledger[[#This Row],[Account_Code]], tbl_Accounts[Account_Code], tbl_Accounts[PL_Bucket])</f>
        <v>Revenue</v>
      </c>
      <c r="T609" s="25">
        <f t="shared" si="9"/>
        <v>67100</v>
      </c>
    </row>
    <row r="610" spans="1:20">
      <c r="A610" t="s">
        <v>1689</v>
      </c>
      <c r="B610" s="7">
        <v>45878</v>
      </c>
      <c r="C610" t="s">
        <v>93</v>
      </c>
      <c r="D610" t="s">
        <v>111</v>
      </c>
      <c r="E610" t="s">
        <v>119</v>
      </c>
      <c r="F610" s="12" t="s">
        <v>24</v>
      </c>
      <c r="G610" t="s">
        <v>25</v>
      </c>
      <c r="H610" t="s">
        <v>1690</v>
      </c>
      <c r="I610" t="s">
        <v>71</v>
      </c>
      <c r="J610" s="6">
        <v>62000</v>
      </c>
      <c r="K610" t="s">
        <v>3</v>
      </c>
      <c r="L610" t="s">
        <v>1686</v>
      </c>
      <c r="M610" t="s">
        <v>3</v>
      </c>
      <c r="N610" s="25" t="str">
        <f>TEXT(tbl_Ledger[[#This Row],[Date]],"yyyy-mm")</f>
        <v>2025-08</v>
      </c>
      <c r="O610" s="25" t="str">
        <f>TEXT(tbl_Ledger[[#This Row],[Date]],"yyyy-mm") &amp; TRIM(tbl_Ledger[[#This Row],[Currency]])</f>
        <v>2025-08NGN</v>
      </c>
      <c r="P610" s="25">
        <f>_xlfn.XLOOKUP(tbl_Ledger[[#This Row],[Key]], tbl_FX[Key], tbl_FX[Rate_to_NGN])</f>
        <v>1</v>
      </c>
      <c r="Q610" s="37">
        <f>IF(tbl_Ledger[[#This Row],[Account_Type]]="Expense",-ABS(tbl_Ledger[[#This Row],[Amount]]*tbl_Ledger[[#This Row],[Rate_to_NGN]]),tbl_Ledger[[#This Row],[Amount]]*tbl_Ledger[[#This Row],[Rate_to_NGN]])</f>
        <v>62000</v>
      </c>
      <c r="R610" s="25" t="str">
        <f>_xlfn.XLOOKUP(tbl_Ledger[[#This Row],[Account_Code]], tbl_Accounts[Account_Code], tbl_Accounts[Type])</f>
        <v>Revenue</v>
      </c>
      <c r="S610" s="25" t="str">
        <f>_xlfn.XLOOKUP(tbl_Ledger[[#This Row],[Account_Code]], tbl_Accounts[Account_Code], tbl_Accounts[PL_Bucket])</f>
        <v>Revenue</v>
      </c>
      <c r="T610" s="25">
        <f t="shared" si="9"/>
        <v>62000</v>
      </c>
    </row>
    <row r="611" spans="1:20">
      <c r="A611" t="s">
        <v>1691</v>
      </c>
      <c r="B611" s="7">
        <v>45878</v>
      </c>
      <c r="C611" t="s">
        <v>93</v>
      </c>
      <c r="D611" t="s">
        <v>111</v>
      </c>
      <c r="E611" t="s">
        <v>170</v>
      </c>
      <c r="F611" s="12" t="s">
        <v>24</v>
      </c>
      <c r="G611" t="s">
        <v>25</v>
      </c>
      <c r="H611" t="s">
        <v>1692</v>
      </c>
      <c r="I611" t="s">
        <v>71</v>
      </c>
      <c r="J611" s="6">
        <v>64800</v>
      </c>
      <c r="K611" t="s">
        <v>3</v>
      </c>
      <c r="L611" t="s">
        <v>1686</v>
      </c>
      <c r="M611" t="s">
        <v>3</v>
      </c>
      <c r="N611" s="25" t="str">
        <f>TEXT(tbl_Ledger[[#This Row],[Date]],"yyyy-mm")</f>
        <v>2025-08</v>
      </c>
      <c r="O611" s="25" t="str">
        <f>TEXT(tbl_Ledger[[#This Row],[Date]],"yyyy-mm") &amp; TRIM(tbl_Ledger[[#This Row],[Currency]])</f>
        <v>2025-08NGN</v>
      </c>
      <c r="P611" s="25">
        <f>_xlfn.XLOOKUP(tbl_Ledger[[#This Row],[Key]], tbl_FX[Key], tbl_FX[Rate_to_NGN])</f>
        <v>1</v>
      </c>
      <c r="Q611" s="37">
        <f>IF(tbl_Ledger[[#This Row],[Account_Type]]="Expense",-ABS(tbl_Ledger[[#This Row],[Amount]]*tbl_Ledger[[#This Row],[Rate_to_NGN]]),tbl_Ledger[[#This Row],[Amount]]*tbl_Ledger[[#This Row],[Rate_to_NGN]])</f>
        <v>64800</v>
      </c>
      <c r="R611" s="25" t="str">
        <f>_xlfn.XLOOKUP(tbl_Ledger[[#This Row],[Account_Code]], tbl_Accounts[Account_Code], tbl_Accounts[Type])</f>
        <v>Revenue</v>
      </c>
      <c r="S611" s="25" t="str">
        <f>_xlfn.XLOOKUP(tbl_Ledger[[#This Row],[Account_Code]], tbl_Accounts[Account_Code], tbl_Accounts[PL_Bucket])</f>
        <v>Revenue</v>
      </c>
      <c r="T611" s="25">
        <f t="shared" si="9"/>
        <v>64800</v>
      </c>
    </row>
    <row r="612" spans="1:20">
      <c r="A612" t="s">
        <v>1693</v>
      </c>
      <c r="B612" s="7">
        <v>45878</v>
      </c>
      <c r="C612" t="s">
        <v>93</v>
      </c>
      <c r="D612" t="s">
        <v>111</v>
      </c>
      <c r="E612" t="s">
        <v>122</v>
      </c>
      <c r="F612" s="12" t="s">
        <v>24</v>
      </c>
      <c r="G612" t="s">
        <v>25</v>
      </c>
      <c r="H612" t="s">
        <v>1694</v>
      </c>
      <c r="I612" t="s">
        <v>71</v>
      </c>
      <c r="J612" s="6">
        <v>62800</v>
      </c>
      <c r="K612" t="s">
        <v>3</v>
      </c>
      <c r="L612" t="s">
        <v>1695</v>
      </c>
      <c r="M612" t="s">
        <v>3</v>
      </c>
      <c r="N612" s="25" t="str">
        <f>TEXT(tbl_Ledger[[#This Row],[Date]],"yyyy-mm")</f>
        <v>2025-08</v>
      </c>
      <c r="O612" s="25" t="str">
        <f>TEXT(tbl_Ledger[[#This Row],[Date]],"yyyy-mm") &amp; TRIM(tbl_Ledger[[#This Row],[Currency]])</f>
        <v>2025-08NGN</v>
      </c>
      <c r="P612" s="25">
        <f>_xlfn.XLOOKUP(tbl_Ledger[[#This Row],[Key]], tbl_FX[Key], tbl_FX[Rate_to_NGN])</f>
        <v>1</v>
      </c>
      <c r="Q612" s="37">
        <f>IF(tbl_Ledger[[#This Row],[Account_Type]]="Expense",-ABS(tbl_Ledger[[#This Row],[Amount]]*tbl_Ledger[[#This Row],[Rate_to_NGN]]),tbl_Ledger[[#This Row],[Amount]]*tbl_Ledger[[#This Row],[Rate_to_NGN]])</f>
        <v>62800</v>
      </c>
      <c r="R612" s="25" t="str">
        <f>_xlfn.XLOOKUP(tbl_Ledger[[#This Row],[Account_Code]], tbl_Accounts[Account_Code], tbl_Accounts[Type])</f>
        <v>Revenue</v>
      </c>
      <c r="S612" s="25" t="str">
        <f>_xlfn.XLOOKUP(tbl_Ledger[[#This Row],[Account_Code]], tbl_Accounts[Account_Code], tbl_Accounts[PL_Bucket])</f>
        <v>Revenue</v>
      </c>
      <c r="T612" s="25">
        <f t="shared" si="9"/>
        <v>62800</v>
      </c>
    </row>
    <row r="613" spans="1:20">
      <c r="A613" t="s">
        <v>1696</v>
      </c>
      <c r="B613" s="7">
        <v>45878</v>
      </c>
      <c r="C613" t="s">
        <v>126</v>
      </c>
      <c r="D613" t="s">
        <v>88</v>
      </c>
      <c r="E613" t="s">
        <v>127</v>
      </c>
      <c r="F613" s="12" t="s">
        <v>29</v>
      </c>
      <c r="G613" t="s">
        <v>30</v>
      </c>
      <c r="H613" t="s">
        <v>1697</v>
      </c>
      <c r="I613" t="s">
        <v>72</v>
      </c>
      <c r="J613" s="6">
        <v>31.04</v>
      </c>
      <c r="K613" t="s">
        <v>129</v>
      </c>
      <c r="L613" t="s">
        <v>1698</v>
      </c>
      <c r="M613" t="s">
        <v>3</v>
      </c>
      <c r="N613" s="25" t="str">
        <f>TEXT(tbl_Ledger[[#This Row],[Date]],"yyyy-mm")</f>
        <v>2025-08</v>
      </c>
      <c r="O613" s="25" t="str">
        <f>TEXT(tbl_Ledger[[#This Row],[Date]],"yyyy-mm") &amp; TRIM(tbl_Ledger[[#This Row],[Currency]])</f>
        <v>2025-08USD</v>
      </c>
      <c r="P613" s="25">
        <f>_xlfn.XLOOKUP(tbl_Ledger[[#This Row],[Key]], tbl_FX[Key], tbl_FX[Rate_to_NGN])</f>
        <v>1572</v>
      </c>
      <c r="Q613" s="37">
        <f>IF(tbl_Ledger[[#This Row],[Account_Type]]="Expense",-ABS(tbl_Ledger[[#This Row],[Amount]]*tbl_Ledger[[#This Row],[Rate_to_NGN]]),tbl_Ledger[[#This Row],[Amount]]*tbl_Ledger[[#This Row],[Rate_to_NGN]])</f>
        <v>48794.879999999997</v>
      </c>
      <c r="R613" s="25" t="str">
        <f>_xlfn.XLOOKUP(tbl_Ledger[[#This Row],[Account_Code]], tbl_Accounts[Account_Code], tbl_Accounts[Type])</f>
        <v>Revenue</v>
      </c>
      <c r="S613" s="25" t="str">
        <f>_xlfn.XLOOKUP(tbl_Ledger[[#This Row],[Account_Code]], tbl_Accounts[Account_Code], tbl_Accounts[PL_Bucket])</f>
        <v>Revenue</v>
      </c>
      <c r="T613" s="25">
        <f t="shared" si="9"/>
        <v>48794.879999999997</v>
      </c>
    </row>
    <row r="614" spans="1:20">
      <c r="A614" t="s">
        <v>1699</v>
      </c>
      <c r="B614" s="7">
        <v>45878</v>
      </c>
      <c r="C614" t="s">
        <v>126</v>
      </c>
      <c r="D614" t="s">
        <v>88</v>
      </c>
      <c r="E614" t="s">
        <v>132</v>
      </c>
      <c r="F614" s="12" t="s">
        <v>29</v>
      </c>
      <c r="G614" t="s">
        <v>30</v>
      </c>
      <c r="H614" t="s">
        <v>1700</v>
      </c>
      <c r="I614" t="s">
        <v>72</v>
      </c>
      <c r="J614" s="6">
        <v>29.07</v>
      </c>
      <c r="K614" t="s">
        <v>134</v>
      </c>
      <c r="L614" t="s">
        <v>1698</v>
      </c>
      <c r="M614" t="s">
        <v>3</v>
      </c>
      <c r="N614" s="25" t="str">
        <f>TEXT(tbl_Ledger[[#This Row],[Date]],"yyyy-mm")</f>
        <v>2025-08</v>
      </c>
      <c r="O614" s="25" t="str">
        <f>TEXT(tbl_Ledger[[#This Row],[Date]],"yyyy-mm") &amp; TRIM(tbl_Ledger[[#This Row],[Currency]])</f>
        <v>2025-08USD</v>
      </c>
      <c r="P614" s="25">
        <f>_xlfn.XLOOKUP(tbl_Ledger[[#This Row],[Key]], tbl_FX[Key], tbl_FX[Rate_to_NGN])</f>
        <v>1572</v>
      </c>
      <c r="Q614" s="37">
        <f>IF(tbl_Ledger[[#This Row],[Account_Type]]="Expense",-ABS(tbl_Ledger[[#This Row],[Amount]]*tbl_Ledger[[#This Row],[Rate_to_NGN]]),tbl_Ledger[[#This Row],[Amount]]*tbl_Ledger[[#This Row],[Rate_to_NGN]])</f>
        <v>45698.04</v>
      </c>
      <c r="R614" s="25" t="str">
        <f>_xlfn.XLOOKUP(tbl_Ledger[[#This Row],[Account_Code]], tbl_Accounts[Account_Code], tbl_Accounts[Type])</f>
        <v>Revenue</v>
      </c>
      <c r="S614" s="25" t="str">
        <f>_xlfn.XLOOKUP(tbl_Ledger[[#This Row],[Account_Code]], tbl_Accounts[Account_Code], tbl_Accounts[PL_Bucket])</f>
        <v>Revenue</v>
      </c>
      <c r="T614" s="25">
        <f t="shared" si="9"/>
        <v>45698.04</v>
      </c>
    </row>
    <row r="615" spans="1:20">
      <c r="A615" t="s">
        <v>1701</v>
      </c>
      <c r="B615" s="7">
        <v>45878</v>
      </c>
      <c r="C615" t="s">
        <v>126</v>
      </c>
      <c r="D615" t="s">
        <v>88</v>
      </c>
      <c r="E615" t="s">
        <v>136</v>
      </c>
      <c r="F615" s="12" t="s">
        <v>29</v>
      </c>
      <c r="G615" t="s">
        <v>30</v>
      </c>
      <c r="H615" t="s">
        <v>1702</v>
      </c>
      <c r="I615" t="s">
        <v>72</v>
      </c>
      <c r="J615" s="6">
        <v>29.07</v>
      </c>
      <c r="K615" t="s">
        <v>138</v>
      </c>
      <c r="L615" t="s">
        <v>1698</v>
      </c>
      <c r="M615" t="s">
        <v>3</v>
      </c>
      <c r="N615" s="25" t="str">
        <f>TEXT(tbl_Ledger[[#This Row],[Date]],"yyyy-mm")</f>
        <v>2025-08</v>
      </c>
      <c r="O615" s="25" t="str">
        <f>TEXT(tbl_Ledger[[#This Row],[Date]],"yyyy-mm") &amp; TRIM(tbl_Ledger[[#This Row],[Currency]])</f>
        <v>2025-08USD</v>
      </c>
      <c r="P615" s="25">
        <f>_xlfn.XLOOKUP(tbl_Ledger[[#This Row],[Key]], tbl_FX[Key], tbl_FX[Rate_to_NGN])</f>
        <v>1572</v>
      </c>
      <c r="Q615" s="37">
        <f>IF(tbl_Ledger[[#This Row],[Account_Type]]="Expense",-ABS(tbl_Ledger[[#This Row],[Amount]]*tbl_Ledger[[#This Row],[Rate_to_NGN]]),tbl_Ledger[[#This Row],[Amount]]*tbl_Ledger[[#This Row],[Rate_to_NGN]])</f>
        <v>45698.04</v>
      </c>
      <c r="R615" s="25" t="str">
        <f>_xlfn.XLOOKUP(tbl_Ledger[[#This Row],[Account_Code]], tbl_Accounts[Account_Code], tbl_Accounts[Type])</f>
        <v>Revenue</v>
      </c>
      <c r="S615" s="25" t="str">
        <f>_xlfn.XLOOKUP(tbl_Ledger[[#This Row],[Account_Code]], tbl_Accounts[Account_Code], tbl_Accounts[PL_Bucket])</f>
        <v>Revenue</v>
      </c>
      <c r="T615" s="25">
        <f t="shared" si="9"/>
        <v>45698.04</v>
      </c>
    </row>
    <row r="616" spans="1:20">
      <c r="A616" t="s">
        <v>1703</v>
      </c>
      <c r="B616" s="7">
        <v>45878</v>
      </c>
      <c r="C616" t="s">
        <v>126</v>
      </c>
      <c r="D616" t="s">
        <v>88</v>
      </c>
      <c r="E616" t="s">
        <v>140</v>
      </c>
      <c r="F616" s="12" t="s">
        <v>29</v>
      </c>
      <c r="G616" t="s">
        <v>30</v>
      </c>
      <c r="H616" t="s">
        <v>1704</v>
      </c>
      <c r="I616" t="s">
        <v>71</v>
      </c>
      <c r="J616" s="6">
        <v>52100</v>
      </c>
      <c r="K616" t="s">
        <v>3</v>
      </c>
      <c r="L616" t="s">
        <v>1705</v>
      </c>
      <c r="M616" t="s">
        <v>3</v>
      </c>
      <c r="N616" s="25" t="str">
        <f>TEXT(tbl_Ledger[[#This Row],[Date]],"yyyy-mm")</f>
        <v>2025-08</v>
      </c>
      <c r="O616" s="25" t="str">
        <f>TEXT(tbl_Ledger[[#This Row],[Date]],"yyyy-mm") &amp; TRIM(tbl_Ledger[[#This Row],[Currency]])</f>
        <v>2025-08NGN</v>
      </c>
      <c r="P616" s="25">
        <f>_xlfn.XLOOKUP(tbl_Ledger[[#This Row],[Key]], tbl_FX[Key], tbl_FX[Rate_to_NGN])</f>
        <v>1</v>
      </c>
      <c r="Q616" s="37">
        <f>IF(tbl_Ledger[[#This Row],[Account_Type]]="Expense",-ABS(tbl_Ledger[[#This Row],[Amount]]*tbl_Ledger[[#This Row],[Rate_to_NGN]]),tbl_Ledger[[#This Row],[Amount]]*tbl_Ledger[[#This Row],[Rate_to_NGN]])</f>
        <v>52100</v>
      </c>
      <c r="R616" s="25" t="str">
        <f>_xlfn.XLOOKUP(tbl_Ledger[[#This Row],[Account_Code]], tbl_Accounts[Account_Code], tbl_Accounts[Type])</f>
        <v>Revenue</v>
      </c>
      <c r="S616" s="25" t="str">
        <f>_xlfn.XLOOKUP(tbl_Ledger[[#This Row],[Account_Code]], tbl_Accounts[Account_Code], tbl_Accounts[PL_Bucket])</f>
        <v>Revenue</v>
      </c>
      <c r="T616" s="25">
        <f t="shared" si="9"/>
        <v>52100</v>
      </c>
    </row>
    <row r="617" spans="1:20">
      <c r="A617" t="s">
        <v>1706</v>
      </c>
      <c r="B617" s="7">
        <v>45878</v>
      </c>
      <c r="C617" t="s">
        <v>87</v>
      </c>
      <c r="D617" t="s">
        <v>94</v>
      </c>
      <c r="E617" t="s">
        <v>3</v>
      </c>
      <c r="F617" s="12" t="s">
        <v>33</v>
      </c>
      <c r="G617" t="s">
        <v>34</v>
      </c>
      <c r="H617" t="s">
        <v>1630</v>
      </c>
      <c r="I617" t="s">
        <v>71</v>
      </c>
      <c r="J617" s="6">
        <v>-545000</v>
      </c>
      <c r="K617" t="s">
        <v>316</v>
      </c>
      <c r="L617" t="s">
        <v>1707</v>
      </c>
      <c r="M617" t="s">
        <v>3</v>
      </c>
      <c r="N617" s="25" t="str">
        <f>TEXT(tbl_Ledger[[#This Row],[Date]],"yyyy-mm")</f>
        <v>2025-08</v>
      </c>
      <c r="O617" s="25" t="str">
        <f>TEXT(tbl_Ledger[[#This Row],[Date]],"yyyy-mm") &amp; TRIM(tbl_Ledger[[#This Row],[Currency]])</f>
        <v>2025-08NGN</v>
      </c>
      <c r="P617" s="25">
        <f>_xlfn.XLOOKUP(tbl_Ledger[[#This Row],[Key]], tbl_FX[Key], tbl_FX[Rate_to_NGN])</f>
        <v>1</v>
      </c>
      <c r="Q617" s="37">
        <f>IF(tbl_Ledger[[#This Row],[Account_Type]]="Expense",-ABS(tbl_Ledger[[#This Row],[Amount]]*tbl_Ledger[[#This Row],[Rate_to_NGN]]),tbl_Ledger[[#This Row],[Amount]]*tbl_Ledger[[#This Row],[Rate_to_NGN]])</f>
        <v>-545000</v>
      </c>
      <c r="R617" s="25" t="str">
        <f>_xlfn.XLOOKUP(tbl_Ledger[[#This Row],[Account_Code]], tbl_Accounts[Account_Code], tbl_Accounts[Type])</f>
        <v>COGS</v>
      </c>
      <c r="S617" s="25" t="str">
        <f>_xlfn.XLOOKUP(tbl_Ledger[[#This Row],[Account_Code]], tbl_Accounts[Account_Code], tbl_Accounts[PL_Bucket])</f>
        <v>COGS</v>
      </c>
      <c r="T617" s="25">
        <f t="shared" si="9"/>
        <v>-545000</v>
      </c>
    </row>
    <row r="618" spans="1:20">
      <c r="A618" t="s">
        <v>1708</v>
      </c>
      <c r="B618" s="7">
        <v>45878</v>
      </c>
      <c r="C618" t="s">
        <v>87</v>
      </c>
      <c r="D618" t="s">
        <v>94</v>
      </c>
      <c r="E618" t="s">
        <v>3</v>
      </c>
      <c r="F618" s="12" t="s">
        <v>33</v>
      </c>
      <c r="G618" t="s">
        <v>34</v>
      </c>
      <c r="H618" t="s">
        <v>1630</v>
      </c>
      <c r="I618" t="s">
        <v>71</v>
      </c>
      <c r="J618" s="6">
        <v>-711000</v>
      </c>
      <c r="K618" t="s">
        <v>316</v>
      </c>
      <c r="L618" t="s">
        <v>1709</v>
      </c>
      <c r="M618" t="s">
        <v>3</v>
      </c>
      <c r="N618" s="25" t="str">
        <f>TEXT(tbl_Ledger[[#This Row],[Date]],"yyyy-mm")</f>
        <v>2025-08</v>
      </c>
      <c r="O618" s="25" t="str">
        <f>TEXT(tbl_Ledger[[#This Row],[Date]],"yyyy-mm") &amp; TRIM(tbl_Ledger[[#This Row],[Currency]])</f>
        <v>2025-08NGN</v>
      </c>
      <c r="P618" s="25">
        <f>_xlfn.XLOOKUP(tbl_Ledger[[#This Row],[Key]], tbl_FX[Key], tbl_FX[Rate_to_NGN])</f>
        <v>1</v>
      </c>
      <c r="Q618" s="37">
        <f>IF(tbl_Ledger[[#This Row],[Account_Type]]="Expense",-ABS(tbl_Ledger[[#This Row],[Amount]]*tbl_Ledger[[#This Row],[Rate_to_NGN]]),tbl_Ledger[[#This Row],[Amount]]*tbl_Ledger[[#This Row],[Rate_to_NGN]])</f>
        <v>-711000</v>
      </c>
      <c r="R618" s="25" t="str">
        <f>_xlfn.XLOOKUP(tbl_Ledger[[#This Row],[Account_Code]], tbl_Accounts[Account_Code], tbl_Accounts[Type])</f>
        <v>COGS</v>
      </c>
      <c r="S618" s="25" t="str">
        <f>_xlfn.XLOOKUP(tbl_Ledger[[#This Row],[Account_Code]], tbl_Accounts[Account_Code], tbl_Accounts[PL_Bucket])</f>
        <v>COGS</v>
      </c>
      <c r="T618" s="25">
        <f t="shared" si="9"/>
        <v>-711000</v>
      </c>
    </row>
    <row r="619" spans="1:20">
      <c r="A619" t="s">
        <v>1710</v>
      </c>
      <c r="B619" s="7">
        <v>45878</v>
      </c>
      <c r="C619" t="s">
        <v>87</v>
      </c>
      <c r="D619" t="s">
        <v>94</v>
      </c>
      <c r="E619" t="s">
        <v>3</v>
      </c>
      <c r="F619" s="12" t="s">
        <v>44</v>
      </c>
      <c r="G619" t="s">
        <v>45</v>
      </c>
      <c r="H619" t="s">
        <v>1711</v>
      </c>
      <c r="I619" t="s">
        <v>71</v>
      </c>
      <c r="J619" s="6">
        <v>-167000</v>
      </c>
      <c r="K619" t="s">
        <v>191</v>
      </c>
      <c r="L619" t="s">
        <v>1712</v>
      </c>
      <c r="M619" t="s">
        <v>3</v>
      </c>
      <c r="N619" s="25" t="str">
        <f>TEXT(tbl_Ledger[[#This Row],[Date]],"yyyy-mm")</f>
        <v>2025-08</v>
      </c>
      <c r="O619" s="25" t="str">
        <f>TEXT(tbl_Ledger[[#This Row],[Date]],"yyyy-mm") &amp; TRIM(tbl_Ledger[[#This Row],[Currency]])</f>
        <v>2025-08NGN</v>
      </c>
      <c r="P619" s="25">
        <f>_xlfn.XLOOKUP(tbl_Ledger[[#This Row],[Key]], tbl_FX[Key], tbl_FX[Rate_to_NGN])</f>
        <v>1</v>
      </c>
      <c r="Q619" s="37">
        <f>IF(tbl_Ledger[[#This Row],[Account_Type]]="Expense",-ABS(tbl_Ledger[[#This Row],[Amount]]*tbl_Ledger[[#This Row],[Rate_to_NGN]]),tbl_Ledger[[#This Row],[Amount]]*tbl_Ledger[[#This Row],[Rate_to_NGN]])</f>
        <v>-167000</v>
      </c>
      <c r="R619" s="25" t="str">
        <f>_xlfn.XLOOKUP(tbl_Ledger[[#This Row],[Account_Code]], tbl_Accounts[Account_Code], tbl_Accounts[Type])</f>
        <v>COGS</v>
      </c>
      <c r="S619" s="25" t="str">
        <f>_xlfn.XLOOKUP(tbl_Ledger[[#This Row],[Account_Code]], tbl_Accounts[Account_Code], tbl_Accounts[PL_Bucket])</f>
        <v>COGS</v>
      </c>
      <c r="T619" s="25">
        <f t="shared" si="9"/>
        <v>-167000</v>
      </c>
    </row>
    <row r="620" spans="1:20">
      <c r="A620" t="s">
        <v>1713</v>
      </c>
      <c r="B620" s="7">
        <v>45878</v>
      </c>
      <c r="C620" t="s">
        <v>87</v>
      </c>
      <c r="D620" t="s">
        <v>111</v>
      </c>
      <c r="E620" t="s">
        <v>3</v>
      </c>
      <c r="F620" s="12" t="s">
        <v>36</v>
      </c>
      <c r="G620" t="s">
        <v>37</v>
      </c>
      <c r="H620" t="s">
        <v>1593</v>
      </c>
      <c r="I620" t="s">
        <v>71</v>
      </c>
      <c r="J620" s="6">
        <v>-1000000</v>
      </c>
      <c r="K620" t="s">
        <v>987</v>
      </c>
      <c r="L620" t="s">
        <v>1714</v>
      </c>
      <c r="M620" t="s">
        <v>3</v>
      </c>
      <c r="N620" s="25" t="str">
        <f>TEXT(tbl_Ledger[[#This Row],[Date]],"yyyy-mm")</f>
        <v>2025-08</v>
      </c>
      <c r="O620" s="25" t="str">
        <f>TEXT(tbl_Ledger[[#This Row],[Date]],"yyyy-mm") &amp; TRIM(tbl_Ledger[[#This Row],[Currency]])</f>
        <v>2025-08NGN</v>
      </c>
      <c r="P620" s="25">
        <f>_xlfn.XLOOKUP(tbl_Ledger[[#This Row],[Key]], tbl_FX[Key], tbl_FX[Rate_to_NGN])</f>
        <v>1</v>
      </c>
      <c r="Q620" s="37">
        <f>IF(tbl_Ledger[[#This Row],[Account_Type]]="Expense",-ABS(tbl_Ledger[[#This Row],[Amount]]*tbl_Ledger[[#This Row],[Rate_to_NGN]]),tbl_Ledger[[#This Row],[Amount]]*tbl_Ledger[[#This Row],[Rate_to_NGN]])</f>
        <v>-1000000</v>
      </c>
      <c r="R620" s="25" t="str">
        <f>_xlfn.XLOOKUP(tbl_Ledger[[#This Row],[Account_Code]], tbl_Accounts[Account_Code], tbl_Accounts[Type])</f>
        <v>COGS</v>
      </c>
      <c r="S620" s="25" t="str">
        <f>_xlfn.XLOOKUP(tbl_Ledger[[#This Row],[Account_Code]], tbl_Accounts[Account_Code], tbl_Accounts[PL_Bucket])</f>
        <v>COGS</v>
      </c>
      <c r="T620" s="25">
        <f t="shared" si="9"/>
        <v>-1000000</v>
      </c>
    </row>
    <row r="621" spans="1:20">
      <c r="A621" t="s">
        <v>1715</v>
      </c>
      <c r="B621" s="7">
        <v>45878</v>
      </c>
      <c r="C621" t="s">
        <v>87</v>
      </c>
      <c r="D621" t="s">
        <v>111</v>
      </c>
      <c r="E621" t="s">
        <v>3</v>
      </c>
      <c r="F621" s="12" t="s">
        <v>38</v>
      </c>
      <c r="G621" t="s">
        <v>39</v>
      </c>
      <c r="H621" t="s">
        <v>1423</v>
      </c>
      <c r="I621" t="s">
        <v>71</v>
      </c>
      <c r="J621" s="6">
        <v>-62000</v>
      </c>
      <c r="K621" t="s">
        <v>276</v>
      </c>
      <c r="L621" t="s">
        <v>1716</v>
      </c>
      <c r="M621" t="s">
        <v>3</v>
      </c>
      <c r="N621" s="25" t="str">
        <f>TEXT(tbl_Ledger[[#This Row],[Date]],"yyyy-mm")</f>
        <v>2025-08</v>
      </c>
      <c r="O621" s="25" t="str">
        <f>TEXT(tbl_Ledger[[#This Row],[Date]],"yyyy-mm") &amp; TRIM(tbl_Ledger[[#This Row],[Currency]])</f>
        <v>2025-08NGN</v>
      </c>
      <c r="P621" s="25">
        <f>_xlfn.XLOOKUP(tbl_Ledger[[#This Row],[Key]], tbl_FX[Key], tbl_FX[Rate_to_NGN])</f>
        <v>1</v>
      </c>
      <c r="Q621" s="37">
        <f>IF(tbl_Ledger[[#This Row],[Account_Type]]="Expense",-ABS(tbl_Ledger[[#This Row],[Amount]]*tbl_Ledger[[#This Row],[Rate_to_NGN]]),tbl_Ledger[[#This Row],[Amount]]*tbl_Ledger[[#This Row],[Rate_to_NGN]])</f>
        <v>-62000</v>
      </c>
      <c r="R621" s="25" t="str">
        <f>_xlfn.XLOOKUP(tbl_Ledger[[#This Row],[Account_Code]], tbl_Accounts[Account_Code], tbl_Accounts[Type])</f>
        <v>COGS</v>
      </c>
      <c r="S621" s="25" t="str">
        <f>_xlfn.XLOOKUP(tbl_Ledger[[#This Row],[Account_Code]], tbl_Accounts[Account_Code], tbl_Accounts[PL_Bucket])</f>
        <v>COGS</v>
      </c>
      <c r="T621" s="25">
        <f t="shared" si="9"/>
        <v>-62000</v>
      </c>
    </row>
    <row r="622" spans="1:20">
      <c r="A622" t="s">
        <v>1717</v>
      </c>
      <c r="B622" s="7">
        <v>45879</v>
      </c>
      <c r="C622" t="s">
        <v>93</v>
      </c>
      <c r="D622" t="s">
        <v>94</v>
      </c>
      <c r="E622" t="s">
        <v>95</v>
      </c>
      <c r="F622" s="12" t="s">
        <v>24</v>
      </c>
      <c r="G622" t="s">
        <v>25</v>
      </c>
      <c r="H622" t="s">
        <v>1718</v>
      </c>
      <c r="I622" t="s">
        <v>71</v>
      </c>
      <c r="J622" s="6">
        <v>39700</v>
      </c>
      <c r="K622" t="s">
        <v>3</v>
      </c>
      <c r="L622" t="s">
        <v>1719</v>
      </c>
      <c r="M622" t="s">
        <v>3</v>
      </c>
      <c r="N622" s="25" t="str">
        <f>TEXT(tbl_Ledger[[#This Row],[Date]],"yyyy-mm")</f>
        <v>2025-08</v>
      </c>
      <c r="O622" s="25" t="str">
        <f>TEXT(tbl_Ledger[[#This Row],[Date]],"yyyy-mm") &amp; TRIM(tbl_Ledger[[#This Row],[Currency]])</f>
        <v>2025-08NGN</v>
      </c>
      <c r="P622" s="25">
        <f>_xlfn.XLOOKUP(tbl_Ledger[[#This Row],[Key]], tbl_FX[Key], tbl_FX[Rate_to_NGN])</f>
        <v>1</v>
      </c>
      <c r="Q622" s="37">
        <f>IF(tbl_Ledger[[#This Row],[Account_Type]]="Expense",-ABS(tbl_Ledger[[#This Row],[Amount]]*tbl_Ledger[[#This Row],[Rate_to_NGN]]),tbl_Ledger[[#This Row],[Amount]]*tbl_Ledger[[#This Row],[Rate_to_NGN]])</f>
        <v>39700</v>
      </c>
      <c r="R622" s="25" t="str">
        <f>_xlfn.XLOOKUP(tbl_Ledger[[#This Row],[Account_Code]], tbl_Accounts[Account_Code], tbl_Accounts[Type])</f>
        <v>Revenue</v>
      </c>
      <c r="S622" s="25" t="str">
        <f>_xlfn.XLOOKUP(tbl_Ledger[[#This Row],[Account_Code]], tbl_Accounts[Account_Code], tbl_Accounts[PL_Bucket])</f>
        <v>Revenue</v>
      </c>
      <c r="T622" s="25">
        <f t="shared" si="9"/>
        <v>39700</v>
      </c>
    </row>
    <row r="623" spans="1:20">
      <c r="A623" t="s">
        <v>1720</v>
      </c>
      <c r="B623" s="7">
        <v>45879</v>
      </c>
      <c r="C623" t="s">
        <v>93</v>
      </c>
      <c r="D623" t="s">
        <v>94</v>
      </c>
      <c r="E623" t="s">
        <v>99</v>
      </c>
      <c r="F623" s="12" t="s">
        <v>24</v>
      </c>
      <c r="G623" t="s">
        <v>25</v>
      </c>
      <c r="H623" t="s">
        <v>1721</v>
      </c>
      <c r="I623" t="s">
        <v>71</v>
      </c>
      <c r="J623" s="6">
        <v>37700</v>
      </c>
      <c r="K623" t="s">
        <v>3</v>
      </c>
      <c r="L623" t="s">
        <v>1722</v>
      </c>
      <c r="M623" t="s">
        <v>3</v>
      </c>
      <c r="N623" s="25" t="str">
        <f>TEXT(tbl_Ledger[[#This Row],[Date]],"yyyy-mm")</f>
        <v>2025-08</v>
      </c>
      <c r="O623" s="25" t="str">
        <f>TEXT(tbl_Ledger[[#This Row],[Date]],"yyyy-mm") &amp; TRIM(tbl_Ledger[[#This Row],[Currency]])</f>
        <v>2025-08NGN</v>
      </c>
      <c r="P623" s="25">
        <f>_xlfn.XLOOKUP(tbl_Ledger[[#This Row],[Key]], tbl_FX[Key], tbl_FX[Rate_to_NGN])</f>
        <v>1</v>
      </c>
      <c r="Q623" s="37">
        <f>IF(tbl_Ledger[[#This Row],[Account_Type]]="Expense",-ABS(tbl_Ledger[[#This Row],[Amount]]*tbl_Ledger[[#This Row],[Rate_to_NGN]]),tbl_Ledger[[#This Row],[Amount]]*tbl_Ledger[[#This Row],[Rate_to_NGN]])</f>
        <v>37700</v>
      </c>
      <c r="R623" s="25" t="str">
        <f>_xlfn.XLOOKUP(tbl_Ledger[[#This Row],[Account_Code]], tbl_Accounts[Account_Code], tbl_Accounts[Type])</f>
        <v>Revenue</v>
      </c>
      <c r="S623" s="25" t="str">
        <f>_xlfn.XLOOKUP(tbl_Ledger[[#This Row],[Account_Code]], tbl_Accounts[Account_Code], tbl_Accounts[PL_Bucket])</f>
        <v>Revenue</v>
      </c>
      <c r="T623" s="25">
        <f t="shared" si="9"/>
        <v>37700</v>
      </c>
    </row>
    <row r="624" spans="1:20">
      <c r="A624" t="s">
        <v>1723</v>
      </c>
      <c r="B624" s="7">
        <v>45879</v>
      </c>
      <c r="C624" t="s">
        <v>93</v>
      </c>
      <c r="D624" t="s">
        <v>94</v>
      </c>
      <c r="E624" t="s">
        <v>103</v>
      </c>
      <c r="F624" s="12" t="s">
        <v>24</v>
      </c>
      <c r="G624" t="s">
        <v>25</v>
      </c>
      <c r="H624" t="s">
        <v>1724</v>
      </c>
      <c r="I624" t="s">
        <v>71</v>
      </c>
      <c r="J624" s="6">
        <v>39600</v>
      </c>
      <c r="K624" t="s">
        <v>3</v>
      </c>
      <c r="L624" t="s">
        <v>1725</v>
      </c>
      <c r="M624" t="s">
        <v>3</v>
      </c>
      <c r="N624" s="25" t="str">
        <f>TEXT(tbl_Ledger[[#This Row],[Date]],"yyyy-mm")</f>
        <v>2025-08</v>
      </c>
      <c r="O624" s="25" t="str">
        <f>TEXT(tbl_Ledger[[#This Row],[Date]],"yyyy-mm") &amp; TRIM(tbl_Ledger[[#This Row],[Currency]])</f>
        <v>2025-08NGN</v>
      </c>
      <c r="P624" s="25">
        <f>_xlfn.XLOOKUP(tbl_Ledger[[#This Row],[Key]], tbl_FX[Key], tbl_FX[Rate_to_NGN])</f>
        <v>1</v>
      </c>
      <c r="Q624" s="37">
        <f>IF(tbl_Ledger[[#This Row],[Account_Type]]="Expense",-ABS(tbl_Ledger[[#This Row],[Amount]]*tbl_Ledger[[#This Row],[Rate_to_NGN]]),tbl_Ledger[[#This Row],[Amount]]*tbl_Ledger[[#This Row],[Rate_to_NGN]])</f>
        <v>39600</v>
      </c>
      <c r="R624" s="25" t="str">
        <f>_xlfn.XLOOKUP(tbl_Ledger[[#This Row],[Account_Code]], tbl_Accounts[Account_Code], tbl_Accounts[Type])</f>
        <v>Revenue</v>
      </c>
      <c r="S624" s="25" t="str">
        <f>_xlfn.XLOOKUP(tbl_Ledger[[#This Row],[Account_Code]], tbl_Accounts[Account_Code], tbl_Accounts[PL_Bucket])</f>
        <v>Revenue</v>
      </c>
      <c r="T624" s="25">
        <f t="shared" si="9"/>
        <v>39600</v>
      </c>
    </row>
    <row r="625" spans="1:20">
      <c r="A625" t="s">
        <v>1726</v>
      </c>
      <c r="B625" s="7">
        <v>45879</v>
      </c>
      <c r="C625" t="s">
        <v>93</v>
      </c>
      <c r="D625" t="s">
        <v>94</v>
      </c>
      <c r="E625" t="s">
        <v>107</v>
      </c>
      <c r="F625" s="12" t="s">
        <v>24</v>
      </c>
      <c r="G625" t="s">
        <v>25</v>
      </c>
      <c r="H625" t="s">
        <v>1727</v>
      </c>
      <c r="I625" t="s">
        <v>71</v>
      </c>
      <c r="J625" s="6">
        <v>36100</v>
      </c>
      <c r="K625" t="s">
        <v>3</v>
      </c>
      <c r="L625" t="s">
        <v>1728</v>
      </c>
      <c r="M625" t="s">
        <v>3</v>
      </c>
      <c r="N625" s="25" t="str">
        <f>TEXT(tbl_Ledger[[#This Row],[Date]],"yyyy-mm")</f>
        <v>2025-08</v>
      </c>
      <c r="O625" s="25" t="str">
        <f>TEXT(tbl_Ledger[[#This Row],[Date]],"yyyy-mm") &amp; TRIM(tbl_Ledger[[#This Row],[Currency]])</f>
        <v>2025-08NGN</v>
      </c>
      <c r="P625" s="25">
        <f>_xlfn.XLOOKUP(tbl_Ledger[[#This Row],[Key]], tbl_FX[Key], tbl_FX[Rate_to_NGN])</f>
        <v>1</v>
      </c>
      <c r="Q625" s="37">
        <f>IF(tbl_Ledger[[#This Row],[Account_Type]]="Expense",-ABS(tbl_Ledger[[#This Row],[Amount]]*tbl_Ledger[[#This Row],[Rate_to_NGN]]),tbl_Ledger[[#This Row],[Amount]]*tbl_Ledger[[#This Row],[Rate_to_NGN]])</f>
        <v>36100</v>
      </c>
      <c r="R625" s="25" t="str">
        <f>_xlfn.XLOOKUP(tbl_Ledger[[#This Row],[Account_Code]], tbl_Accounts[Account_Code], tbl_Accounts[Type])</f>
        <v>Revenue</v>
      </c>
      <c r="S625" s="25" t="str">
        <f>_xlfn.XLOOKUP(tbl_Ledger[[#This Row],[Account_Code]], tbl_Accounts[Account_Code], tbl_Accounts[PL_Bucket])</f>
        <v>Revenue</v>
      </c>
      <c r="T625" s="25">
        <f t="shared" si="9"/>
        <v>36100</v>
      </c>
    </row>
    <row r="626" spans="1:20">
      <c r="A626" t="s">
        <v>1729</v>
      </c>
      <c r="B626" s="7">
        <v>45879</v>
      </c>
      <c r="C626" t="s">
        <v>93</v>
      </c>
      <c r="D626" t="s">
        <v>111</v>
      </c>
      <c r="E626" t="s">
        <v>112</v>
      </c>
      <c r="F626" s="12" t="s">
        <v>24</v>
      </c>
      <c r="G626" t="s">
        <v>25</v>
      </c>
      <c r="H626" t="s">
        <v>1730</v>
      </c>
      <c r="I626" t="s">
        <v>71</v>
      </c>
      <c r="J626" s="6">
        <v>66900</v>
      </c>
      <c r="K626" t="s">
        <v>3</v>
      </c>
      <c r="L626" t="s">
        <v>1731</v>
      </c>
      <c r="M626" t="s">
        <v>3</v>
      </c>
      <c r="N626" s="25" t="str">
        <f>TEXT(tbl_Ledger[[#This Row],[Date]],"yyyy-mm")</f>
        <v>2025-08</v>
      </c>
      <c r="O626" s="25" t="str">
        <f>TEXT(tbl_Ledger[[#This Row],[Date]],"yyyy-mm") &amp; TRIM(tbl_Ledger[[#This Row],[Currency]])</f>
        <v>2025-08NGN</v>
      </c>
      <c r="P626" s="25">
        <f>_xlfn.XLOOKUP(tbl_Ledger[[#This Row],[Key]], tbl_FX[Key], tbl_FX[Rate_to_NGN])</f>
        <v>1</v>
      </c>
      <c r="Q626" s="37">
        <f>IF(tbl_Ledger[[#This Row],[Account_Type]]="Expense",-ABS(tbl_Ledger[[#This Row],[Amount]]*tbl_Ledger[[#This Row],[Rate_to_NGN]]),tbl_Ledger[[#This Row],[Amount]]*tbl_Ledger[[#This Row],[Rate_to_NGN]])</f>
        <v>66900</v>
      </c>
      <c r="R626" s="25" t="str">
        <f>_xlfn.XLOOKUP(tbl_Ledger[[#This Row],[Account_Code]], tbl_Accounts[Account_Code], tbl_Accounts[Type])</f>
        <v>Revenue</v>
      </c>
      <c r="S626" s="25" t="str">
        <f>_xlfn.XLOOKUP(tbl_Ledger[[#This Row],[Account_Code]], tbl_Accounts[Account_Code], tbl_Accounts[PL_Bucket])</f>
        <v>Revenue</v>
      </c>
      <c r="T626" s="25">
        <f t="shared" si="9"/>
        <v>66900</v>
      </c>
    </row>
    <row r="627" spans="1:20">
      <c r="A627" t="s">
        <v>1732</v>
      </c>
      <c r="B627" s="7">
        <v>45879</v>
      </c>
      <c r="C627" t="s">
        <v>93</v>
      </c>
      <c r="D627" t="s">
        <v>111</v>
      </c>
      <c r="E627" t="s">
        <v>116</v>
      </c>
      <c r="F627" s="12" t="s">
        <v>24</v>
      </c>
      <c r="G627" t="s">
        <v>25</v>
      </c>
      <c r="H627" t="s">
        <v>1733</v>
      </c>
      <c r="I627" t="s">
        <v>71</v>
      </c>
      <c r="J627" s="6">
        <v>66900</v>
      </c>
      <c r="K627" t="s">
        <v>3</v>
      </c>
      <c r="L627" t="s">
        <v>1731</v>
      </c>
      <c r="M627" t="s">
        <v>3</v>
      </c>
      <c r="N627" s="25" t="str">
        <f>TEXT(tbl_Ledger[[#This Row],[Date]],"yyyy-mm")</f>
        <v>2025-08</v>
      </c>
      <c r="O627" s="25" t="str">
        <f>TEXT(tbl_Ledger[[#This Row],[Date]],"yyyy-mm") &amp; TRIM(tbl_Ledger[[#This Row],[Currency]])</f>
        <v>2025-08NGN</v>
      </c>
      <c r="P627" s="25">
        <f>_xlfn.XLOOKUP(tbl_Ledger[[#This Row],[Key]], tbl_FX[Key], tbl_FX[Rate_to_NGN])</f>
        <v>1</v>
      </c>
      <c r="Q627" s="37">
        <f>IF(tbl_Ledger[[#This Row],[Account_Type]]="Expense",-ABS(tbl_Ledger[[#This Row],[Amount]]*tbl_Ledger[[#This Row],[Rate_to_NGN]]),tbl_Ledger[[#This Row],[Amount]]*tbl_Ledger[[#This Row],[Rate_to_NGN]])</f>
        <v>66900</v>
      </c>
      <c r="R627" s="25" t="str">
        <f>_xlfn.XLOOKUP(tbl_Ledger[[#This Row],[Account_Code]], tbl_Accounts[Account_Code], tbl_Accounts[Type])</f>
        <v>Revenue</v>
      </c>
      <c r="S627" s="25" t="str">
        <f>_xlfn.XLOOKUP(tbl_Ledger[[#This Row],[Account_Code]], tbl_Accounts[Account_Code], tbl_Accounts[PL_Bucket])</f>
        <v>Revenue</v>
      </c>
      <c r="T627" s="25">
        <f t="shared" si="9"/>
        <v>66900</v>
      </c>
    </row>
    <row r="628" spans="1:20">
      <c r="A628" t="s">
        <v>1734</v>
      </c>
      <c r="B628" s="7">
        <v>45879</v>
      </c>
      <c r="C628" t="s">
        <v>93</v>
      </c>
      <c r="D628" t="s">
        <v>111</v>
      </c>
      <c r="E628" t="s">
        <v>119</v>
      </c>
      <c r="F628" s="12" t="s">
        <v>24</v>
      </c>
      <c r="G628" t="s">
        <v>25</v>
      </c>
      <c r="H628" t="s">
        <v>1735</v>
      </c>
      <c r="I628" t="s">
        <v>71</v>
      </c>
      <c r="J628" s="6">
        <v>65100</v>
      </c>
      <c r="K628" t="s">
        <v>3</v>
      </c>
      <c r="L628" t="s">
        <v>1731</v>
      </c>
      <c r="M628" t="s">
        <v>3</v>
      </c>
      <c r="N628" s="25" t="str">
        <f>TEXT(tbl_Ledger[[#This Row],[Date]],"yyyy-mm")</f>
        <v>2025-08</v>
      </c>
      <c r="O628" s="25" t="str">
        <f>TEXT(tbl_Ledger[[#This Row],[Date]],"yyyy-mm") &amp; TRIM(tbl_Ledger[[#This Row],[Currency]])</f>
        <v>2025-08NGN</v>
      </c>
      <c r="P628" s="25">
        <f>_xlfn.XLOOKUP(tbl_Ledger[[#This Row],[Key]], tbl_FX[Key], tbl_FX[Rate_to_NGN])</f>
        <v>1</v>
      </c>
      <c r="Q628" s="37">
        <f>IF(tbl_Ledger[[#This Row],[Account_Type]]="Expense",-ABS(tbl_Ledger[[#This Row],[Amount]]*tbl_Ledger[[#This Row],[Rate_to_NGN]]),tbl_Ledger[[#This Row],[Amount]]*tbl_Ledger[[#This Row],[Rate_to_NGN]])</f>
        <v>65100</v>
      </c>
      <c r="R628" s="25" t="str">
        <f>_xlfn.XLOOKUP(tbl_Ledger[[#This Row],[Account_Code]], tbl_Accounts[Account_Code], tbl_Accounts[Type])</f>
        <v>Revenue</v>
      </c>
      <c r="S628" s="25" t="str">
        <f>_xlfn.XLOOKUP(tbl_Ledger[[#This Row],[Account_Code]], tbl_Accounts[Account_Code], tbl_Accounts[PL_Bucket])</f>
        <v>Revenue</v>
      </c>
      <c r="T628" s="25">
        <f t="shared" si="9"/>
        <v>65100</v>
      </c>
    </row>
    <row r="629" spans="1:20">
      <c r="A629" t="s">
        <v>1736</v>
      </c>
      <c r="B629" s="7">
        <v>45879</v>
      </c>
      <c r="C629" t="s">
        <v>93</v>
      </c>
      <c r="D629" t="s">
        <v>111</v>
      </c>
      <c r="E629" t="s">
        <v>170</v>
      </c>
      <c r="F629" s="12" t="s">
        <v>24</v>
      </c>
      <c r="G629" t="s">
        <v>25</v>
      </c>
      <c r="H629" t="s">
        <v>1737</v>
      </c>
      <c r="I629" t="s">
        <v>71</v>
      </c>
      <c r="J629" s="6">
        <v>60600</v>
      </c>
      <c r="K629" t="s">
        <v>3</v>
      </c>
      <c r="L629" t="s">
        <v>1731</v>
      </c>
      <c r="M629" t="s">
        <v>3</v>
      </c>
      <c r="N629" s="25" t="str">
        <f>TEXT(tbl_Ledger[[#This Row],[Date]],"yyyy-mm")</f>
        <v>2025-08</v>
      </c>
      <c r="O629" s="25" t="str">
        <f>TEXT(tbl_Ledger[[#This Row],[Date]],"yyyy-mm") &amp; TRIM(tbl_Ledger[[#This Row],[Currency]])</f>
        <v>2025-08NGN</v>
      </c>
      <c r="P629" s="25">
        <f>_xlfn.XLOOKUP(tbl_Ledger[[#This Row],[Key]], tbl_FX[Key], tbl_FX[Rate_to_NGN])</f>
        <v>1</v>
      </c>
      <c r="Q629" s="37">
        <f>IF(tbl_Ledger[[#This Row],[Account_Type]]="Expense",-ABS(tbl_Ledger[[#This Row],[Amount]]*tbl_Ledger[[#This Row],[Rate_to_NGN]]),tbl_Ledger[[#This Row],[Amount]]*tbl_Ledger[[#This Row],[Rate_to_NGN]])</f>
        <v>60600</v>
      </c>
      <c r="R629" s="25" t="str">
        <f>_xlfn.XLOOKUP(tbl_Ledger[[#This Row],[Account_Code]], tbl_Accounts[Account_Code], tbl_Accounts[Type])</f>
        <v>Revenue</v>
      </c>
      <c r="S629" s="25" t="str">
        <f>_xlfn.XLOOKUP(tbl_Ledger[[#This Row],[Account_Code]], tbl_Accounts[Account_Code], tbl_Accounts[PL_Bucket])</f>
        <v>Revenue</v>
      </c>
      <c r="T629" s="25">
        <f t="shared" si="9"/>
        <v>60600</v>
      </c>
    </row>
    <row r="630" spans="1:20">
      <c r="A630" t="s">
        <v>1738</v>
      </c>
      <c r="B630" s="7">
        <v>45879</v>
      </c>
      <c r="C630" t="s">
        <v>93</v>
      </c>
      <c r="D630" t="s">
        <v>111</v>
      </c>
      <c r="E630" t="s">
        <v>122</v>
      </c>
      <c r="F630" s="12" t="s">
        <v>24</v>
      </c>
      <c r="G630" t="s">
        <v>25</v>
      </c>
      <c r="H630" t="s">
        <v>1739</v>
      </c>
      <c r="I630" t="s">
        <v>73</v>
      </c>
      <c r="J630" s="6">
        <v>657.58</v>
      </c>
      <c r="K630" t="s">
        <v>3</v>
      </c>
      <c r="L630" t="s">
        <v>1740</v>
      </c>
      <c r="M630" t="s">
        <v>3</v>
      </c>
      <c r="N630" s="25" t="str">
        <f>TEXT(tbl_Ledger[[#This Row],[Date]],"yyyy-mm")</f>
        <v>2025-08</v>
      </c>
      <c r="O630" s="25" t="str">
        <f>TEXT(tbl_Ledger[[#This Row],[Date]],"yyyy-mm") &amp; TRIM(tbl_Ledger[[#This Row],[Currency]])</f>
        <v>2025-08GHS</v>
      </c>
      <c r="P630" s="25">
        <f>_xlfn.XLOOKUP(tbl_Ledger[[#This Row],[Key]], tbl_FX[Key], tbl_FX[Rate_to_NGN])</f>
        <v>99</v>
      </c>
      <c r="Q630" s="37">
        <f>IF(tbl_Ledger[[#This Row],[Account_Type]]="Expense",-ABS(tbl_Ledger[[#This Row],[Amount]]*tbl_Ledger[[#This Row],[Rate_to_NGN]]),tbl_Ledger[[#This Row],[Amount]]*tbl_Ledger[[#This Row],[Rate_to_NGN]])</f>
        <v>65100.420000000006</v>
      </c>
      <c r="R630" s="25" t="str">
        <f>_xlfn.XLOOKUP(tbl_Ledger[[#This Row],[Account_Code]], tbl_Accounts[Account_Code], tbl_Accounts[Type])</f>
        <v>Revenue</v>
      </c>
      <c r="S630" s="25" t="str">
        <f>_xlfn.XLOOKUP(tbl_Ledger[[#This Row],[Account_Code]], tbl_Accounts[Account_Code], tbl_Accounts[PL_Bucket])</f>
        <v>Revenue</v>
      </c>
      <c r="T630" s="25">
        <f t="shared" si="9"/>
        <v>65100.420000000006</v>
      </c>
    </row>
    <row r="631" spans="1:20">
      <c r="A631" t="s">
        <v>1741</v>
      </c>
      <c r="B631" s="7">
        <v>45879</v>
      </c>
      <c r="C631" t="s">
        <v>126</v>
      </c>
      <c r="D631" t="s">
        <v>88</v>
      </c>
      <c r="E631" t="s">
        <v>127</v>
      </c>
      <c r="F631" s="12" t="s">
        <v>29</v>
      </c>
      <c r="G631" t="s">
        <v>30</v>
      </c>
      <c r="H631" t="s">
        <v>1742</v>
      </c>
      <c r="I631" t="s">
        <v>72</v>
      </c>
      <c r="J631" s="6">
        <v>34.729999999999997</v>
      </c>
      <c r="K631" t="s">
        <v>129</v>
      </c>
      <c r="L631" t="s">
        <v>1743</v>
      </c>
      <c r="M631" t="s">
        <v>3</v>
      </c>
      <c r="N631" s="25" t="str">
        <f>TEXT(tbl_Ledger[[#This Row],[Date]],"yyyy-mm")</f>
        <v>2025-08</v>
      </c>
      <c r="O631" s="25" t="str">
        <f>TEXT(tbl_Ledger[[#This Row],[Date]],"yyyy-mm") &amp; TRIM(tbl_Ledger[[#This Row],[Currency]])</f>
        <v>2025-08USD</v>
      </c>
      <c r="P631" s="25">
        <f>_xlfn.XLOOKUP(tbl_Ledger[[#This Row],[Key]], tbl_FX[Key], tbl_FX[Rate_to_NGN])</f>
        <v>1572</v>
      </c>
      <c r="Q631" s="37">
        <f>IF(tbl_Ledger[[#This Row],[Account_Type]]="Expense",-ABS(tbl_Ledger[[#This Row],[Amount]]*tbl_Ledger[[#This Row],[Rate_to_NGN]]),tbl_Ledger[[#This Row],[Amount]]*tbl_Ledger[[#This Row],[Rate_to_NGN]])</f>
        <v>54595.56</v>
      </c>
      <c r="R631" s="25" t="str">
        <f>_xlfn.XLOOKUP(tbl_Ledger[[#This Row],[Account_Code]], tbl_Accounts[Account_Code], tbl_Accounts[Type])</f>
        <v>Revenue</v>
      </c>
      <c r="S631" s="25" t="str">
        <f>_xlfn.XLOOKUP(tbl_Ledger[[#This Row],[Account_Code]], tbl_Accounts[Account_Code], tbl_Accounts[PL_Bucket])</f>
        <v>Revenue</v>
      </c>
      <c r="T631" s="25">
        <f t="shared" si="9"/>
        <v>54595.56</v>
      </c>
    </row>
    <row r="632" spans="1:20">
      <c r="A632" t="s">
        <v>1744</v>
      </c>
      <c r="B632" s="7">
        <v>45879</v>
      </c>
      <c r="C632" t="s">
        <v>126</v>
      </c>
      <c r="D632" t="s">
        <v>88</v>
      </c>
      <c r="E632" t="s">
        <v>132</v>
      </c>
      <c r="F632" s="12" t="s">
        <v>29</v>
      </c>
      <c r="G632" t="s">
        <v>30</v>
      </c>
      <c r="H632" t="s">
        <v>1745</v>
      </c>
      <c r="I632" t="s">
        <v>71</v>
      </c>
      <c r="J632" s="6">
        <v>48500</v>
      </c>
      <c r="K632" t="s">
        <v>134</v>
      </c>
      <c r="L632" t="s">
        <v>1743</v>
      </c>
      <c r="M632" t="s">
        <v>3</v>
      </c>
      <c r="N632" s="25" t="str">
        <f>TEXT(tbl_Ledger[[#This Row],[Date]],"yyyy-mm")</f>
        <v>2025-08</v>
      </c>
      <c r="O632" s="25" t="str">
        <f>TEXT(tbl_Ledger[[#This Row],[Date]],"yyyy-mm") &amp; TRIM(tbl_Ledger[[#This Row],[Currency]])</f>
        <v>2025-08NGN</v>
      </c>
      <c r="P632" s="25">
        <f>_xlfn.XLOOKUP(tbl_Ledger[[#This Row],[Key]], tbl_FX[Key], tbl_FX[Rate_to_NGN])</f>
        <v>1</v>
      </c>
      <c r="Q632" s="37">
        <f>IF(tbl_Ledger[[#This Row],[Account_Type]]="Expense",-ABS(tbl_Ledger[[#This Row],[Amount]]*tbl_Ledger[[#This Row],[Rate_to_NGN]]),tbl_Ledger[[#This Row],[Amount]]*tbl_Ledger[[#This Row],[Rate_to_NGN]])</f>
        <v>48500</v>
      </c>
      <c r="R632" s="25" t="str">
        <f>_xlfn.XLOOKUP(tbl_Ledger[[#This Row],[Account_Code]], tbl_Accounts[Account_Code], tbl_Accounts[Type])</f>
        <v>Revenue</v>
      </c>
      <c r="S632" s="25" t="str">
        <f>_xlfn.XLOOKUP(tbl_Ledger[[#This Row],[Account_Code]], tbl_Accounts[Account_Code], tbl_Accounts[PL_Bucket])</f>
        <v>Revenue</v>
      </c>
      <c r="T632" s="25">
        <f t="shared" si="9"/>
        <v>48500</v>
      </c>
    </row>
    <row r="633" spans="1:20">
      <c r="A633" t="s">
        <v>1746</v>
      </c>
      <c r="B633" s="7">
        <v>45879</v>
      </c>
      <c r="C633" t="s">
        <v>126</v>
      </c>
      <c r="D633" t="s">
        <v>88</v>
      </c>
      <c r="E633" t="s">
        <v>136</v>
      </c>
      <c r="F633" s="12" t="s">
        <v>29</v>
      </c>
      <c r="G633" t="s">
        <v>30</v>
      </c>
      <c r="H633" t="s">
        <v>1747</v>
      </c>
      <c r="I633" t="s">
        <v>71</v>
      </c>
      <c r="J633" s="6">
        <v>51300</v>
      </c>
      <c r="K633" t="s">
        <v>138</v>
      </c>
      <c r="L633" t="s">
        <v>1743</v>
      </c>
      <c r="M633" t="s">
        <v>3</v>
      </c>
      <c r="N633" s="25" t="str">
        <f>TEXT(tbl_Ledger[[#This Row],[Date]],"yyyy-mm")</f>
        <v>2025-08</v>
      </c>
      <c r="O633" s="25" t="str">
        <f>TEXT(tbl_Ledger[[#This Row],[Date]],"yyyy-mm") &amp; TRIM(tbl_Ledger[[#This Row],[Currency]])</f>
        <v>2025-08NGN</v>
      </c>
      <c r="P633" s="25">
        <f>_xlfn.XLOOKUP(tbl_Ledger[[#This Row],[Key]], tbl_FX[Key], tbl_FX[Rate_to_NGN])</f>
        <v>1</v>
      </c>
      <c r="Q633" s="37">
        <f>IF(tbl_Ledger[[#This Row],[Account_Type]]="Expense",-ABS(tbl_Ledger[[#This Row],[Amount]]*tbl_Ledger[[#This Row],[Rate_to_NGN]]),tbl_Ledger[[#This Row],[Amount]]*tbl_Ledger[[#This Row],[Rate_to_NGN]])</f>
        <v>51300</v>
      </c>
      <c r="R633" s="25" t="str">
        <f>_xlfn.XLOOKUP(tbl_Ledger[[#This Row],[Account_Code]], tbl_Accounts[Account_Code], tbl_Accounts[Type])</f>
        <v>Revenue</v>
      </c>
      <c r="S633" s="25" t="str">
        <f>_xlfn.XLOOKUP(tbl_Ledger[[#This Row],[Account_Code]], tbl_Accounts[Account_Code], tbl_Accounts[PL_Bucket])</f>
        <v>Revenue</v>
      </c>
      <c r="T633" s="25">
        <f t="shared" si="9"/>
        <v>51300</v>
      </c>
    </row>
    <row r="634" spans="1:20">
      <c r="A634" t="s">
        <v>1748</v>
      </c>
      <c r="B634" s="7">
        <v>45879</v>
      </c>
      <c r="C634" t="s">
        <v>126</v>
      </c>
      <c r="D634" t="s">
        <v>88</v>
      </c>
      <c r="E634" t="s">
        <v>140</v>
      </c>
      <c r="F634" s="12" t="s">
        <v>29</v>
      </c>
      <c r="G634" t="s">
        <v>30</v>
      </c>
      <c r="H634" t="s">
        <v>1749</v>
      </c>
      <c r="I634" t="s">
        <v>71</v>
      </c>
      <c r="J634" s="6">
        <v>47800</v>
      </c>
      <c r="K634" t="s">
        <v>3</v>
      </c>
      <c r="L634" t="s">
        <v>1750</v>
      </c>
      <c r="M634" t="s">
        <v>3</v>
      </c>
      <c r="N634" s="25" t="str">
        <f>TEXT(tbl_Ledger[[#This Row],[Date]],"yyyy-mm")</f>
        <v>2025-08</v>
      </c>
      <c r="O634" s="25" t="str">
        <f>TEXT(tbl_Ledger[[#This Row],[Date]],"yyyy-mm") &amp; TRIM(tbl_Ledger[[#This Row],[Currency]])</f>
        <v>2025-08NGN</v>
      </c>
      <c r="P634" s="25">
        <f>_xlfn.XLOOKUP(tbl_Ledger[[#This Row],[Key]], tbl_FX[Key], tbl_FX[Rate_to_NGN])</f>
        <v>1</v>
      </c>
      <c r="Q634" s="37">
        <f>IF(tbl_Ledger[[#This Row],[Account_Type]]="Expense",-ABS(tbl_Ledger[[#This Row],[Amount]]*tbl_Ledger[[#This Row],[Rate_to_NGN]]),tbl_Ledger[[#This Row],[Amount]]*tbl_Ledger[[#This Row],[Rate_to_NGN]])</f>
        <v>47800</v>
      </c>
      <c r="R634" s="25" t="str">
        <f>_xlfn.XLOOKUP(tbl_Ledger[[#This Row],[Account_Code]], tbl_Accounts[Account_Code], tbl_Accounts[Type])</f>
        <v>Revenue</v>
      </c>
      <c r="S634" s="25" t="str">
        <f>_xlfn.XLOOKUP(tbl_Ledger[[#This Row],[Account_Code]], tbl_Accounts[Account_Code], tbl_Accounts[PL_Bucket])</f>
        <v>Revenue</v>
      </c>
      <c r="T634" s="25">
        <f t="shared" si="9"/>
        <v>47800</v>
      </c>
    </row>
    <row r="635" spans="1:20">
      <c r="A635" t="s">
        <v>1751</v>
      </c>
      <c r="B635" s="7">
        <v>45879</v>
      </c>
      <c r="C635" t="s">
        <v>87</v>
      </c>
      <c r="D635" t="s">
        <v>94</v>
      </c>
      <c r="E635" t="s">
        <v>3</v>
      </c>
      <c r="F635" s="12" t="s">
        <v>51</v>
      </c>
      <c r="G635" t="s">
        <v>52</v>
      </c>
      <c r="H635" t="s">
        <v>1752</v>
      </c>
      <c r="I635" t="s">
        <v>71</v>
      </c>
      <c r="J635" s="6">
        <v>-194087</v>
      </c>
      <c r="K635" t="s">
        <v>514</v>
      </c>
      <c r="L635" t="s">
        <v>1753</v>
      </c>
      <c r="M635" t="s">
        <v>3</v>
      </c>
      <c r="N635" s="25" t="str">
        <f>TEXT(tbl_Ledger[[#This Row],[Date]],"yyyy-mm")</f>
        <v>2025-08</v>
      </c>
      <c r="O635" s="25" t="str">
        <f>TEXT(tbl_Ledger[[#This Row],[Date]],"yyyy-mm") &amp; TRIM(tbl_Ledger[[#This Row],[Currency]])</f>
        <v>2025-08NGN</v>
      </c>
      <c r="P635" s="25">
        <f>_xlfn.XLOOKUP(tbl_Ledger[[#This Row],[Key]], tbl_FX[Key], tbl_FX[Rate_to_NGN])</f>
        <v>1</v>
      </c>
      <c r="Q635" s="37">
        <f>IF(tbl_Ledger[[#This Row],[Account_Type]]="Expense",-ABS(tbl_Ledger[[#This Row],[Amount]]*tbl_Ledger[[#This Row],[Rate_to_NGN]]),tbl_Ledger[[#This Row],[Amount]]*tbl_Ledger[[#This Row],[Rate_to_NGN]])</f>
        <v>-194087</v>
      </c>
      <c r="R635" s="25" t="str">
        <f>_xlfn.XLOOKUP(tbl_Ledger[[#This Row],[Account_Code]], tbl_Accounts[Account_Code], tbl_Accounts[Type])</f>
        <v>Opex</v>
      </c>
      <c r="S635" s="25" t="str">
        <f>_xlfn.XLOOKUP(tbl_Ledger[[#This Row],[Account_Code]], tbl_Accounts[Account_Code], tbl_Accounts[PL_Bucket])</f>
        <v>Opex</v>
      </c>
      <c r="T635" s="25">
        <f t="shared" si="9"/>
        <v>-194087</v>
      </c>
    </row>
    <row r="636" spans="1:20">
      <c r="A636" t="s">
        <v>1754</v>
      </c>
      <c r="B636" s="7">
        <v>45879</v>
      </c>
      <c r="C636" t="s">
        <v>87</v>
      </c>
      <c r="D636" t="s">
        <v>111</v>
      </c>
      <c r="E636" t="s">
        <v>3</v>
      </c>
      <c r="F636" s="12" t="s">
        <v>51</v>
      </c>
      <c r="G636" t="s">
        <v>52</v>
      </c>
      <c r="H636" t="s">
        <v>1752</v>
      </c>
      <c r="I636" t="s">
        <v>71</v>
      </c>
      <c r="J636" s="6">
        <v>-412462</v>
      </c>
      <c r="K636" t="s">
        <v>514</v>
      </c>
      <c r="L636" t="s">
        <v>1755</v>
      </c>
      <c r="M636" t="s">
        <v>3</v>
      </c>
      <c r="N636" s="25" t="str">
        <f>TEXT(tbl_Ledger[[#This Row],[Date]],"yyyy-mm")</f>
        <v>2025-08</v>
      </c>
      <c r="O636" s="25" t="str">
        <f>TEXT(tbl_Ledger[[#This Row],[Date]],"yyyy-mm") &amp; TRIM(tbl_Ledger[[#This Row],[Currency]])</f>
        <v>2025-08NGN</v>
      </c>
      <c r="P636" s="25">
        <f>_xlfn.XLOOKUP(tbl_Ledger[[#This Row],[Key]], tbl_FX[Key], tbl_FX[Rate_to_NGN])</f>
        <v>1</v>
      </c>
      <c r="Q636" s="37">
        <f>IF(tbl_Ledger[[#This Row],[Account_Type]]="Expense",-ABS(tbl_Ledger[[#This Row],[Amount]]*tbl_Ledger[[#This Row],[Rate_to_NGN]]),tbl_Ledger[[#This Row],[Amount]]*tbl_Ledger[[#This Row],[Rate_to_NGN]])</f>
        <v>-412462</v>
      </c>
      <c r="R636" s="25" t="str">
        <f>_xlfn.XLOOKUP(tbl_Ledger[[#This Row],[Account_Code]], tbl_Accounts[Account_Code], tbl_Accounts[Type])</f>
        <v>Opex</v>
      </c>
      <c r="S636" s="25" t="str">
        <f>_xlfn.XLOOKUP(tbl_Ledger[[#This Row],[Account_Code]], tbl_Accounts[Account_Code], tbl_Accounts[PL_Bucket])</f>
        <v>Opex</v>
      </c>
      <c r="T636" s="25">
        <f t="shared" si="9"/>
        <v>-412462</v>
      </c>
    </row>
    <row r="637" spans="1:20">
      <c r="A637" t="s">
        <v>1756</v>
      </c>
      <c r="B637" s="7">
        <v>45879</v>
      </c>
      <c r="C637" t="s">
        <v>87</v>
      </c>
      <c r="D637" t="s">
        <v>88</v>
      </c>
      <c r="E637" t="s">
        <v>3</v>
      </c>
      <c r="F637" s="12" t="s">
        <v>51</v>
      </c>
      <c r="G637" t="s">
        <v>52</v>
      </c>
      <c r="H637" t="s">
        <v>1752</v>
      </c>
      <c r="I637" t="s">
        <v>71</v>
      </c>
      <c r="J637" s="6">
        <v>-175075</v>
      </c>
      <c r="K637" t="s">
        <v>514</v>
      </c>
      <c r="L637" t="s">
        <v>1757</v>
      </c>
      <c r="M637" t="s">
        <v>3</v>
      </c>
      <c r="N637" s="25" t="str">
        <f>TEXT(tbl_Ledger[[#This Row],[Date]],"yyyy-mm")</f>
        <v>2025-08</v>
      </c>
      <c r="O637" s="25" t="str">
        <f>TEXT(tbl_Ledger[[#This Row],[Date]],"yyyy-mm") &amp; TRIM(tbl_Ledger[[#This Row],[Currency]])</f>
        <v>2025-08NGN</v>
      </c>
      <c r="P637" s="25">
        <f>_xlfn.XLOOKUP(tbl_Ledger[[#This Row],[Key]], tbl_FX[Key], tbl_FX[Rate_to_NGN])</f>
        <v>1</v>
      </c>
      <c r="Q637" s="37">
        <f>IF(tbl_Ledger[[#This Row],[Account_Type]]="Expense",-ABS(tbl_Ledger[[#This Row],[Amount]]*tbl_Ledger[[#This Row],[Rate_to_NGN]]),tbl_Ledger[[#This Row],[Amount]]*tbl_Ledger[[#This Row],[Rate_to_NGN]])</f>
        <v>-175075</v>
      </c>
      <c r="R637" s="25" t="str">
        <f>_xlfn.XLOOKUP(tbl_Ledger[[#This Row],[Account_Code]], tbl_Accounts[Account_Code], tbl_Accounts[Type])</f>
        <v>Opex</v>
      </c>
      <c r="S637" s="25" t="str">
        <f>_xlfn.XLOOKUP(tbl_Ledger[[#This Row],[Account_Code]], tbl_Accounts[Account_Code], tbl_Accounts[PL_Bucket])</f>
        <v>Opex</v>
      </c>
      <c r="T637" s="25">
        <f t="shared" si="9"/>
        <v>-175075</v>
      </c>
    </row>
    <row r="638" spans="1:20">
      <c r="A638" t="s">
        <v>1758</v>
      </c>
      <c r="B638" s="7">
        <v>45880</v>
      </c>
      <c r="C638" t="s">
        <v>93</v>
      </c>
      <c r="D638" t="s">
        <v>94</v>
      </c>
      <c r="E638" t="s">
        <v>99</v>
      </c>
      <c r="F638" s="12" t="s">
        <v>24</v>
      </c>
      <c r="G638" t="s">
        <v>25</v>
      </c>
      <c r="H638" t="s">
        <v>1759</v>
      </c>
      <c r="I638" t="s">
        <v>71</v>
      </c>
      <c r="J638" s="6">
        <v>28300</v>
      </c>
      <c r="K638" t="s">
        <v>3</v>
      </c>
      <c r="L638" t="s">
        <v>1760</v>
      </c>
      <c r="M638" t="s">
        <v>3</v>
      </c>
      <c r="N638" s="25" t="str">
        <f>TEXT(tbl_Ledger[[#This Row],[Date]],"yyyy-mm")</f>
        <v>2025-08</v>
      </c>
      <c r="O638" s="25" t="str">
        <f>TEXT(tbl_Ledger[[#This Row],[Date]],"yyyy-mm") &amp; TRIM(tbl_Ledger[[#This Row],[Currency]])</f>
        <v>2025-08NGN</v>
      </c>
      <c r="P638" s="25">
        <f>_xlfn.XLOOKUP(tbl_Ledger[[#This Row],[Key]], tbl_FX[Key], tbl_FX[Rate_to_NGN])</f>
        <v>1</v>
      </c>
      <c r="Q638" s="37">
        <f>IF(tbl_Ledger[[#This Row],[Account_Type]]="Expense",-ABS(tbl_Ledger[[#This Row],[Amount]]*tbl_Ledger[[#This Row],[Rate_to_NGN]]),tbl_Ledger[[#This Row],[Amount]]*tbl_Ledger[[#This Row],[Rate_to_NGN]])</f>
        <v>28300</v>
      </c>
      <c r="R638" s="25" t="str">
        <f>_xlfn.XLOOKUP(tbl_Ledger[[#This Row],[Account_Code]], tbl_Accounts[Account_Code], tbl_Accounts[Type])</f>
        <v>Revenue</v>
      </c>
      <c r="S638" s="25" t="str">
        <f>_xlfn.XLOOKUP(tbl_Ledger[[#This Row],[Account_Code]], tbl_Accounts[Account_Code], tbl_Accounts[PL_Bucket])</f>
        <v>Revenue</v>
      </c>
      <c r="T638" s="25">
        <f t="shared" si="9"/>
        <v>28300</v>
      </c>
    </row>
    <row r="639" spans="1:20">
      <c r="A639" t="s">
        <v>1761</v>
      </c>
      <c r="B639" s="7">
        <v>45880</v>
      </c>
      <c r="C639" t="s">
        <v>93</v>
      </c>
      <c r="D639" t="s">
        <v>94</v>
      </c>
      <c r="E639" t="s">
        <v>160</v>
      </c>
      <c r="F639" s="12" t="s">
        <v>24</v>
      </c>
      <c r="G639" t="s">
        <v>25</v>
      </c>
      <c r="H639" t="s">
        <v>1762</v>
      </c>
      <c r="I639" t="s">
        <v>71</v>
      </c>
      <c r="J639" s="6">
        <v>28800</v>
      </c>
      <c r="K639" t="s">
        <v>3</v>
      </c>
      <c r="L639" t="s">
        <v>1763</v>
      </c>
      <c r="M639" t="s">
        <v>3</v>
      </c>
      <c r="N639" s="25" t="str">
        <f>TEXT(tbl_Ledger[[#This Row],[Date]],"yyyy-mm")</f>
        <v>2025-08</v>
      </c>
      <c r="O639" s="25" t="str">
        <f>TEXT(tbl_Ledger[[#This Row],[Date]],"yyyy-mm") &amp; TRIM(tbl_Ledger[[#This Row],[Currency]])</f>
        <v>2025-08NGN</v>
      </c>
      <c r="P639" s="25">
        <f>_xlfn.XLOOKUP(tbl_Ledger[[#This Row],[Key]], tbl_FX[Key], tbl_FX[Rate_to_NGN])</f>
        <v>1</v>
      </c>
      <c r="Q639" s="37">
        <f>IF(tbl_Ledger[[#This Row],[Account_Type]]="Expense",-ABS(tbl_Ledger[[#This Row],[Amount]]*tbl_Ledger[[#This Row],[Rate_to_NGN]]),tbl_Ledger[[#This Row],[Amount]]*tbl_Ledger[[#This Row],[Rate_to_NGN]])</f>
        <v>28800</v>
      </c>
      <c r="R639" s="25" t="str">
        <f>_xlfn.XLOOKUP(tbl_Ledger[[#This Row],[Account_Code]], tbl_Accounts[Account_Code], tbl_Accounts[Type])</f>
        <v>Revenue</v>
      </c>
      <c r="S639" s="25" t="str">
        <f>_xlfn.XLOOKUP(tbl_Ledger[[#This Row],[Account_Code]], tbl_Accounts[Account_Code], tbl_Accounts[PL_Bucket])</f>
        <v>Revenue</v>
      </c>
      <c r="T639" s="25">
        <f t="shared" si="9"/>
        <v>28800</v>
      </c>
    </row>
    <row r="640" spans="1:20">
      <c r="A640" t="s">
        <v>1764</v>
      </c>
      <c r="B640" s="7">
        <v>45880</v>
      </c>
      <c r="C640" t="s">
        <v>93</v>
      </c>
      <c r="D640" t="s">
        <v>94</v>
      </c>
      <c r="E640" t="s">
        <v>107</v>
      </c>
      <c r="F640" s="12" t="s">
        <v>24</v>
      </c>
      <c r="G640" t="s">
        <v>25</v>
      </c>
      <c r="H640" t="s">
        <v>1765</v>
      </c>
      <c r="I640" t="s">
        <v>71</v>
      </c>
      <c r="J640" s="6">
        <v>32300</v>
      </c>
      <c r="K640" t="s">
        <v>3</v>
      </c>
      <c r="L640" t="s">
        <v>1766</v>
      </c>
      <c r="M640" t="s">
        <v>3</v>
      </c>
      <c r="N640" s="25" t="str">
        <f>TEXT(tbl_Ledger[[#This Row],[Date]],"yyyy-mm")</f>
        <v>2025-08</v>
      </c>
      <c r="O640" s="25" t="str">
        <f>TEXT(tbl_Ledger[[#This Row],[Date]],"yyyy-mm") &amp; TRIM(tbl_Ledger[[#This Row],[Currency]])</f>
        <v>2025-08NGN</v>
      </c>
      <c r="P640" s="25">
        <f>_xlfn.XLOOKUP(tbl_Ledger[[#This Row],[Key]], tbl_FX[Key], tbl_FX[Rate_to_NGN])</f>
        <v>1</v>
      </c>
      <c r="Q640" s="37">
        <f>IF(tbl_Ledger[[#This Row],[Account_Type]]="Expense",-ABS(tbl_Ledger[[#This Row],[Amount]]*tbl_Ledger[[#This Row],[Rate_to_NGN]]),tbl_Ledger[[#This Row],[Amount]]*tbl_Ledger[[#This Row],[Rate_to_NGN]])</f>
        <v>32300</v>
      </c>
      <c r="R640" s="25" t="str">
        <f>_xlfn.XLOOKUP(tbl_Ledger[[#This Row],[Account_Code]], tbl_Accounts[Account_Code], tbl_Accounts[Type])</f>
        <v>Revenue</v>
      </c>
      <c r="S640" s="25" t="str">
        <f>_xlfn.XLOOKUP(tbl_Ledger[[#This Row],[Account_Code]], tbl_Accounts[Account_Code], tbl_Accounts[PL_Bucket])</f>
        <v>Revenue</v>
      </c>
      <c r="T640" s="25">
        <f t="shared" si="9"/>
        <v>32300</v>
      </c>
    </row>
    <row r="641" spans="1:20">
      <c r="A641" t="s">
        <v>1767</v>
      </c>
      <c r="B641" s="7">
        <v>45880</v>
      </c>
      <c r="C641" t="s">
        <v>93</v>
      </c>
      <c r="D641" t="s">
        <v>111</v>
      </c>
      <c r="E641" t="s">
        <v>112</v>
      </c>
      <c r="F641" s="12" t="s">
        <v>24</v>
      </c>
      <c r="G641" t="s">
        <v>25</v>
      </c>
      <c r="H641" t="s">
        <v>1768</v>
      </c>
      <c r="I641" t="s">
        <v>71</v>
      </c>
      <c r="J641" s="6">
        <v>51100</v>
      </c>
      <c r="K641" t="s">
        <v>3</v>
      </c>
      <c r="L641" t="s">
        <v>1769</v>
      </c>
      <c r="M641" t="s">
        <v>3</v>
      </c>
      <c r="N641" s="25" t="str">
        <f>TEXT(tbl_Ledger[[#This Row],[Date]],"yyyy-mm")</f>
        <v>2025-08</v>
      </c>
      <c r="O641" s="25" t="str">
        <f>TEXT(tbl_Ledger[[#This Row],[Date]],"yyyy-mm") &amp; TRIM(tbl_Ledger[[#This Row],[Currency]])</f>
        <v>2025-08NGN</v>
      </c>
      <c r="P641" s="25">
        <f>_xlfn.XLOOKUP(tbl_Ledger[[#This Row],[Key]], tbl_FX[Key], tbl_FX[Rate_to_NGN])</f>
        <v>1</v>
      </c>
      <c r="Q641" s="37">
        <f>IF(tbl_Ledger[[#This Row],[Account_Type]]="Expense",-ABS(tbl_Ledger[[#This Row],[Amount]]*tbl_Ledger[[#This Row],[Rate_to_NGN]]),tbl_Ledger[[#This Row],[Amount]]*tbl_Ledger[[#This Row],[Rate_to_NGN]])</f>
        <v>51100</v>
      </c>
      <c r="R641" s="25" t="str">
        <f>_xlfn.XLOOKUP(tbl_Ledger[[#This Row],[Account_Code]], tbl_Accounts[Account_Code], tbl_Accounts[Type])</f>
        <v>Revenue</v>
      </c>
      <c r="S641" s="25" t="str">
        <f>_xlfn.XLOOKUP(tbl_Ledger[[#This Row],[Account_Code]], tbl_Accounts[Account_Code], tbl_Accounts[PL_Bucket])</f>
        <v>Revenue</v>
      </c>
      <c r="T641" s="25">
        <f t="shared" si="9"/>
        <v>51100</v>
      </c>
    </row>
    <row r="642" spans="1:20">
      <c r="A642" t="s">
        <v>1770</v>
      </c>
      <c r="B642" s="7">
        <v>45880</v>
      </c>
      <c r="C642" t="s">
        <v>93</v>
      </c>
      <c r="D642" t="s">
        <v>111</v>
      </c>
      <c r="E642" t="s">
        <v>116</v>
      </c>
      <c r="F642" s="12" t="s">
        <v>24</v>
      </c>
      <c r="G642" t="s">
        <v>25</v>
      </c>
      <c r="H642" t="s">
        <v>1771</v>
      </c>
      <c r="I642" t="s">
        <v>71</v>
      </c>
      <c r="J642" s="6">
        <v>52700</v>
      </c>
      <c r="K642" t="s">
        <v>3</v>
      </c>
      <c r="L642" t="s">
        <v>1769</v>
      </c>
      <c r="M642" t="s">
        <v>3</v>
      </c>
      <c r="N642" s="25" t="str">
        <f>TEXT(tbl_Ledger[[#This Row],[Date]],"yyyy-mm")</f>
        <v>2025-08</v>
      </c>
      <c r="O642" s="25" t="str">
        <f>TEXT(tbl_Ledger[[#This Row],[Date]],"yyyy-mm") &amp; TRIM(tbl_Ledger[[#This Row],[Currency]])</f>
        <v>2025-08NGN</v>
      </c>
      <c r="P642" s="25">
        <f>_xlfn.XLOOKUP(tbl_Ledger[[#This Row],[Key]], tbl_FX[Key], tbl_FX[Rate_to_NGN])</f>
        <v>1</v>
      </c>
      <c r="Q642" s="37">
        <f>IF(tbl_Ledger[[#This Row],[Account_Type]]="Expense",-ABS(tbl_Ledger[[#This Row],[Amount]]*tbl_Ledger[[#This Row],[Rate_to_NGN]]),tbl_Ledger[[#This Row],[Amount]]*tbl_Ledger[[#This Row],[Rate_to_NGN]])</f>
        <v>52700</v>
      </c>
      <c r="R642" s="25" t="str">
        <f>_xlfn.XLOOKUP(tbl_Ledger[[#This Row],[Account_Code]], tbl_Accounts[Account_Code], tbl_Accounts[Type])</f>
        <v>Revenue</v>
      </c>
      <c r="S642" s="25" t="str">
        <f>_xlfn.XLOOKUP(tbl_Ledger[[#This Row],[Account_Code]], tbl_Accounts[Account_Code], tbl_Accounts[PL_Bucket])</f>
        <v>Revenue</v>
      </c>
      <c r="T642" s="25">
        <f t="shared" ref="T642:T705" si="10">IF(AND(S642="Revenue",F642&lt;&gt;4900),ABS(Q642),-ABS(Q642))</f>
        <v>52700</v>
      </c>
    </row>
    <row r="643" spans="1:20">
      <c r="A643" t="s">
        <v>1772</v>
      </c>
      <c r="B643" s="7">
        <v>45880</v>
      </c>
      <c r="C643" t="s">
        <v>93</v>
      </c>
      <c r="D643" t="s">
        <v>111</v>
      </c>
      <c r="E643" t="s">
        <v>119</v>
      </c>
      <c r="F643" s="12" t="s">
        <v>24</v>
      </c>
      <c r="G643" t="s">
        <v>25</v>
      </c>
      <c r="H643" t="s">
        <v>1773</v>
      </c>
      <c r="I643" t="s">
        <v>71</v>
      </c>
      <c r="J643" s="6">
        <v>53000</v>
      </c>
      <c r="K643" t="s">
        <v>3</v>
      </c>
      <c r="L643" t="s">
        <v>1769</v>
      </c>
      <c r="M643" t="s">
        <v>3</v>
      </c>
      <c r="N643" s="25" t="str">
        <f>TEXT(tbl_Ledger[[#This Row],[Date]],"yyyy-mm")</f>
        <v>2025-08</v>
      </c>
      <c r="O643" s="25" t="str">
        <f>TEXT(tbl_Ledger[[#This Row],[Date]],"yyyy-mm") &amp; TRIM(tbl_Ledger[[#This Row],[Currency]])</f>
        <v>2025-08NGN</v>
      </c>
      <c r="P643" s="25">
        <f>_xlfn.XLOOKUP(tbl_Ledger[[#This Row],[Key]], tbl_FX[Key], tbl_FX[Rate_to_NGN])</f>
        <v>1</v>
      </c>
      <c r="Q643" s="37">
        <f>IF(tbl_Ledger[[#This Row],[Account_Type]]="Expense",-ABS(tbl_Ledger[[#This Row],[Amount]]*tbl_Ledger[[#This Row],[Rate_to_NGN]]),tbl_Ledger[[#This Row],[Amount]]*tbl_Ledger[[#This Row],[Rate_to_NGN]])</f>
        <v>53000</v>
      </c>
      <c r="R643" s="25" t="str">
        <f>_xlfn.XLOOKUP(tbl_Ledger[[#This Row],[Account_Code]], tbl_Accounts[Account_Code], tbl_Accounts[Type])</f>
        <v>Revenue</v>
      </c>
      <c r="S643" s="25" t="str">
        <f>_xlfn.XLOOKUP(tbl_Ledger[[#This Row],[Account_Code]], tbl_Accounts[Account_Code], tbl_Accounts[PL_Bucket])</f>
        <v>Revenue</v>
      </c>
      <c r="T643" s="25">
        <f t="shared" si="10"/>
        <v>53000</v>
      </c>
    </row>
    <row r="644" spans="1:20">
      <c r="A644" t="s">
        <v>1774</v>
      </c>
      <c r="B644" s="7">
        <v>45880</v>
      </c>
      <c r="C644" t="s">
        <v>93</v>
      </c>
      <c r="D644" t="s">
        <v>111</v>
      </c>
      <c r="E644" t="s">
        <v>170</v>
      </c>
      <c r="F644" s="12" t="s">
        <v>24</v>
      </c>
      <c r="G644" t="s">
        <v>25</v>
      </c>
      <c r="H644" t="s">
        <v>1775</v>
      </c>
      <c r="I644" t="s">
        <v>71</v>
      </c>
      <c r="J644" s="6">
        <v>52000</v>
      </c>
      <c r="K644" t="s">
        <v>3</v>
      </c>
      <c r="L644" t="s">
        <v>1769</v>
      </c>
      <c r="M644" t="s">
        <v>3</v>
      </c>
      <c r="N644" s="25" t="str">
        <f>TEXT(tbl_Ledger[[#This Row],[Date]],"yyyy-mm")</f>
        <v>2025-08</v>
      </c>
      <c r="O644" s="25" t="str">
        <f>TEXT(tbl_Ledger[[#This Row],[Date]],"yyyy-mm") &amp; TRIM(tbl_Ledger[[#This Row],[Currency]])</f>
        <v>2025-08NGN</v>
      </c>
      <c r="P644" s="25">
        <f>_xlfn.XLOOKUP(tbl_Ledger[[#This Row],[Key]], tbl_FX[Key], tbl_FX[Rate_to_NGN])</f>
        <v>1</v>
      </c>
      <c r="Q644" s="37">
        <f>IF(tbl_Ledger[[#This Row],[Account_Type]]="Expense",-ABS(tbl_Ledger[[#This Row],[Amount]]*tbl_Ledger[[#This Row],[Rate_to_NGN]]),tbl_Ledger[[#This Row],[Amount]]*tbl_Ledger[[#This Row],[Rate_to_NGN]])</f>
        <v>52000</v>
      </c>
      <c r="R644" s="25" t="str">
        <f>_xlfn.XLOOKUP(tbl_Ledger[[#This Row],[Account_Code]], tbl_Accounts[Account_Code], tbl_Accounts[Type])</f>
        <v>Revenue</v>
      </c>
      <c r="S644" s="25" t="str">
        <f>_xlfn.XLOOKUP(tbl_Ledger[[#This Row],[Account_Code]], tbl_Accounts[Account_Code], tbl_Accounts[PL_Bucket])</f>
        <v>Revenue</v>
      </c>
      <c r="T644" s="25">
        <f t="shared" si="10"/>
        <v>52000</v>
      </c>
    </row>
    <row r="645" spans="1:20">
      <c r="A645" t="s">
        <v>1776</v>
      </c>
      <c r="B645" s="7">
        <v>45880</v>
      </c>
      <c r="C645" t="s">
        <v>93</v>
      </c>
      <c r="D645" t="s">
        <v>111</v>
      </c>
      <c r="E645" t="s">
        <v>122</v>
      </c>
      <c r="F645" s="12" t="s">
        <v>24</v>
      </c>
      <c r="G645" t="s">
        <v>25</v>
      </c>
      <c r="H645" t="s">
        <v>1777</v>
      </c>
      <c r="I645" t="s">
        <v>71</v>
      </c>
      <c r="J645" s="6">
        <v>49900</v>
      </c>
      <c r="K645" t="s">
        <v>3</v>
      </c>
      <c r="L645" t="s">
        <v>1778</v>
      </c>
      <c r="M645" t="s">
        <v>3</v>
      </c>
      <c r="N645" s="25" t="str">
        <f>TEXT(tbl_Ledger[[#This Row],[Date]],"yyyy-mm")</f>
        <v>2025-08</v>
      </c>
      <c r="O645" s="25" t="str">
        <f>TEXT(tbl_Ledger[[#This Row],[Date]],"yyyy-mm") &amp; TRIM(tbl_Ledger[[#This Row],[Currency]])</f>
        <v>2025-08NGN</v>
      </c>
      <c r="P645" s="25">
        <f>_xlfn.XLOOKUP(tbl_Ledger[[#This Row],[Key]], tbl_FX[Key], tbl_FX[Rate_to_NGN])</f>
        <v>1</v>
      </c>
      <c r="Q645" s="37">
        <f>IF(tbl_Ledger[[#This Row],[Account_Type]]="Expense",-ABS(tbl_Ledger[[#This Row],[Amount]]*tbl_Ledger[[#This Row],[Rate_to_NGN]]),tbl_Ledger[[#This Row],[Amount]]*tbl_Ledger[[#This Row],[Rate_to_NGN]])</f>
        <v>49900</v>
      </c>
      <c r="R645" s="25" t="str">
        <f>_xlfn.XLOOKUP(tbl_Ledger[[#This Row],[Account_Code]], tbl_Accounts[Account_Code], tbl_Accounts[Type])</f>
        <v>Revenue</v>
      </c>
      <c r="S645" s="25" t="str">
        <f>_xlfn.XLOOKUP(tbl_Ledger[[#This Row],[Account_Code]], tbl_Accounts[Account_Code], tbl_Accounts[PL_Bucket])</f>
        <v>Revenue</v>
      </c>
      <c r="T645" s="25">
        <f t="shared" si="10"/>
        <v>49900</v>
      </c>
    </row>
    <row r="646" spans="1:20">
      <c r="A646" t="s">
        <v>1779</v>
      </c>
      <c r="B646" s="7">
        <v>45880</v>
      </c>
      <c r="C646" t="s">
        <v>126</v>
      </c>
      <c r="D646" t="s">
        <v>88</v>
      </c>
      <c r="E646" t="s">
        <v>132</v>
      </c>
      <c r="F646" s="12" t="s">
        <v>29</v>
      </c>
      <c r="G646" t="s">
        <v>30</v>
      </c>
      <c r="H646" t="s">
        <v>1780</v>
      </c>
      <c r="I646" t="s">
        <v>71</v>
      </c>
      <c r="J646" s="6">
        <v>51100</v>
      </c>
      <c r="K646" t="s">
        <v>134</v>
      </c>
      <c r="L646" t="s">
        <v>1781</v>
      </c>
      <c r="M646" t="s">
        <v>3</v>
      </c>
      <c r="N646" s="25" t="str">
        <f>TEXT(tbl_Ledger[[#This Row],[Date]],"yyyy-mm")</f>
        <v>2025-08</v>
      </c>
      <c r="O646" s="25" t="str">
        <f>TEXT(tbl_Ledger[[#This Row],[Date]],"yyyy-mm") &amp; TRIM(tbl_Ledger[[#This Row],[Currency]])</f>
        <v>2025-08NGN</v>
      </c>
      <c r="P646" s="25">
        <f>_xlfn.XLOOKUP(tbl_Ledger[[#This Row],[Key]], tbl_FX[Key], tbl_FX[Rate_to_NGN])</f>
        <v>1</v>
      </c>
      <c r="Q646" s="37">
        <f>IF(tbl_Ledger[[#This Row],[Account_Type]]="Expense",-ABS(tbl_Ledger[[#This Row],[Amount]]*tbl_Ledger[[#This Row],[Rate_to_NGN]]),tbl_Ledger[[#This Row],[Amount]]*tbl_Ledger[[#This Row],[Rate_to_NGN]])</f>
        <v>51100</v>
      </c>
      <c r="R646" s="25" t="str">
        <f>_xlfn.XLOOKUP(tbl_Ledger[[#This Row],[Account_Code]], tbl_Accounts[Account_Code], tbl_Accounts[Type])</f>
        <v>Revenue</v>
      </c>
      <c r="S646" s="25" t="str">
        <f>_xlfn.XLOOKUP(tbl_Ledger[[#This Row],[Account_Code]], tbl_Accounts[Account_Code], tbl_Accounts[PL_Bucket])</f>
        <v>Revenue</v>
      </c>
      <c r="T646" s="25">
        <f t="shared" si="10"/>
        <v>51100</v>
      </c>
    </row>
    <row r="647" spans="1:20">
      <c r="A647" t="s">
        <v>1782</v>
      </c>
      <c r="B647" s="7">
        <v>45880</v>
      </c>
      <c r="C647" t="s">
        <v>126</v>
      </c>
      <c r="D647" t="s">
        <v>88</v>
      </c>
      <c r="E647" t="s">
        <v>136</v>
      </c>
      <c r="F647" s="12" t="s">
        <v>29</v>
      </c>
      <c r="G647" t="s">
        <v>30</v>
      </c>
      <c r="H647" t="s">
        <v>1783</v>
      </c>
      <c r="I647" t="s">
        <v>72</v>
      </c>
      <c r="J647" s="6">
        <v>27.35</v>
      </c>
      <c r="K647" t="s">
        <v>138</v>
      </c>
      <c r="L647" t="s">
        <v>1781</v>
      </c>
      <c r="M647" t="s">
        <v>3</v>
      </c>
      <c r="N647" s="25" t="str">
        <f>TEXT(tbl_Ledger[[#This Row],[Date]],"yyyy-mm")</f>
        <v>2025-08</v>
      </c>
      <c r="O647" s="25" t="str">
        <f>TEXT(tbl_Ledger[[#This Row],[Date]],"yyyy-mm") &amp; TRIM(tbl_Ledger[[#This Row],[Currency]])</f>
        <v>2025-08USD</v>
      </c>
      <c r="P647" s="25">
        <f>_xlfn.XLOOKUP(tbl_Ledger[[#This Row],[Key]], tbl_FX[Key], tbl_FX[Rate_to_NGN])</f>
        <v>1572</v>
      </c>
      <c r="Q647" s="37">
        <f>IF(tbl_Ledger[[#This Row],[Account_Type]]="Expense",-ABS(tbl_Ledger[[#This Row],[Amount]]*tbl_Ledger[[#This Row],[Rate_to_NGN]]),tbl_Ledger[[#This Row],[Amount]]*tbl_Ledger[[#This Row],[Rate_to_NGN]])</f>
        <v>42994.200000000004</v>
      </c>
      <c r="R647" s="25" t="str">
        <f>_xlfn.XLOOKUP(tbl_Ledger[[#This Row],[Account_Code]], tbl_Accounts[Account_Code], tbl_Accounts[Type])</f>
        <v>Revenue</v>
      </c>
      <c r="S647" s="25" t="str">
        <f>_xlfn.XLOOKUP(tbl_Ledger[[#This Row],[Account_Code]], tbl_Accounts[Account_Code], tbl_Accounts[PL_Bucket])</f>
        <v>Revenue</v>
      </c>
      <c r="T647" s="25">
        <f t="shared" si="10"/>
        <v>42994.200000000004</v>
      </c>
    </row>
    <row r="648" spans="1:20">
      <c r="A648" t="s">
        <v>1784</v>
      </c>
      <c r="B648" s="7">
        <v>45880</v>
      </c>
      <c r="C648" t="s">
        <v>93</v>
      </c>
      <c r="D648" t="s">
        <v>111</v>
      </c>
      <c r="E648" t="s">
        <v>112</v>
      </c>
      <c r="F648" s="12" t="s">
        <v>31</v>
      </c>
      <c r="G648" t="s">
        <v>32</v>
      </c>
      <c r="H648" t="s">
        <v>1785</v>
      </c>
      <c r="I648" t="s">
        <v>71</v>
      </c>
      <c r="J648" s="6">
        <v>-86014</v>
      </c>
      <c r="K648" t="s">
        <v>3</v>
      </c>
      <c r="L648" t="s">
        <v>1786</v>
      </c>
      <c r="M648" t="s">
        <v>3</v>
      </c>
      <c r="N648" s="25" t="str">
        <f>TEXT(tbl_Ledger[[#This Row],[Date]],"yyyy-mm")</f>
        <v>2025-08</v>
      </c>
      <c r="O648" s="25" t="str">
        <f>TEXT(tbl_Ledger[[#This Row],[Date]],"yyyy-mm") &amp; TRIM(tbl_Ledger[[#This Row],[Currency]])</f>
        <v>2025-08NGN</v>
      </c>
      <c r="P648" s="25">
        <f>_xlfn.XLOOKUP(tbl_Ledger[[#This Row],[Key]], tbl_FX[Key], tbl_FX[Rate_to_NGN])</f>
        <v>1</v>
      </c>
      <c r="Q648" s="37">
        <f>IF(tbl_Ledger[[#This Row],[Account_Type]]="Expense",-ABS(tbl_Ledger[[#This Row],[Amount]]*tbl_Ledger[[#This Row],[Rate_to_NGN]]),tbl_Ledger[[#This Row],[Amount]]*tbl_Ledger[[#This Row],[Rate_to_NGN]])</f>
        <v>-86014</v>
      </c>
      <c r="R648" s="25" t="str">
        <f>_xlfn.XLOOKUP(tbl_Ledger[[#This Row],[Account_Code]], tbl_Accounts[Account_Code], tbl_Accounts[Type])</f>
        <v>Revenue</v>
      </c>
      <c r="S648" s="25" t="str">
        <f>_xlfn.XLOOKUP(tbl_Ledger[[#This Row],[Account_Code]], tbl_Accounts[Account_Code], tbl_Accounts[PL_Bucket])</f>
        <v>Revenue</v>
      </c>
      <c r="T648" s="25">
        <f t="shared" si="10"/>
        <v>86014</v>
      </c>
    </row>
    <row r="649" spans="1:20">
      <c r="A649" t="s">
        <v>1787</v>
      </c>
      <c r="B649" s="7">
        <v>45880</v>
      </c>
      <c r="C649" t="s">
        <v>87</v>
      </c>
      <c r="D649" t="s">
        <v>94</v>
      </c>
      <c r="E649" t="s">
        <v>3</v>
      </c>
      <c r="F649" s="12" t="s">
        <v>38</v>
      </c>
      <c r="G649" t="s">
        <v>39</v>
      </c>
      <c r="H649" t="s">
        <v>1423</v>
      </c>
      <c r="I649" t="s">
        <v>71</v>
      </c>
      <c r="J649" s="6">
        <v>-172000</v>
      </c>
      <c r="K649" t="s">
        <v>276</v>
      </c>
      <c r="L649" t="s">
        <v>1788</v>
      </c>
      <c r="M649" t="s">
        <v>3</v>
      </c>
      <c r="N649" s="25" t="str">
        <f>TEXT(tbl_Ledger[[#This Row],[Date]],"yyyy-mm")</f>
        <v>2025-08</v>
      </c>
      <c r="O649" s="25" t="str">
        <f>TEXT(tbl_Ledger[[#This Row],[Date]],"yyyy-mm") &amp; TRIM(tbl_Ledger[[#This Row],[Currency]])</f>
        <v>2025-08NGN</v>
      </c>
      <c r="P649" s="25">
        <f>_xlfn.XLOOKUP(tbl_Ledger[[#This Row],[Key]], tbl_FX[Key], tbl_FX[Rate_to_NGN])</f>
        <v>1</v>
      </c>
      <c r="Q649" s="37">
        <f>IF(tbl_Ledger[[#This Row],[Account_Type]]="Expense",-ABS(tbl_Ledger[[#This Row],[Amount]]*tbl_Ledger[[#This Row],[Rate_to_NGN]]),tbl_Ledger[[#This Row],[Amount]]*tbl_Ledger[[#This Row],[Rate_to_NGN]])</f>
        <v>-172000</v>
      </c>
      <c r="R649" s="25" t="str">
        <f>_xlfn.XLOOKUP(tbl_Ledger[[#This Row],[Account_Code]], tbl_Accounts[Account_Code], tbl_Accounts[Type])</f>
        <v>COGS</v>
      </c>
      <c r="S649" s="25" t="str">
        <f>_xlfn.XLOOKUP(tbl_Ledger[[#This Row],[Account_Code]], tbl_Accounts[Account_Code], tbl_Accounts[PL_Bucket])</f>
        <v>COGS</v>
      </c>
      <c r="T649" s="25">
        <f t="shared" si="10"/>
        <v>-172000</v>
      </c>
    </row>
    <row r="650" spans="1:20">
      <c r="A650" t="s">
        <v>1789</v>
      </c>
      <c r="B650" s="7">
        <v>45880</v>
      </c>
      <c r="C650" t="s">
        <v>87</v>
      </c>
      <c r="D650" t="s">
        <v>94</v>
      </c>
      <c r="E650" t="s">
        <v>3</v>
      </c>
      <c r="F650" s="12" t="s">
        <v>38</v>
      </c>
      <c r="G650" t="s">
        <v>39</v>
      </c>
      <c r="H650" t="s">
        <v>1423</v>
      </c>
      <c r="I650" t="s">
        <v>71</v>
      </c>
      <c r="J650" s="6">
        <v>-132000</v>
      </c>
      <c r="K650" t="s">
        <v>276</v>
      </c>
      <c r="L650" t="s">
        <v>1790</v>
      </c>
      <c r="M650" t="s">
        <v>3</v>
      </c>
      <c r="N650" s="25" t="str">
        <f>TEXT(tbl_Ledger[[#This Row],[Date]],"yyyy-mm")</f>
        <v>2025-08</v>
      </c>
      <c r="O650" s="25" t="str">
        <f>TEXT(tbl_Ledger[[#This Row],[Date]],"yyyy-mm") &amp; TRIM(tbl_Ledger[[#This Row],[Currency]])</f>
        <v>2025-08NGN</v>
      </c>
      <c r="P650" s="25">
        <f>_xlfn.XLOOKUP(tbl_Ledger[[#This Row],[Key]], tbl_FX[Key], tbl_FX[Rate_to_NGN])</f>
        <v>1</v>
      </c>
      <c r="Q650" s="37">
        <f>IF(tbl_Ledger[[#This Row],[Account_Type]]="Expense",-ABS(tbl_Ledger[[#This Row],[Amount]]*tbl_Ledger[[#This Row],[Rate_to_NGN]]),tbl_Ledger[[#This Row],[Amount]]*tbl_Ledger[[#This Row],[Rate_to_NGN]])</f>
        <v>-132000</v>
      </c>
      <c r="R650" s="25" t="str">
        <f>_xlfn.XLOOKUP(tbl_Ledger[[#This Row],[Account_Code]], tbl_Accounts[Account_Code], tbl_Accounts[Type])</f>
        <v>COGS</v>
      </c>
      <c r="S650" s="25" t="str">
        <f>_xlfn.XLOOKUP(tbl_Ledger[[#This Row],[Account_Code]], tbl_Accounts[Account_Code], tbl_Accounts[PL_Bucket])</f>
        <v>COGS</v>
      </c>
      <c r="T650" s="25">
        <f t="shared" si="10"/>
        <v>-132000</v>
      </c>
    </row>
    <row r="651" spans="1:20">
      <c r="A651" t="s">
        <v>1791</v>
      </c>
      <c r="B651" s="7">
        <v>45880</v>
      </c>
      <c r="C651" t="s">
        <v>87</v>
      </c>
      <c r="D651" t="s">
        <v>111</v>
      </c>
      <c r="E651" t="s">
        <v>3</v>
      </c>
      <c r="F651" s="12" t="s">
        <v>36</v>
      </c>
      <c r="G651" t="s">
        <v>37</v>
      </c>
      <c r="H651" t="s">
        <v>1792</v>
      </c>
      <c r="I651" t="s">
        <v>71</v>
      </c>
      <c r="J651" s="6">
        <v>-641000</v>
      </c>
      <c r="K651" t="s">
        <v>195</v>
      </c>
      <c r="L651" t="s">
        <v>1793</v>
      </c>
      <c r="M651" t="s">
        <v>3</v>
      </c>
      <c r="N651" s="25" t="str">
        <f>TEXT(tbl_Ledger[[#This Row],[Date]],"yyyy-mm")</f>
        <v>2025-08</v>
      </c>
      <c r="O651" s="25" t="str">
        <f>TEXT(tbl_Ledger[[#This Row],[Date]],"yyyy-mm") &amp; TRIM(tbl_Ledger[[#This Row],[Currency]])</f>
        <v>2025-08NGN</v>
      </c>
      <c r="P651" s="25">
        <f>_xlfn.XLOOKUP(tbl_Ledger[[#This Row],[Key]], tbl_FX[Key], tbl_FX[Rate_to_NGN])</f>
        <v>1</v>
      </c>
      <c r="Q651" s="37">
        <f>IF(tbl_Ledger[[#This Row],[Account_Type]]="Expense",-ABS(tbl_Ledger[[#This Row],[Amount]]*tbl_Ledger[[#This Row],[Rate_to_NGN]]),tbl_Ledger[[#This Row],[Amount]]*tbl_Ledger[[#This Row],[Rate_to_NGN]])</f>
        <v>-641000</v>
      </c>
      <c r="R651" s="25" t="str">
        <f>_xlfn.XLOOKUP(tbl_Ledger[[#This Row],[Account_Code]], tbl_Accounts[Account_Code], tbl_Accounts[Type])</f>
        <v>COGS</v>
      </c>
      <c r="S651" s="25" t="str">
        <f>_xlfn.XLOOKUP(tbl_Ledger[[#This Row],[Account_Code]], tbl_Accounts[Account_Code], tbl_Accounts[PL_Bucket])</f>
        <v>COGS</v>
      </c>
      <c r="T651" s="25">
        <f t="shared" si="10"/>
        <v>-641000</v>
      </c>
    </row>
    <row r="652" spans="1:20">
      <c r="A652" t="s">
        <v>1794</v>
      </c>
      <c r="B652" s="7">
        <v>45881</v>
      </c>
      <c r="C652" t="s">
        <v>93</v>
      </c>
      <c r="D652" t="s">
        <v>94</v>
      </c>
      <c r="E652" t="s">
        <v>95</v>
      </c>
      <c r="F652" s="12" t="s">
        <v>24</v>
      </c>
      <c r="G652" t="s">
        <v>25</v>
      </c>
      <c r="H652" t="s">
        <v>1795</v>
      </c>
      <c r="I652" t="s">
        <v>71</v>
      </c>
      <c r="J652" s="6">
        <v>30900</v>
      </c>
      <c r="K652" t="s">
        <v>3</v>
      </c>
      <c r="L652" t="s">
        <v>1796</v>
      </c>
      <c r="M652" t="s">
        <v>3</v>
      </c>
      <c r="N652" s="25" t="str">
        <f>TEXT(tbl_Ledger[[#This Row],[Date]],"yyyy-mm")</f>
        <v>2025-08</v>
      </c>
      <c r="O652" s="25" t="str">
        <f>TEXT(tbl_Ledger[[#This Row],[Date]],"yyyy-mm") &amp; TRIM(tbl_Ledger[[#This Row],[Currency]])</f>
        <v>2025-08NGN</v>
      </c>
      <c r="P652" s="25">
        <f>_xlfn.XLOOKUP(tbl_Ledger[[#This Row],[Key]], tbl_FX[Key], tbl_FX[Rate_to_NGN])</f>
        <v>1</v>
      </c>
      <c r="Q652" s="37">
        <f>IF(tbl_Ledger[[#This Row],[Account_Type]]="Expense",-ABS(tbl_Ledger[[#This Row],[Amount]]*tbl_Ledger[[#This Row],[Rate_to_NGN]]),tbl_Ledger[[#This Row],[Amount]]*tbl_Ledger[[#This Row],[Rate_to_NGN]])</f>
        <v>30900</v>
      </c>
      <c r="R652" s="25" t="str">
        <f>_xlfn.XLOOKUP(tbl_Ledger[[#This Row],[Account_Code]], tbl_Accounts[Account_Code], tbl_Accounts[Type])</f>
        <v>Revenue</v>
      </c>
      <c r="S652" s="25" t="str">
        <f>_xlfn.XLOOKUP(tbl_Ledger[[#This Row],[Account_Code]], tbl_Accounts[Account_Code], tbl_Accounts[PL_Bucket])</f>
        <v>Revenue</v>
      </c>
      <c r="T652" s="25">
        <f t="shared" si="10"/>
        <v>30900</v>
      </c>
    </row>
    <row r="653" spans="1:20">
      <c r="A653" t="s">
        <v>1797</v>
      </c>
      <c r="B653" s="7">
        <v>45881</v>
      </c>
      <c r="C653" t="s">
        <v>93</v>
      </c>
      <c r="D653" t="s">
        <v>94</v>
      </c>
      <c r="E653" t="s">
        <v>99</v>
      </c>
      <c r="F653" s="12" t="s">
        <v>24</v>
      </c>
      <c r="G653" t="s">
        <v>25</v>
      </c>
      <c r="H653" t="s">
        <v>1798</v>
      </c>
      <c r="I653" t="s">
        <v>71</v>
      </c>
      <c r="J653" s="6">
        <v>30600</v>
      </c>
      <c r="K653" t="s">
        <v>3</v>
      </c>
      <c r="L653" t="s">
        <v>1799</v>
      </c>
      <c r="M653" t="s">
        <v>3</v>
      </c>
      <c r="N653" s="25" t="str">
        <f>TEXT(tbl_Ledger[[#This Row],[Date]],"yyyy-mm")</f>
        <v>2025-08</v>
      </c>
      <c r="O653" s="25" t="str">
        <f>TEXT(tbl_Ledger[[#This Row],[Date]],"yyyy-mm") &amp; TRIM(tbl_Ledger[[#This Row],[Currency]])</f>
        <v>2025-08NGN</v>
      </c>
      <c r="P653" s="25">
        <f>_xlfn.XLOOKUP(tbl_Ledger[[#This Row],[Key]], tbl_FX[Key], tbl_FX[Rate_to_NGN])</f>
        <v>1</v>
      </c>
      <c r="Q653" s="37">
        <f>IF(tbl_Ledger[[#This Row],[Account_Type]]="Expense",-ABS(tbl_Ledger[[#This Row],[Amount]]*tbl_Ledger[[#This Row],[Rate_to_NGN]]),tbl_Ledger[[#This Row],[Amount]]*tbl_Ledger[[#This Row],[Rate_to_NGN]])</f>
        <v>30600</v>
      </c>
      <c r="R653" s="25" t="str">
        <f>_xlfn.XLOOKUP(tbl_Ledger[[#This Row],[Account_Code]], tbl_Accounts[Account_Code], tbl_Accounts[Type])</f>
        <v>Revenue</v>
      </c>
      <c r="S653" s="25" t="str">
        <f>_xlfn.XLOOKUP(tbl_Ledger[[#This Row],[Account_Code]], tbl_Accounts[Account_Code], tbl_Accounts[PL_Bucket])</f>
        <v>Revenue</v>
      </c>
      <c r="T653" s="25">
        <f t="shared" si="10"/>
        <v>30600</v>
      </c>
    </row>
    <row r="654" spans="1:20">
      <c r="A654" t="s">
        <v>1800</v>
      </c>
      <c r="B654" s="7">
        <v>45881</v>
      </c>
      <c r="C654" t="s">
        <v>93</v>
      </c>
      <c r="D654" t="s">
        <v>94</v>
      </c>
      <c r="E654" t="s">
        <v>103</v>
      </c>
      <c r="F654" s="12" t="s">
        <v>24</v>
      </c>
      <c r="G654" t="s">
        <v>25</v>
      </c>
      <c r="H654" t="s">
        <v>1801</v>
      </c>
      <c r="I654" t="s">
        <v>71</v>
      </c>
      <c r="J654" s="6">
        <v>28600</v>
      </c>
      <c r="K654" t="s">
        <v>3</v>
      </c>
      <c r="L654" t="s">
        <v>1802</v>
      </c>
      <c r="M654" t="s">
        <v>3</v>
      </c>
      <c r="N654" s="25" t="str">
        <f>TEXT(tbl_Ledger[[#This Row],[Date]],"yyyy-mm")</f>
        <v>2025-08</v>
      </c>
      <c r="O654" s="25" t="str">
        <f>TEXT(tbl_Ledger[[#This Row],[Date]],"yyyy-mm") &amp; TRIM(tbl_Ledger[[#This Row],[Currency]])</f>
        <v>2025-08NGN</v>
      </c>
      <c r="P654" s="25">
        <f>_xlfn.XLOOKUP(tbl_Ledger[[#This Row],[Key]], tbl_FX[Key], tbl_FX[Rate_to_NGN])</f>
        <v>1</v>
      </c>
      <c r="Q654" s="37">
        <f>IF(tbl_Ledger[[#This Row],[Account_Type]]="Expense",-ABS(tbl_Ledger[[#This Row],[Amount]]*tbl_Ledger[[#This Row],[Rate_to_NGN]]),tbl_Ledger[[#This Row],[Amount]]*tbl_Ledger[[#This Row],[Rate_to_NGN]])</f>
        <v>28600</v>
      </c>
      <c r="R654" s="25" t="str">
        <f>_xlfn.XLOOKUP(tbl_Ledger[[#This Row],[Account_Code]], tbl_Accounts[Account_Code], tbl_Accounts[Type])</f>
        <v>Revenue</v>
      </c>
      <c r="S654" s="25" t="str">
        <f>_xlfn.XLOOKUP(tbl_Ledger[[#This Row],[Account_Code]], tbl_Accounts[Account_Code], tbl_Accounts[PL_Bucket])</f>
        <v>Revenue</v>
      </c>
      <c r="T654" s="25">
        <f t="shared" si="10"/>
        <v>28600</v>
      </c>
    </row>
    <row r="655" spans="1:20">
      <c r="A655" t="s">
        <v>1803</v>
      </c>
      <c r="B655" s="7">
        <v>45881</v>
      </c>
      <c r="C655" t="s">
        <v>93</v>
      </c>
      <c r="D655" t="s">
        <v>94</v>
      </c>
      <c r="E655" t="s">
        <v>160</v>
      </c>
      <c r="F655" s="12" t="s">
        <v>24</v>
      </c>
      <c r="G655" t="s">
        <v>25</v>
      </c>
      <c r="H655" t="s">
        <v>1804</v>
      </c>
      <c r="I655" t="s">
        <v>71</v>
      </c>
      <c r="J655" s="6">
        <v>28100</v>
      </c>
      <c r="K655" t="s">
        <v>3</v>
      </c>
      <c r="L655" t="s">
        <v>1802</v>
      </c>
      <c r="M655" t="s">
        <v>3</v>
      </c>
      <c r="N655" s="25" t="str">
        <f>TEXT(tbl_Ledger[[#This Row],[Date]],"yyyy-mm")</f>
        <v>2025-08</v>
      </c>
      <c r="O655" s="25" t="str">
        <f>TEXT(tbl_Ledger[[#This Row],[Date]],"yyyy-mm") &amp; TRIM(tbl_Ledger[[#This Row],[Currency]])</f>
        <v>2025-08NGN</v>
      </c>
      <c r="P655" s="25">
        <f>_xlfn.XLOOKUP(tbl_Ledger[[#This Row],[Key]], tbl_FX[Key], tbl_FX[Rate_to_NGN])</f>
        <v>1</v>
      </c>
      <c r="Q655" s="37">
        <f>IF(tbl_Ledger[[#This Row],[Account_Type]]="Expense",-ABS(tbl_Ledger[[#This Row],[Amount]]*tbl_Ledger[[#This Row],[Rate_to_NGN]]),tbl_Ledger[[#This Row],[Amount]]*tbl_Ledger[[#This Row],[Rate_to_NGN]])</f>
        <v>28100</v>
      </c>
      <c r="R655" s="25" t="str">
        <f>_xlfn.XLOOKUP(tbl_Ledger[[#This Row],[Account_Code]], tbl_Accounts[Account_Code], tbl_Accounts[Type])</f>
        <v>Revenue</v>
      </c>
      <c r="S655" s="25" t="str">
        <f>_xlfn.XLOOKUP(tbl_Ledger[[#This Row],[Account_Code]], tbl_Accounts[Account_Code], tbl_Accounts[PL_Bucket])</f>
        <v>Revenue</v>
      </c>
      <c r="T655" s="25">
        <f t="shared" si="10"/>
        <v>28100</v>
      </c>
    </row>
    <row r="656" spans="1:20">
      <c r="A656" t="s">
        <v>1805</v>
      </c>
      <c r="B656" s="7">
        <v>45881</v>
      </c>
      <c r="C656" t="s">
        <v>93</v>
      </c>
      <c r="D656" t="s">
        <v>94</v>
      </c>
      <c r="E656" t="s">
        <v>107</v>
      </c>
      <c r="F656" s="12" t="s">
        <v>24</v>
      </c>
      <c r="G656" t="s">
        <v>25</v>
      </c>
      <c r="H656" t="s">
        <v>1806</v>
      </c>
      <c r="I656" t="s">
        <v>71</v>
      </c>
      <c r="J656" s="6">
        <v>28200</v>
      </c>
      <c r="K656" t="s">
        <v>3</v>
      </c>
      <c r="L656" t="s">
        <v>1807</v>
      </c>
      <c r="M656" t="s">
        <v>3</v>
      </c>
      <c r="N656" s="25" t="str">
        <f>TEXT(tbl_Ledger[[#This Row],[Date]],"yyyy-mm")</f>
        <v>2025-08</v>
      </c>
      <c r="O656" s="25" t="str">
        <f>TEXT(tbl_Ledger[[#This Row],[Date]],"yyyy-mm") &amp; TRIM(tbl_Ledger[[#This Row],[Currency]])</f>
        <v>2025-08NGN</v>
      </c>
      <c r="P656" s="25">
        <f>_xlfn.XLOOKUP(tbl_Ledger[[#This Row],[Key]], tbl_FX[Key], tbl_FX[Rate_to_NGN])</f>
        <v>1</v>
      </c>
      <c r="Q656" s="37">
        <f>IF(tbl_Ledger[[#This Row],[Account_Type]]="Expense",-ABS(tbl_Ledger[[#This Row],[Amount]]*tbl_Ledger[[#This Row],[Rate_to_NGN]]),tbl_Ledger[[#This Row],[Amount]]*tbl_Ledger[[#This Row],[Rate_to_NGN]])</f>
        <v>28200</v>
      </c>
      <c r="R656" s="25" t="str">
        <f>_xlfn.XLOOKUP(tbl_Ledger[[#This Row],[Account_Code]], tbl_Accounts[Account_Code], tbl_Accounts[Type])</f>
        <v>Revenue</v>
      </c>
      <c r="S656" s="25" t="str">
        <f>_xlfn.XLOOKUP(tbl_Ledger[[#This Row],[Account_Code]], tbl_Accounts[Account_Code], tbl_Accounts[PL_Bucket])</f>
        <v>Revenue</v>
      </c>
      <c r="T656" s="25">
        <f t="shared" si="10"/>
        <v>28200</v>
      </c>
    </row>
    <row r="657" spans="1:20">
      <c r="A657" t="s">
        <v>1808</v>
      </c>
      <c r="B657" s="7">
        <v>45881</v>
      </c>
      <c r="C657" t="s">
        <v>93</v>
      </c>
      <c r="D657" t="s">
        <v>111</v>
      </c>
      <c r="E657" t="s">
        <v>112</v>
      </c>
      <c r="F657" s="12" t="s">
        <v>24</v>
      </c>
      <c r="G657" t="s">
        <v>25</v>
      </c>
      <c r="H657" t="s">
        <v>1809</v>
      </c>
      <c r="I657" t="s">
        <v>71</v>
      </c>
      <c r="J657" s="6">
        <v>53100</v>
      </c>
      <c r="K657" t="s">
        <v>3</v>
      </c>
      <c r="L657" t="s">
        <v>1810</v>
      </c>
      <c r="M657" t="s">
        <v>3</v>
      </c>
      <c r="N657" s="25" t="str">
        <f>TEXT(tbl_Ledger[[#This Row],[Date]],"yyyy-mm")</f>
        <v>2025-08</v>
      </c>
      <c r="O657" s="25" t="str">
        <f>TEXT(tbl_Ledger[[#This Row],[Date]],"yyyy-mm") &amp; TRIM(tbl_Ledger[[#This Row],[Currency]])</f>
        <v>2025-08NGN</v>
      </c>
      <c r="P657" s="25">
        <f>_xlfn.XLOOKUP(tbl_Ledger[[#This Row],[Key]], tbl_FX[Key], tbl_FX[Rate_to_NGN])</f>
        <v>1</v>
      </c>
      <c r="Q657" s="37">
        <f>IF(tbl_Ledger[[#This Row],[Account_Type]]="Expense",-ABS(tbl_Ledger[[#This Row],[Amount]]*tbl_Ledger[[#This Row],[Rate_to_NGN]]),tbl_Ledger[[#This Row],[Amount]]*tbl_Ledger[[#This Row],[Rate_to_NGN]])</f>
        <v>53100</v>
      </c>
      <c r="R657" s="25" t="str">
        <f>_xlfn.XLOOKUP(tbl_Ledger[[#This Row],[Account_Code]], tbl_Accounts[Account_Code], tbl_Accounts[Type])</f>
        <v>Revenue</v>
      </c>
      <c r="S657" s="25" t="str">
        <f>_xlfn.XLOOKUP(tbl_Ledger[[#This Row],[Account_Code]], tbl_Accounts[Account_Code], tbl_Accounts[PL_Bucket])</f>
        <v>Revenue</v>
      </c>
      <c r="T657" s="25">
        <f t="shared" si="10"/>
        <v>53100</v>
      </c>
    </row>
    <row r="658" spans="1:20">
      <c r="A658" t="s">
        <v>1811</v>
      </c>
      <c r="B658" s="7">
        <v>45881</v>
      </c>
      <c r="C658" t="s">
        <v>93</v>
      </c>
      <c r="D658" t="s">
        <v>111</v>
      </c>
      <c r="E658" t="s">
        <v>116</v>
      </c>
      <c r="F658" s="12" t="s">
        <v>24</v>
      </c>
      <c r="G658" t="s">
        <v>25</v>
      </c>
      <c r="H658" t="s">
        <v>1812</v>
      </c>
      <c r="I658" t="s">
        <v>71</v>
      </c>
      <c r="J658" s="6">
        <v>51500</v>
      </c>
      <c r="K658" t="s">
        <v>3</v>
      </c>
      <c r="L658" t="s">
        <v>1810</v>
      </c>
      <c r="M658" t="s">
        <v>3</v>
      </c>
      <c r="N658" s="25" t="str">
        <f>TEXT(tbl_Ledger[[#This Row],[Date]],"yyyy-mm")</f>
        <v>2025-08</v>
      </c>
      <c r="O658" s="25" t="str">
        <f>TEXT(tbl_Ledger[[#This Row],[Date]],"yyyy-mm") &amp; TRIM(tbl_Ledger[[#This Row],[Currency]])</f>
        <v>2025-08NGN</v>
      </c>
      <c r="P658" s="25">
        <f>_xlfn.XLOOKUP(tbl_Ledger[[#This Row],[Key]], tbl_FX[Key], tbl_FX[Rate_to_NGN])</f>
        <v>1</v>
      </c>
      <c r="Q658" s="37">
        <f>IF(tbl_Ledger[[#This Row],[Account_Type]]="Expense",-ABS(tbl_Ledger[[#This Row],[Amount]]*tbl_Ledger[[#This Row],[Rate_to_NGN]]),tbl_Ledger[[#This Row],[Amount]]*tbl_Ledger[[#This Row],[Rate_to_NGN]])</f>
        <v>51500</v>
      </c>
      <c r="R658" s="25" t="str">
        <f>_xlfn.XLOOKUP(tbl_Ledger[[#This Row],[Account_Code]], tbl_Accounts[Account_Code], tbl_Accounts[Type])</f>
        <v>Revenue</v>
      </c>
      <c r="S658" s="25" t="str">
        <f>_xlfn.XLOOKUP(tbl_Ledger[[#This Row],[Account_Code]], tbl_Accounts[Account_Code], tbl_Accounts[PL_Bucket])</f>
        <v>Revenue</v>
      </c>
      <c r="T658" s="25">
        <f t="shared" si="10"/>
        <v>51500</v>
      </c>
    </row>
    <row r="659" spans="1:20">
      <c r="A659" t="s">
        <v>1813</v>
      </c>
      <c r="B659" s="7">
        <v>45881</v>
      </c>
      <c r="C659" t="s">
        <v>93</v>
      </c>
      <c r="D659" t="s">
        <v>111</v>
      </c>
      <c r="E659" t="s">
        <v>119</v>
      </c>
      <c r="F659" s="12" t="s">
        <v>24</v>
      </c>
      <c r="G659" t="s">
        <v>25</v>
      </c>
      <c r="H659" t="s">
        <v>1814</v>
      </c>
      <c r="I659" t="s">
        <v>71</v>
      </c>
      <c r="J659" s="6">
        <v>49700</v>
      </c>
      <c r="K659" t="s">
        <v>3</v>
      </c>
      <c r="L659" t="s">
        <v>1810</v>
      </c>
      <c r="M659" t="s">
        <v>3</v>
      </c>
      <c r="N659" s="25" t="str">
        <f>TEXT(tbl_Ledger[[#This Row],[Date]],"yyyy-mm")</f>
        <v>2025-08</v>
      </c>
      <c r="O659" s="25" t="str">
        <f>TEXT(tbl_Ledger[[#This Row],[Date]],"yyyy-mm") &amp; TRIM(tbl_Ledger[[#This Row],[Currency]])</f>
        <v>2025-08NGN</v>
      </c>
      <c r="P659" s="25">
        <f>_xlfn.XLOOKUP(tbl_Ledger[[#This Row],[Key]], tbl_FX[Key], tbl_FX[Rate_to_NGN])</f>
        <v>1</v>
      </c>
      <c r="Q659" s="37">
        <f>IF(tbl_Ledger[[#This Row],[Account_Type]]="Expense",-ABS(tbl_Ledger[[#This Row],[Amount]]*tbl_Ledger[[#This Row],[Rate_to_NGN]]),tbl_Ledger[[#This Row],[Amount]]*tbl_Ledger[[#This Row],[Rate_to_NGN]])</f>
        <v>49700</v>
      </c>
      <c r="R659" s="25" t="str">
        <f>_xlfn.XLOOKUP(tbl_Ledger[[#This Row],[Account_Code]], tbl_Accounts[Account_Code], tbl_Accounts[Type])</f>
        <v>Revenue</v>
      </c>
      <c r="S659" s="25" t="str">
        <f>_xlfn.XLOOKUP(tbl_Ledger[[#This Row],[Account_Code]], tbl_Accounts[Account_Code], tbl_Accounts[PL_Bucket])</f>
        <v>Revenue</v>
      </c>
      <c r="T659" s="25">
        <f t="shared" si="10"/>
        <v>49700</v>
      </c>
    </row>
    <row r="660" spans="1:20">
      <c r="A660" t="s">
        <v>1815</v>
      </c>
      <c r="B660" s="7">
        <v>45881</v>
      </c>
      <c r="C660" t="s">
        <v>93</v>
      </c>
      <c r="D660" t="s">
        <v>111</v>
      </c>
      <c r="E660" t="s">
        <v>170</v>
      </c>
      <c r="F660" s="12" t="s">
        <v>24</v>
      </c>
      <c r="G660" t="s">
        <v>25</v>
      </c>
      <c r="H660" t="s">
        <v>1816</v>
      </c>
      <c r="I660" t="s">
        <v>71</v>
      </c>
      <c r="J660" s="6">
        <v>51000</v>
      </c>
      <c r="K660" t="s">
        <v>3</v>
      </c>
      <c r="L660" t="s">
        <v>1810</v>
      </c>
      <c r="M660" t="s">
        <v>3</v>
      </c>
      <c r="N660" s="25" t="str">
        <f>TEXT(tbl_Ledger[[#This Row],[Date]],"yyyy-mm")</f>
        <v>2025-08</v>
      </c>
      <c r="O660" s="25" t="str">
        <f>TEXT(tbl_Ledger[[#This Row],[Date]],"yyyy-mm") &amp; TRIM(tbl_Ledger[[#This Row],[Currency]])</f>
        <v>2025-08NGN</v>
      </c>
      <c r="P660" s="25">
        <f>_xlfn.XLOOKUP(tbl_Ledger[[#This Row],[Key]], tbl_FX[Key], tbl_FX[Rate_to_NGN])</f>
        <v>1</v>
      </c>
      <c r="Q660" s="37">
        <f>IF(tbl_Ledger[[#This Row],[Account_Type]]="Expense",-ABS(tbl_Ledger[[#This Row],[Amount]]*tbl_Ledger[[#This Row],[Rate_to_NGN]]),tbl_Ledger[[#This Row],[Amount]]*tbl_Ledger[[#This Row],[Rate_to_NGN]])</f>
        <v>51000</v>
      </c>
      <c r="R660" s="25" t="str">
        <f>_xlfn.XLOOKUP(tbl_Ledger[[#This Row],[Account_Code]], tbl_Accounts[Account_Code], tbl_Accounts[Type])</f>
        <v>Revenue</v>
      </c>
      <c r="S660" s="25" t="str">
        <f>_xlfn.XLOOKUP(tbl_Ledger[[#This Row],[Account_Code]], tbl_Accounts[Account_Code], tbl_Accounts[PL_Bucket])</f>
        <v>Revenue</v>
      </c>
      <c r="T660" s="25">
        <f t="shared" si="10"/>
        <v>51000</v>
      </c>
    </row>
    <row r="661" spans="1:20">
      <c r="A661" t="s">
        <v>1817</v>
      </c>
      <c r="B661" s="7">
        <v>45881</v>
      </c>
      <c r="C661" t="s">
        <v>126</v>
      </c>
      <c r="D661" t="s">
        <v>88</v>
      </c>
      <c r="E661" t="s">
        <v>127</v>
      </c>
      <c r="F661" s="12" t="s">
        <v>29</v>
      </c>
      <c r="G661" t="s">
        <v>30</v>
      </c>
      <c r="H661" t="s">
        <v>1818</v>
      </c>
      <c r="I661" t="s">
        <v>71</v>
      </c>
      <c r="J661" s="6">
        <v>49100</v>
      </c>
      <c r="K661" t="s">
        <v>129</v>
      </c>
      <c r="L661" t="s">
        <v>1819</v>
      </c>
      <c r="M661" t="s">
        <v>3</v>
      </c>
      <c r="N661" s="25" t="str">
        <f>TEXT(tbl_Ledger[[#This Row],[Date]],"yyyy-mm")</f>
        <v>2025-08</v>
      </c>
      <c r="O661" s="25" t="str">
        <f>TEXT(tbl_Ledger[[#This Row],[Date]],"yyyy-mm") &amp; TRIM(tbl_Ledger[[#This Row],[Currency]])</f>
        <v>2025-08NGN</v>
      </c>
      <c r="P661" s="25">
        <f>_xlfn.XLOOKUP(tbl_Ledger[[#This Row],[Key]], tbl_FX[Key], tbl_FX[Rate_to_NGN])</f>
        <v>1</v>
      </c>
      <c r="Q661" s="37">
        <f>IF(tbl_Ledger[[#This Row],[Account_Type]]="Expense",-ABS(tbl_Ledger[[#This Row],[Amount]]*tbl_Ledger[[#This Row],[Rate_to_NGN]]),tbl_Ledger[[#This Row],[Amount]]*tbl_Ledger[[#This Row],[Rate_to_NGN]])</f>
        <v>49100</v>
      </c>
      <c r="R661" s="25" t="str">
        <f>_xlfn.XLOOKUP(tbl_Ledger[[#This Row],[Account_Code]], tbl_Accounts[Account_Code], tbl_Accounts[Type])</f>
        <v>Revenue</v>
      </c>
      <c r="S661" s="25" t="str">
        <f>_xlfn.XLOOKUP(tbl_Ledger[[#This Row],[Account_Code]], tbl_Accounts[Account_Code], tbl_Accounts[PL_Bucket])</f>
        <v>Revenue</v>
      </c>
      <c r="T661" s="25">
        <f t="shared" si="10"/>
        <v>49100</v>
      </c>
    </row>
    <row r="662" spans="1:20">
      <c r="A662" t="s">
        <v>1820</v>
      </c>
      <c r="B662" s="7">
        <v>45881</v>
      </c>
      <c r="C662" t="s">
        <v>126</v>
      </c>
      <c r="D662" t="s">
        <v>88</v>
      </c>
      <c r="E662" t="s">
        <v>132</v>
      </c>
      <c r="F662" s="12" t="s">
        <v>29</v>
      </c>
      <c r="G662" t="s">
        <v>30</v>
      </c>
      <c r="H662" t="s">
        <v>1821</v>
      </c>
      <c r="I662" t="s">
        <v>71</v>
      </c>
      <c r="J662" s="6">
        <v>55000</v>
      </c>
      <c r="K662" t="s">
        <v>134</v>
      </c>
      <c r="L662" t="s">
        <v>1819</v>
      </c>
      <c r="M662" t="s">
        <v>3</v>
      </c>
      <c r="N662" s="25" t="str">
        <f>TEXT(tbl_Ledger[[#This Row],[Date]],"yyyy-mm")</f>
        <v>2025-08</v>
      </c>
      <c r="O662" s="25" t="str">
        <f>TEXT(tbl_Ledger[[#This Row],[Date]],"yyyy-mm") &amp; TRIM(tbl_Ledger[[#This Row],[Currency]])</f>
        <v>2025-08NGN</v>
      </c>
      <c r="P662" s="25">
        <f>_xlfn.XLOOKUP(tbl_Ledger[[#This Row],[Key]], tbl_FX[Key], tbl_FX[Rate_to_NGN])</f>
        <v>1</v>
      </c>
      <c r="Q662" s="37">
        <f>IF(tbl_Ledger[[#This Row],[Account_Type]]="Expense",-ABS(tbl_Ledger[[#This Row],[Amount]]*tbl_Ledger[[#This Row],[Rate_to_NGN]]),tbl_Ledger[[#This Row],[Amount]]*tbl_Ledger[[#This Row],[Rate_to_NGN]])</f>
        <v>55000</v>
      </c>
      <c r="R662" s="25" t="str">
        <f>_xlfn.XLOOKUP(tbl_Ledger[[#This Row],[Account_Code]], tbl_Accounts[Account_Code], tbl_Accounts[Type])</f>
        <v>Revenue</v>
      </c>
      <c r="S662" s="25" t="str">
        <f>_xlfn.XLOOKUP(tbl_Ledger[[#This Row],[Account_Code]], tbl_Accounts[Account_Code], tbl_Accounts[PL_Bucket])</f>
        <v>Revenue</v>
      </c>
      <c r="T662" s="25">
        <f t="shared" si="10"/>
        <v>55000</v>
      </c>
    </row>
    <row r="663" spans="1:20">
      <c r="A663" t="s">
        <v>1822</v>
      </c>
      <c r="B663" s="7">
        <v>45881</v>
      </c>
      <c r="C663" t="s">
        <v>126</v>
      </c>
      <c r="D663" t="s">
        <v>88</v>
      </c>
      <c r="E663" t="s">
        <v>136</v>
      </c>
      <c r="F663" s="12" t="s">
        <v>29</v>
      </c>
      <c r="G663" t="s">
        <v>30</v>
      </c>
      <c r="H663" t="s">
        <v>1823</v>
      </c>
      <c r="I663" t="s">
        <v>71</v>
      </c>
      <c r="J663" s="6">
        <v>45100</v>
      </c>
      <c r="K663" t="s">
        <v>138</v>
      </c>
      <c r="L663" t="s">
        <v>1819</v>
      </c>
      <c r="M663" t="s">
        <v>3</v>
      </c>
      <c r="N663" s="25" t="str">
        <f>TEXT(tbl_Ledger[[#This Row],[Date]],"yyyy-mm")</f>
        <v>2025-08</v>
      </c>
      <c r="O663" s="25" t="str">
        <f>TEXT(tbl_Ledger[[#This Row],[Date]],"yyyy-mm") &amp; TRIM(tbl_Ledger[[#This Row],[Currency]])</f>
        <v>2025-08NGN</v>
      </c>
      <c r="P663" s="25">
        <f>_xlfn.XLOOKUP(tbl_Ledger[[#This Row],[Key]], tbl_FX[Key], tbl_FX[Rate_to_NGN])</f>
        <v>1</v>
      </c>
      <c r="Q663" s="37">
        <f>IF(tbl_Ledger[[#This Row],[Account_Type]]="Expense",-ABS(tbl_Ledger[[#This Row],[Amount]]*tbl_Ledger[[#This Row],[Rate_to_NGN]]),tbl_Ledger[[#This Row],[Amount]]*tbl_Ledger[[#This Row],[Rate_to_NGN]])</f>
        <v>45100</v>
      </c>
      <c r="R663" s="25" t="str">
        <f>_xlfn.XLOOKUP(tbl_Ledger[[#This Row],[Account_Code]], tbl_Accounts[Account_Code], tbl_Accounts[Type])</f>
        <v>Revenue</v>
      </c>
      <c r="S663" s="25" t="str">
        <f>_xlfn.XLOOKUP(tbl_Ledger[[#This Row],[Account_Code]], tbl_Accounts[Account_Code], tbl_Accounts[PL_Bucket])</f>
        <v>Revenue</v>
      </c>
      <c r="T663" s="25">
        <f t="shared" si="10"/>
        <v>45100</v>
      </c>
    </row>
    <row r="664" spans="1:20">
      <c r="A664" t="s">
        <v>1824</v>
      </c>
      <c r="B664" s="7">
        <v>45881</v>
      </c>
      <c r="C664" t="s">
        <v>126</v>
      </c>
      <c r="D664" t="s">
        <v>88</v>
      </c>
      <c r="E664" t="s">
        <v>140</v>
      </c>
      <c r="F664" s="12" t="s">
        <v>29</v>
      </c>
      <c r="G664" t="s">
        <v>30</v>
      </c>
      <c r="H664" t="s">
        <v>1825</v>
      </c>
      <c r="I664" t="s">
        <v>71</v>
      </c>
      <c r="J664" s="6">
        <v>54000</v>
      </c>
      <c r="K664" t="s">
        <v>3</v>
      </c>
      <c r="L664" t="s">
        <v>1826</v>
      </c>
      <c r="M664" t="s">
        <v>3</v>
      </c>
      <c r="N664" s="25" t="str">
        <f>TEXT(tbl_Ledger[[#This Row],[Date]],"yyyy-mm")</f>
        <v>2025-08</v>
      </c>
      <c r="O664" s="25" t="str">
        <f>TEXT(tbl_Ledger[[#This Row],[Date]],"yyyy-mm") &amp; TRIM(tbl_Ledger[[#This Row],[Currency]])</f>
        <v>2025-08NGN</v>
      </c>
      <c r="P664" s="25">
        <f>_xlfn.XLOOKUP(tbl_Ledger[[#This Row],[Key]], tbl_FX[Key], tbl_FX[Rate_to_NGN])</f>
        <v>1</v>
      </c>
      <c r="Q664" s="37">
        <f>IF(tbl_Ledger[[#This Row],[Account_Type]]="Expense",-ABS(tbl_Ledger[[#This Row],[Amount]]*tbl_Ledger[[#This Row],[Rate_to_NGN]]),tbl_Ledger[[#This Row],[Amount]]*tbl_Ledger[[#This Row],[Rate_to_NGN]])</f>
        <v>54000</v>
      </c>
      <c r="R664" s="25" t="str">
        <f>_xlfn.XLOOKUP(tbl_Ledger[[#This Row],[Account_Code]], tbl_Accounts[Account_Code], tbl_Accounts[Type])</f>
        <v>Revenue</v>
      </c>
      <c r="S664" s="25" t="str">
        <f>_xlfn.XLOOKUP(tbl_Ledger[[#This Row],[Account_Code]], tbl_Accounts[Account_Code], tbl_Accounts[PL_Bucket])</f>
        <v>Revenue</v>
      </c>
      <c r="T664" s="25">
        <f t="shared" si="10"/>
        <v>54000</v>
      </c>
    </row>
    <row r="665" spans="1:20">
      <c r="A665" t="s">
        <v>1827</v>
      </c>
      <c r="B665" s="7">
        <v>45881</v>
      </c>
      <c r="C665" t="s">
        <v>87</v>
      </c>
      <c r="D665" t="s">
        <v>94</v>
      </c>
      <c r="E665" t="s">
        <v>3</v>
      </c>
      <c r="F665" s="12" t="s">
        <v>44</v>
      </c>
      <c r="G665" t="s">
        <v>45</v>
      </c>
      <c r="H665" t="s">
        <v>1711</v>
      </c>
      <c r="I665" t="s">
        <v>71</v>
      </c>
      <c r="J665" s="6">
        <v>-165000</v>
      </c>
      <c r="K665" t="s">
        <v>191</v>
      </c>
      <c r="L665" t="s">
        <v>1828</v>
      </c>
      <c r="M665" t="s">
        <v>3</v>
      </c>
      <c r="N665" s="25" t="str">
        <f>TEXT(tbl_Ledger[[#This Row],[Date]],"yyyy-mm")</f>
        <v>2025-08</v>
      </c>
      <c r="O665" s="25" t="str">
        <f>TEXT(tbl_Ledger[[#This Row],[Date]],"yyyy-mm") &amp; TRIM(tbl_Ledger[[#This Row],[Currency]])</f>
        <v>2025-08NGN</v>
      </c>
      <c r="P665" s="25">
        <f>_xlfn.XLOOKUP(tbl_Ledger[[#This Row],[Key]], tbl_FX[Key], tbl_FX[Rate_to_NGN])</f>
        <v>1</v>
      </c>
      <c r="Q665" s="37">
        <f>IF(tbl_Ledger[[#This Row],[Account_Type]]="Expense",-ABS(tbl_Ledger[[#This Row],[Amount]]*tbl_Ledger[[#This Row],[Rate_to_NGN]]),tbl_Ledger[[#This Row],[Amount]]*tbl_Ledger[[#This Row],[Rate_to_NGN]])</f>
        <v>-165000</v>
      </c>
      <c r="R665" s="25" t="str">
        <f>_xlfn.XLOOKUP(tbl_Ledger[[#This Row],[Account_Code]], tbl_Accounts[Account_Code], tbl_Accounts[Type])</f>
        <v>COGS</v>
      </c>
      <c r="S665" s="25" t="str">
        <f>_xlfn.XLOOKUP(tbl_Ledger[[#This Row],[Account_Code]], tbl_Accounts[Account_Code], tbl_Accounts[PL_Bucket])</f>
        <v>COGS</v>
      </c>
      <c r="T665" s="25">
        <f t="shared" si="10"/>
        <v>-165000</v>
      </c>
    </row>
    <row r="666" spans="1:20">
      <c r="A666" t="s">
        <v>1829</v>
      </c>
      <c r="B666" s="7">
        <v>45881</v>
      </c>
      <c r="C666" t="s">
        <v>87</v>
      </c>
      <c r="D666" t="s">
        <v>111</v>
      </c>
      <c r="E666" t="s">
        <v>3</v>
      </c>
      <c r="F666" s="12" t="s">
        <v>36</v>
      </c>
      <c r="G666" t="s">
        <v>37</v>
      </c>
      <c r="H666" t="s">
        <v>1792</v>
      </c>
      <c r="I666" t="s">
        <v>71</v>
      </c>
      <c r="J666" s="6">
        <v>-787000</v>
      </c>
      <c r="K666" t="s">
        <v>195</v>
      </c>
      <c r="L666" t="s">
        <v>1830</v>
      </c>
      <c r="M666" t="s">
        <v>3</v>
      </c>
      <c r="N666" s="25" t="str">
        <f>TEXT(tbl_Ledger[[#This Row],[Date]],"yyyy-mm")</f>
        <v>2025-08</v>
      </c>
      <c r="O666" s="25" t="str">
        <f>TEXT(tbl_Ledger[[#This Row],[Date]],"yyyy-mm") &amp; TRIM(tbl_Ledger[[#This Row],[Currency]])</f>
        <v>2025-08NGN</v>
      </c>
      <c r="P666" s="25">
        <f>_xlfn.XLOOKUP(tbl_Ledger[[#This Row],[Key]], tbl_FX[Key], tbl_FX[Rate_to_NGN])</f>
        <v>1</v>
      </c>
      <c r="Q666" s="37">
        <f>IF(tbl_Ledger[[#This Row],[Account_Type]]="Expense",-ABS(tbl_Ledger[[#This Row],[Amount]]*tbl_Ledger[[#This Row],[Rate_to_NGN]]),tbl_Ledger[[#This Row],[Amount]]*tbl_Ledger[[#This Row],[Rate_to_NGN]])</f>
        <v>-787000</v>
      </c>
      <c r="R666" s="25" t="str">
        <f>_xlfn.XLOOKUP(tbl_Ledger[[#This Row],[Account_Code]], tbl_Accounts[Account_Code], tbl_Accounts[Type])</f>
        <v>COGS</v>
      </c>
      <c r="S666" s="25" t="str">
        <f>_xlfn.XLOOKUP(tbl_Ledger[[#This Row],[Account_Code]], tbl_Accounts[Account_Code], tbl_Accounts[PL_Bucket])</f>
        <v>COGS</v>
      </c>
      <c r="T666" s="25">
        <f t="shared" si="10"/>
        <v>-787000</v>
      </c>
    </row>
    <row r="667" spans="1:20">
      <c r="A667" t="s">
        <v>1831</v>
      </c>
      <c r="B667" s="7">
        <v>45881</v>
      </c>
      <c r="C667" t="s">
        <v>87</v>
      </c>
      <c r="D667" t="s">
        <v>88</v>
      </c>
      <c r="E667" t="s">
        <v>3</v>
      </c>
      <c r="F667" s="12" t="s">
        <v>40</v>
      </c>
      <c r="G667" t="s">
        <v>41</v>
      </c>
      <c r="H667" t="s">
        <v>1428</v>
      </c>
      <c r="I667" t="s">
        <v>71</v>
      </c>
      <c r="J667" s="6">
        <v>-494000</v>
      </c>
      <c r="K667" t="s">
        <v>90</v>
      </c>
      <c r="L667" t="s">
        <v>1832</v>
      </c>
      <c r="M667" t="s">
        <v>3</v>
      </c>
      <c r="N667" s="25" t="str">
        <f>TEXT(tbl_Ledger[[#This Row],[Date]],"yyyy-mm")</f>
        <v>2025-08</v>
      </c>
      <c r="O667" s="25" t="str">
        <f>TEXT(tbl_Ledger[[#This Row],[Date]],"yyyy-mm") &amp; TRIM(tbl_Ledger[[#This Row],[Currency]])</f>
        <v>2025-08NGN</v>
      </c>
      <c r="P667" s="25">
        <f>_xlfn.XLOOKUP(tbl_Ledger[[#This Row],[Key]], tbl_FX[Key], tbl_FX[Rate_to_NGN])</f>
        <v>1</v>
      </c>
      <c r="Q667" s="37">
        <f>IF(tbl_Ledger[[#This Row],[Account_Type]]="Expense",-ABS(tbl_Ledger[[#This Row],[Amount]]*tbl_Ledger[[#This Row],[Rate_to_NGN]]),tbl_Ledger[[#This Row],[Amount]]*tbl_Ledger[[#This Row],[Rate_to_NGN]])</f>
        <v>-494000</v>
      </c>
      <c r="R667" s="25" t="str">
        <f>_xlfn.XLOOKUP(tbl_Ledger[[#This Row],[Account_Code]], tbl_Accounts[Account_Code], tbl_Accounts[Type])</f>
        <v>COGS</v>
      </c>
      <c r="S667" s="25" t="str">
        <f>_xlfn.XLOOKUP(tbl_Ledger[[#This Row],[Account_Code]], tbl_Accounts[Account_Code], tbl_Accounts[PL_Bucket])</f>
        <v>COGS</v>
      </c>
      <c r="T667" s="25">
        <f t="shared" si="10"/>
        <v>-494000</v>
      </c>
    </row>
    <row r="668" spans="1:20">
      <c r="A668" t="s">
        <v>1833</v>
      </c>
      <c r="B668" s="7">
        <v>45881</v>
      </c>
      <c r="C668" t="s">
        <v>87</v>
      </c>
      <c r="D668" t="s">
        <v>111</v>
      </c>
      <c r="E668" t="s">
        <v>3</v>
      </c>
      <c r="F668" s="12" t="s">
        <v>57</v>
      </c>
      <c r="G668" t="s">
        <v>58</v>
      </c>
      <c r="H668" t="s">
        <v>1834</v>
      </c>
      <c r="I668" t="s">
        <v>71</v>
      </c>
      <c r="J668" s="6">
        <v>-350000</v>
      </c>
      <c r="K668" t="s">
        <v>595</v>
      </c>
      <c r="L668" t="s">
        <v>1835</v>
      </c>
      <c r="M668" t="s">
        <v>3</v>
      </c>
      <c r="N668" s="25" t="str">
        <f>TEXT(tbl_Ledger[[#This Row],[Date]],"yyyy-mm")</f>
        <v>2025-08</v>
      </c>
      <c r="O668" s="25" t="str">
        <f>TEXT(tbl_Ledger[[#This Row],[Date]],"yyyy-mm") &amp; TRIM(tbl_Ledger[[#This Row],[Currency]])</f>
        <v>2025-08NGN</v>
      </c>
      <c r="P668" s="25">
        <f>_xlfn.XLOOKUP(tbl_Ledger[[#This Row],[Key]], tbl_FX[Key], tbl_FX[Rate_to_NGN])</f>
        <v>1</v>
      </c>
      <c r="Q668" s="37">
        <f>IF(tbl_Ledger[[#This Row],[Account_Type]]="Expense",-ABS(tbl_Ledger[[#This Row],[Amount]]*tbl_Ledger[[#This Row],[Rate_to_NGN]]),tbl_Ledger[[#This Row],[Amount]]*tbl_Ledger[[#This Row],[Rate_to_NGN]])</f>
        <v>-350000</v>
      </c>
      <c r="R668" s="25" t="str">
        <f>_xlfn.XLOOKUP(tbl_Ledger[[#This Row],[Account_Code]], tbl_Accounts[Account_Code], tbl_Accounts[Type])</f>
        <v>Opex</v>
      </c>
      <c r="S668" s="25" t="str">
        <f>_xlfn.XLOOKUP(tbl_Ledger[[#This Row],[Account_Code]], tbl_Accounts[Account_Code], tbl_Accounts[PL_Bucket])</f>
        <v>Opex</v>
      </c>
      <c r="T668" s="25">
        <f t="shared" si="10"/>
        <v>-350000</v>
      </c>
    </row>
    <row r="669" spans="1:20">
      <c r="A669" t="s">
        <v>1836</v>
      </c>
      <c r="B669" s="7">
        <v>45881</v>
      </c>
      <c r="C669" t="s">
        <v>87</v>
      </c>
      <c r="D669" t="s">
        <v>111</v>
      </c>
      <c r="E669" t="s">
        <v>3</v>
      </c>
      <c r="F669" s="12" t="s">
        <v>36</v>
      </c>
      <c r="G669" t="s">
        <v>37</v>
      </c>
      <c r="H669" t="s">
        <v>1837</v>
      </c>
      <c r="I669" t="s">
        <v>71</v>
      </c>
      <c r="J669" s="6">
        <v>-1840000</v>
      </c>
      <c r="K669" t="s">
        <v>145</v>
      </c>
      <c r="L669" t="s">
        <v>1838</v>
      </c>
      <c r="M669" t="s">
        <v>1839</v>
      </c>
      <c r="N669" s="25" t="str">
        <f>TEXT(tbl_Ledger[[#This Row],[Date]],"yyyy-mm")</f>
        <v>2025-08</v>
      </c>
      <c r="O669" s="25" t="str">
        <f>TEXT(tbl_Ledger[[#This Row],[Date]],"yyyy-mm") &amp; TRIM(tbl_Ledger[[#This Row],[Currency]])</f>
        <v>2025-08NGN</v>
      </c>
      <c r="P669" s="25">
        <f>_xlfn.XLOOKUP(tbl_Ledger[[#This Row],[Key]], tbl_FX[Key], tbl_FX[Rate_to_NGN])</f>
        <v>1</v>
      </c>
      <c r="Q669" s="37">
        <f>IF(tbl_Ledger[[#This Row],[Account_Type]]="Expense",-ABS(tbl_Ledger[[#This Row],[Amount]]*tbl_Ledger[[#This Row],[Rate_to_NGN]]),tbl_Ledger[[#This Row],[Amount]]*tbl_Ledger[[#This Row],[Rate_to_NGN]])</f>
        <v>-1840000</v>
      </c>
      <c r="R669" s="25" t="str">
        <f>_xlfn.XLOOKUP(tbl_Ledger[[#This Row],[Account_Code]], tbl_Accounts[Account_Code], tbl_Accounts[Type])</f>
        <v>COGS</v>
      </c>
      <c r="S669" s="25" t="str">
        <f>_xlfn.XLOOKUP(tbl_Ledger[[#This Row],[Account_Code]], tbl_Accounts[Account_Code], tbl_Accounts[PL_Bucket])</f>
        <v>COGS</v>
      </c>
      <c r="T669" s="25">
        <f t="shared" si="10"/>
        <v>-1840000</v>
      </c>
    </row>
    <row r="670" spans="1:20">
      <c r="A670" t="s">
        <v>1840</v>
      </c>
      <c r="B670" s="7">
        <v>45882</v>
      </c>
      <c r="C670" t="s">
        <v>93</v>
      </c>
      <c r="D670" t="s">
        <v>94</v>
      </c>
      <c r="E670" t="s">
        <v>95</v>
      </c>
      <c r="F670" s="12" t="s">
        <v>24</v>
      </c>
      <c r="G670" t="s">
        <v>25</v>
      </c>
      <c r="H670" t="s">
        <v>1841</v>
      </c>
      <c r="I670" t="s">
        <v>71</v>
      </c>
      <c r="J670" s="6">
        <v>29600</v>
      </c>
      <c r="K670" t="s">
        <v>3</v>
      </c>
      <c r="L670" t="s">
        <v>1842</v>
      </c>
      <c r="M670" t="s">
        <v>3</v>
      </c>
      <c r="N670" s="25" t="str">
        <f>TEXT(tbl_Ledger[[#This Row],[Date]],"yyyy-mm")</f>
        <v>2025-08</v>
      </c>
      <c r="O670" s="25" t="str">
        <f>TEXT(tbl_Ledger[[#This Row],[Date]],"yyyy-mm") &amp; TRIM(tbl_Ledger[[#This Row],[Currency]])</f>
        <v>2025-08NGN</v>
      </c>
      <c r="P670" s="25">
        <f>_xlfn.XLOOKUP(tbl_Ledger[[#This Row],[Key]], tbl_FX[Key], tbl_FX[Rate_to_NGN])</f>
        <v>1</v>
      </c>
      <c r="Q670" s="37">
        <f>IF(tbl_Ledger[[#This Row],[Account_Type]]="Expense",-ABS(tbl_Ledger[[#This Row],[Amount]]*tbl_Ledger[[#This Row],[Rate_to_NGN]]),tbl_Ledger[[#This Row],[Amount]]*tbl_Ledger[[#This Row],[Rate_to_NGN]])</f>
        <v>29600</v>
      </c>
      <c r="R670" s="25" t="str">
        <f>_xlfn.XLOOKUP(tbl_Ledger[[#This Row],[Account_Code]], tbl_Accounts[Account_Code], tbl_Accounts[Type])</f>
        <v>Revenue</v>
      </c>
      <c r="S670" s="25" t="str">
        <f>_xlfn.XLOOKUP(tbl_Ledger[[#This Row],[Account_Code]], tbl_Accounts[Account_Code], tbl_Accounts[PL_Bucket])</f>
        <v>Revenue</v>
      </c>
      <c r="T670" s="25">
        <f t="shared" si="10"/>
        <v>29600</v>
      </c>
    </row>
    <row r="671" spans="1:20">
      <c r="A671" t="s">
        <v>1843</v>
      </c>
      <c r="B671" s="7">
        <v>45882</v>
      </c>
      <c r="C671" t="s">
        <v>93</v>
      </c>
      <c r="D671" t="s">
        <v>94</v>
      </c>
      <c r="E671" t="s">
        <v>99</v>
      </c>
      <c r="F671" s="12" t="s">
        <v>24</v>
      </c>
      <c r="G671" t="s">
        <v>25</v>
      </c>
      <c r="H671" t="s">
        <v>1844</v>
      </c>
      <c r="I671" t="s">
        <v>71</v>
      </c>
      <c r="J671" s="6">
        <v>29800</v>
      </c>
      <c r="K671" t="s">
        <v>3</v>
      </c>
      <c r="L671" t="s">
        <v>1845</v>
      </c>
      <c r="M671" t="s">
        <v>3</v>
      </c>
      <c r="N671" s="25" t="str">
        <f>TEXT(tbl_Ledger[[#This Row],[Date]],"yyyy-mm")</f>
        <v>2025-08</v>
      </c>
      <c r="O671" s="25" t="str">
        <f>TEXT(tbl_Ledger[[#This Row],[Date]],"yyyy-mm") &amp; TRIM(tbl_Ledger[[#This Row],[Currency]])</f>
        <v>2025-08NGN</v>
      </c>
      <c r="P671" s="25">
        <f>_xlfn.XLOOKUP(tbl_Ledger[[#This Row],[Key]], tbl_FX[Key], tbl_FX[Rate_to_NGN])</f>
        <v>1</v>
      </c>
      <c r="Q671" s="37">
        <f>IF(tbl_Ledger[[#This Row],[Account_Type]]="Expense",-ABS(tbl_Ledger[[#This Row],[Amount]]*tbl_Ledger[[#This Row],[Rate_to_NGN]]),tbl_Ledger[[#This Row],[Amount]]*tbl_Ledger[[#This Row],[Rate_to_NGN]])</f>
        <v>29800</v>
      </c>
      <c r="R671" s="25" t="str">
        <f>_xlfn.XLOOKUP(tbl_Ledger[[#This Row],[Account_Code]], tbl_Accounts[Account_Code], tbl_Accounts[Type])</f>
        <v>Revenue</v>
      </c>
      <c r="S671" s="25" t="str">
        <f>_xlfn.XLOOKUP(tbl_Ledger[[#This Row],[Account_Code]], tbl_Accounts[Account_Code], tbl_Accounts[PL_Bucket])</f>
        <v>Revenue</v>
      </c>
      <c r="T671" s="25">
        <f t="shared" si="10"/>
        <v>29800</v>
      </c>
    </row>
    <row r="672" spans="1:20">
      <c r="A672" t="s">
        <v>1846</v>
      </c>
      <c r="B672" s="7">
        <v>45882</v>
      </c>
      <c r="C672" t="s">
        <v>93</v>
      </c>
      <c r="D672" t="s">
        <v>94</v>
      </c>
      <c r="E672" t="s">
        <v>103</v>
      </c>
      <c r="F672" s="12" t="s">
        <v>24</v>
      </c>
      <c r="G672" t="s">
        <v>25</v>
      </c>
      <c r="H672" t="s">
        <v>1847</v>
      </c>
      <c r="I672" t="s">
        <v>71</v>
      </c>
      <c r="J672" s="6">
        <v>30800</v>
      </c>
      <c r="K672" t="s">
        <v>3</v>
      </c>
      <c r="L672" t="s">
        <v>1848</v>
      </c>
      <c r="M672" t="s">
        <v>3</v>
      </c>
      <c r="N672" s="25" t="str">
        <f>TEXT(tbl_Ledger[[#This Row],[Date]],"yyyy-mm")</f>
        <v>2025-08</v>
      </c>
      <c r="O672" s="25" t="str">
        <f>TEXT(tbl_Ledger[[#This Row],[Date]],"yyyy-mm") &amp; TRIM(tbl_Ledger[[#This Row],[Currency]])</f>
        <v>2025-08NGN</v>
      </c>
      <c r="P672" s="25">
        <f>_xlfn.XLOOKUP(tbl_Ledger[[#This Row],[Key]], tbl_FX[Key], tbl_FX[Rate_to_NGN])</f>
        <v>1</v>
      </c>
      <c r="Q672" s="37">
        <f>IF(tbl_Ledger[[#This Row],[Account_Type]]="Expense",-ABS(tbl_Ledger[[#This Row],[Amount]]*tbl_Ledger[[#This Row],[Rate_to_NGN]]),tbl_Ledger[[#This Row],[Amount]]*tbl_Ledger[[#This Row],[Rate_to_NGN]])</f>
        <v>30800</v>
      </c>
      <c r="R672" s="25" t="str">
        <f>_xlfn.XLOOKUP(tbl_Ledger[[#This Row],[Account_Code]], tbl_Accounts[Account_Code], tbl_Accounts[Type])</f>
        <v>Revenue</v>
      </c>
      <c r="S672" s="25" t="str">
        <f>_xlfn.XLOOKUP(tbl_Ledger[[#This Row],[Account_Code]], tbl_Accounts[Account_Code], tbl_Accounts[PL_Bucket])</f>
        <v>Revenue</v>
      </c>
      <c r="T672" s="25">
        <f t="shared" si="10"/>
        <v>30800</v>
      </c>
    </row>
    <row r="673" spans="1:20">
      <c r="A673" t="s">
        <v>1849</v>
      </c>
      <c r="B673" s="7">
        <v>45882</v>
      </c>
      <c r="C673" t="s">
        <v>93</v>
      </c>
      <c r="D673" t="s">
        <v>94</v>
      </c>
      <c r="E673" t="s">
        <v>160</v>
      </c>
      <c r="F673" s="12" t="s">
        <v>24</v>
      </c>
      <c r="G673" t="s">
        <v>25</v>
      </c>
      <c r="H673" t="s">
        <v>1850</v>
      </c>
      <c r="I673" t="s">
        <v>71</v>
      </c>
      <c r="J673" s="6">
        <v>29600</v>
      </c>
      <c r="K673" t="s">
        <v>3</v>
      </c>
      <c r="L673" t="s">
        <v>1848</v>
      </c>
      <c r="M673" t="s">
        <v>3</v>
      </c>
      <c r="N673" s="25" t="str">
        <f>TEXT(tbl_Ledger[[#This Row],[Date]],"yyyy-mm")</f>
        <v>2025-08</v>
      </c>
      <c r="O673" s="25" t="str">
        <f>TEXT(tbl_Ledger[[#This Row],[Date]],"yyyy-mm") &amp; TRIM(tbl_Ledger[[#This Row],[Currency]])</f>
        <v>2025-08NGN</v>
      </c>
      <c r="P673" s="25">
        <f>_xlfn.XLOOKUP(tbl_Ledger[[#This Row],[Key]], tbl_FX[Key], tbl_FX[Rate_to_NGN])</f>
        <v>1</v>
      </c>
      <c r="Q673" s="37">
        <f>IF(tbl_Ledger[[#This Row],[Account_Type]]="Expense",-ABS(tbl_Ledger[[#This Row],[Amount]]*tbl_Ledger[[#This Row],[Rate_to_NGN]]),tbl_Ledger[[#This Row],[Amount]]*tbl_Ledger[[#This Row],[Rate_to_NGN]])</f>
        <v>29600</v>
      </c>
      <c r="R673" s="25" t="str">
        <f>_xlfn.XLOOKUP(tbl_Ledger[[#This Row],[Account_Code]], tbl_Accounts[Account_Code], tbl_Accounts[Type])</f>
        <v>Revenue</v>
      </c>
      <c r="S673" s="25" t="str">
        <f>_xlfn.XLOOKUP(tbl_Ledger[[#This Row],[Account_Code]], tbl_Accounts[Account_Code], tbl_Accounts[PL_Bucket])</f>
        <v>Revenue</v>
      </c>
      <c r="T673" s="25">
        <f t="shared" si="10"/>
        <v>29600</v>
      </c>
    </row>
    <row r="674" spans="1:20">
      <c r="A674" t="s">
        <v>1851</v>
      </c>
      <c r="B674" s="7">
        <v>45882</v>
      </c>
      <c r="C674" t="s">
        <v>93</v>
      </c>
      <c r="D674" t="s">
        <v>94</v>
      </c>
      <c r="E674" t="s">
        <v>107</v>
      </c>
      <c r="F674" s="12" t="s">
        <v>24</v>
      </c>
      <c r="G674" t="s">
        <v>25</v>
      </c>
      <c r="H674" t="s">
        <v>1852</v>
      </c>
      <c r="I674" t="s">
        <v>71</v>
      </c>
      <c r="J674" s="6">
        <v>30400</v>
      </c>
      <c r="K674" t="s">
        <v>3</v>
      </c>
      <c r="L674" t="s">
        <v>1853</v>
      </c>
      <c r="M674" t="s">
        <v>3</v>
      </c>
      <c r="N674" s="25" t="str">
        <f>TEXT(tbl_Ledger[[#This Row],[Date]],"yyyy-mm")</f>
        <v>2025-08</v>
      </c>
      <c r="O674" s="25" t="str">
        <f>TEXT(tbl_Ledger[[#This Row],[Date]],"yyyy-mm") &amp; TRIM(tbl_Ledger[[#This Row],[Currency]])</f>
        <v>2025-08NGN</v>
      </c>
      <c r="P674" s="25">
        <f>_xlfn.XLOOKUP(tbl_Ledger[[#This Row],[Key]], tbl_FX[Key], tbl_FX[Rate_to_NGN])</f>
        <v>1</v>
      </c>
      <c r="Q674" s="37">
        <f>IF(tbl_Ledger[[#This Row],[Account_Type]]="Expense",-ABS(tbl_Ledger[[#This Row],[Amount]]*tbl_Ledger[[#This Row],[Rate_to_NGN]]),tbl_Ledger[[#This Row],[Amount]]*tbl_Ledger[[#This Row],[Rate_to_NGN]])</f>
        <v>30400</v>
      </c>
      <c r="R674" s="25" t="str">
        <f>_xlfn.XLOOKUP(tbl_Ledger[[#This Row],[Account_Code]], tbl_Accounts[Account_Code], tbl_Accounts[Type])</f>
        <v>Revenue</v>
      </c>
      <c r="S674" s="25" t="str">
        <f>_xlfn.XLOOKUP(tbl_Ledger[[#This Row],[Account_Code]], tbl_Accounts[Account_Code], tbl_Accounts[PL_Bucket])</f>
        <v>Revenue</v>
      </c>
      <c r="T674" s="25">
        <f t="shared" si="10"/>
        <v>30400</v>
      </c>
    </row>
    <row r="675" spans="1:20">
      <c r="A675" t="s">
        <v>1854</v>
      </c>
      <c r="B675" s="7">
        <v>45882</v>
      </c>
      <c r="C675" t="s">
        <v>93</v>
      </c>
      <c r="D675" t="s">
        <v>111</v>
      </c>
      <c r="E675" t="s">
        <v>112</v>
      </c>
      <c r="F675" s="12" t="s">
        <v>24</v>
      </c>
      <c r="G675" t="s">
        <v>25</v>
      </c>
      <c r="H675" t="s">
        <v>1855</v>
      </c>
      <c r="I675" t="s">
        <v>71</v>
      </c>
      <c r="J675" s="6">
        <v>51600</v>
      </c>
      <c r="K675" t="s">
        <v>3</v>
      </c>
      <c r="L675" t="s">
        <v>1856</v>
      </c>
      <c r="M675" t="s">
        <v>3</v>
      </c>
      <c r="N675" s="25" t="str">
        <f>TEXT(tbl_Ledger[[#This Row],[Date]],"yyyy-mm")</f>
        <v>2025-08</v>
      </c>
      <c r="O675" s="25" t="str">
        <f>TEXT(tbl_Ledger[[#This Row],[Date]],"yyyy-mm") &amp; TRIM(tbl_Ledger[[#This Row],[Currency]])</f>
        <v>2025-08NGN</v>
      </c>
      <c r="P675" s="25">
        <f>_xlfn.XLOOKUP(tbl_Ledger[[#This Row],[Key]], tbl_FX[Key], tbl_FX[Rate_to_NGN])</f>
        <v>1</v>
      </c>
      <c r="Q675" s="37">
        <f>IF(tbl_Ledger[[#This Row],[Account_Type]]="Expense",-ABS(tbl_Ledger[[#This Row],[Amount]]*tbl_Ledger[[#This Row],[Rate_to_NGN]]),tbl_Ledger[[#This Row],[Amount]]*tbl_Ledger[[#This Row],[Rate_to_NGN]])</f>
        <v>51600</v>
      </c>
      <c r="R675" s="25" t="str">
        <f>_xlfn.XLOOKUP(tbl_Ledger[[#This Row],[Account_Code]], tbl_Accounts[Account_Code], tbl_Accounts[Type])</f>
        <v>Revenue</v>
      </c>
      <c r="S675" s="25" t="str">
        <f>_xlfn.XLOOKUP(tbl_Ledger[[#This Row],[Account_Code]], tbl_Accounts[Account_Code], tbl_Accounts[PL_Bucket])</f>
        <v>Revenue</v>
      </c>
      <c r="T675" s="25">
        <f t="shared" si="10"/>
        <v>51600</v>
      </c>
    </row>
    <row r="676" spans="1:20">
      <c r="A676" t="s">
        <v>1857</v>
      </c>
      <c r="B676" s="7">
        <v>45882</v>
      </c>
      <c r="C676" t="s">
        <v>93</v>
      </c>
      <c r="D676" t="s">
        <v>111</v>
      </c>
      <c r="E676" t="s">
        <v>116</v>
      </c>
      <c r="F676" s="12" t="s">
        <v>24</v>
      </c>
      <c r="G676" t="s">
        <v>25</v>
      </c>
      <c r="H676" t="s">
        <v>1858</v>
      </c>
      <c r="I676" t="s">
        <v>71</v>
      </c>
      <c r="J676" s="6">
        <v>52900</v>
      </c>
      <c r="K676" t="s">
        <v>3</v>
      </c>
      <c r="L676" t="s">
        <v>1856</v>
      </c>
      <c r="M676" t="s">
        <v>3</v>
      </c>
      <c r="N676" s="25" t="str">
        <f>TEXT(tbl_Ledger[[#This Row],[Date]],"yyyy-mm")</f>
        <v>2025-08</v>
      </c>
      <c r="O676" s="25" t="str">
        <f>TEXT(tbl_Ledger[[#This Row],[Date]],"yyyy-mm") &amp; TRIM(tbl_Ledger[[#This Row],[Currency]])</f>
        <v>2025-08NGN</v>
      </c>
      <c r="P676" s="25">
        <f>_xlfn.XLOOKUP(tbl_Ledger[[#This Row],[Key]], tbl_FX[Key], tbl_FX[Rate_to_NGN])</f>
        <v>1</v>
      </c>
      <c r="Q676" s="37">
        <f>IF(tbl_Ledger[[#This Row],[Account_Type]]="Expense",-ABS(tbl_Ledger[[#This Row],[Amount]]*tbl_Ledger[[#This Row],[Rate_to_NGN]]),tbl_Ledger[[#This Row],[Amount]]*tbl_Ledger[[#This Row],[Rate_to_NGN]])</f>
        <v>52900</v>
      </c>
      <c r="R676" s="25" t="str">
        <f>_xlfn.XLOOKUP(tbl_Ledger[[#This Row],[Account_Code]], tbl_Accounts[Account_Code], tbl_Accounts[Type])</f>
        <v>Revenue</v>
      </c>
      <c r="S676" s="25" t="str">
        <f>_xlfn.XLOOKUP(tbl_Ledger[[#This Row],[Account_Code]], tbl_Accounts[Account_Code], tbl_Accounts[PL_Bucket])</f>
        <v>Revenue</v>
      </c>
      <c r="T676" s="25">
        <f t="shared" si="10"/>
        <v>52900</v>
      </c>
    </row>
    <row r="677" spans="1:20">
      <c r="A677" t="s">
        <v>1859</v>
      </c>
      <c r="B677" s="7">
        <v>45882</v>
      </c>
      <c r="C677" t="s">
        <v>93</v>
      </c>
      <c r="D677" t="s">
        <v>111</v>
      </c>
      <c r="E677" t="s">
        <v>119</v>
      </c>
      <c r="F677" s="12" t="s">
        <v>24</v>
      </c>
      <c r="G677" t="s">
        <v>25</v>
      </c>
      <c r="H677" t="s">
        <v>1860</v>
      </c>
      <c r="I677" t="s">
        <v>71</v>
      </c>
      <c r="J677" s="6">
        <v>49300</v>
      </c>
      <c r="K677" t="s">
        <v>3</v>
      </c>
      <c r="L677" t="s">
        <v>1856</v>
      </c>
      <c r="M677" t="s">
        <v>3</v>
      </c>
      <c r="N677" s="25" t="str">
        <f>TEXT(tbl_Ledger[[#This Row],[Date]],"yyyy-mm")</f>
        <v>2025-08</v>
      </c>
      <c r="O677" s="25" t="str">
        <f>TEXT(tbl_Ledger[[#This Row],[Date]],"yyyy-mm") &amp; TRIM(tbl_Ledger[[#This Row],[Currency]])</f>
        <v>2025-08NGN</v>
      </c>
      <c r="P677" s="25">
        <f>_xlfn.XLOOKUP(tbl_Ledger[[#This Row],[Key]], tbl_FX[Key], tbl_FX[Rate_to_NGN])</f>
        <v>1</v>
      </c>
      <c r="Q677" s="37">
        <f>IF(tbl_Ledger[[#This Row],[Account_Type]]="Expense",-ABS(tbl_Ledger[[#This Row],[Amount]]*tbl_Ledger[[#This Row],[Rate_to_NGN]]),tbl_Ledger[[#This Row],[Amount]]*tbl_Ledger[[#This Row],[Rate_to_NGN]])</f>
        <v>49300</v>
      </c>
      <c r="R677" s="25" t="str">
        <f>_xlfn.XLOOKUP(tbl_Ledger[[#This Row],[Account_Code]], tbl_Accounts[Account_Code], tbl_Accounts[Type])</f>
        <v>Revenue</v>
      </c>
      <c r="S677" s="25" t="str">
        <f>_xlfn.XLOOKUP(tbl_Ledger[[#This Row],[Account_Code]], tbl_Accounts[Account_Code], tbl_Accounts[PL_Bucket])</f>
        <v>Revenue</v>
      </c>
      <c r="T677" s="25">
        <f t="shared" si="10"/>
        <v>49300</v>
      </c>
    </row>
    <row r="678" spans="1:20">
      <c r="A678" t="s">
        <v>1861</v>
      </c>
      <c r="B678" s="7">
        <v>45882</v>
      </c>
      <c r="C678" t="s">
        <v>93</v>
      </c>
      <c r="D678" t="s">
        <v>111</v>
      </c>
      <c r="E678" t="s">
        <v>170</v>
      </c>
      <c r="F678" s="12" t="s">
        <v>24</v>
      </c>
      <c r="G678" t="s">
        <v>25</v>
      </c>
      <c r="H678" t="s">
        <v>1862</v>
      </c>
      <c r="I678" t="s">
        <v>71</v>
      </c>
      <c r="J678" s="6">
        <v>50400</v>
      </c>
      <c r="K678" t="s">
        <v>3</v>
      </c>
      <c r="L678" t="s">
        <v>1856</v>
      </c>
      <c r="M678" t="s">
        <v>3</v>
      </c>
      <c r="N678" s="25" t="str">
        <f>TEXT(tbl_Ledger[[#This Row],[Date]],"yyyy-mm")</f>
        <v>2025-08</v>
      </c>
      <c r="O678" s="25" t="str">
        <f>TEXT(tbl_Ledger[[#This Row],[Date]],"yyyy-mm") &amp; TRIM(tbl_Ledger[[#This Row],[Currency]])</f>
        <v>2025-08NGN</v>
      </c>
      <c r="P678" s="25">
        <f>_xlfn.XLOOKUP(tbl_Ledger[[#This Row],[Key]], tbl_FX[Key], tbl_FX[Rate_to_NGN])</f>
        <v>1</v>
      </c>
      <c r="Q678" s="37">
        <f>IF(tbl_Ledger[[#This Row],[Account_Type]]="Expense",-ABS(tbl_Ledger[[#This Row],[Amount]]*tbl_Ledger[[#This Row],[Rate_to_NGN]]),tbl_Ledger[[#This Row],[Amount]]*tbl_Ledger[[#This Row],[Rate_to_NGN]])</f>
        <v>50400</v>
      </c>
      <c r="R678" s="25" t="str">
        <f>_xlfn.XLOOKUP(tbl_Ledger[[#This Row],[Account_Code]], tbl_Accounts[Account_Code], tbl_Accounts[Type])</f>
        <v>Revenue</v>
      </c>
      <c r="S678" s="25" t="str">
        <f>_xlfn.XLOOKUP(tbl_Ledger[[#This Row],[Account_Code]], tbl_Accounts[Account_Code], tbl_Accounts[PL_Bucket])</f>
        <v>Revenue</v>
      </c>
      <c r="T678" s="25">
        <f t="shared" si="10"/>
        <v>50400</v>
      </c>
    </row>
    <row r="679" spans="1:20">
      <c r="A679" t="s">
        <v>1863</v>
      </c>
      <c r="B679" s="7">
        <v>45882</v>
      </c>
      <c r="C679" t="s">
        <v>93</v>
      </c>
      <c r="D679" t="s">
        <v>111</v>
      </c>
      <c r="E679" t="s">
        <v>122</v>
      </c>
      <c r="F679" s="12" t="s">
        <v>24</v>
      </c>
      <c r="G679" t="s">
        <v>25</v>
      </c>
      <c r="H679" t="s">
        <v>1864</v>
      </c>
      <c r="I679" t="s">
        <v>73</v>
      </c>
      <c r="J679" s="6">
        <v>527.27</v>
      </c>
      <c r="K679" t="s">
        <v>3</v>
      </c>
      <c r="L679" t="s">
        <v>1865</v>
      </c>
      <c r="M679" t="s">
        <v>3</v>
      </c>
      <c r="N679" s="25" t="str">
        <f>TEXT(tbl_Ledger[[#This Row],[Date]],"yyyy-mm")</f>
        <v>2025-08</v>
      </c>
      <c r="O679" s="25" t="str">
        <f>TEXT(tbl_Ledger[[#This Row],[Date]],"yyyy-mm") &amp; TRIM(tbl_Ledger[[#This Row],[Currency]])</f>
        <v>2025-08GHS</v>
      </c>
      <c r="P679" s="25">
        <f>_xlfn.XLOOKUP(tbl_Ledger[[#This Row],[Key]], tbl_FX[Key], tbl_FX[Rate_to_NGN])</f>
        <v>99</v>
      </c>
      <c r="Q679" s="37">
        <f>IF(tbl_Ledger[[#This Row],[Account_Type]]="Expense",-ABS(tbl_Ledger[[#This Row],[Amount]]*tbl_Ledger[[#This Row],[Rate_to_NGN]]),tbl_Ledger[[#This Row],[Amount]]*tbl_Ledger[[#This Row],[Rate_to_NGN]])</f>
        <v>52199.729999999996</v>
      </c>
      <c r="R679" s="25" t="str">
        <f>_xlfn.XLOOKUP(tbl_Ledger[[#This Row],[Account_Code]], tbl_Accounts[Account_Code], tbl_Accounts[Type])</f>
        <v>Revenue</v>
      </c>
      <c r="S679" s="25" t="str">
        <f>_xlfn.XLOOKUP(tbl_Ledger[[#This Row],[Account_Code]], tbl_Accounts[Account_Code], tbl_Accounts[PL_Bucket])</f>
        <v>Revenue</v>
      </c>
      <c r="T679" s="25">
        <f t="shared" si="10"/>
        <v>52199.729999999996</v>
      </c>
    </row>
    <row r="680" spans="1:20">
      <c r="A680" t="s">
        <v>1866</v>
      </c>
      <c r="B680" s="7">
        <v>45882</v>
      </c>
      <c r="C680" t="s">
        <v>126</v>
      </c>
      <c r="D680" t="s">
        <v>88</v>
      </c>
      <c r="E680" t="s">
        <v>127</v>
      </c>
      <c r="F680" s="12" t="s">
        <v>29</v>
      </c>
      <c r="G680" t="s">
        <v>30</v>
      </c>
      <c r="H680" t="s">
        <v>1867</v>
      </c>
      <c r="I680" t="s">
        <v>72</v>
      </c>
      <c r="J680" s="6">
        <v>34.92</v>
      </c>
      <c r="K680" t="s">
        <v>129</v>
      </c>
      <c r="L680" t="s">
        <v>1868</v>
      </c>
      <c r="M680" t="s">
        <v>3</v>
      </c>
      <c r="N680" s="25" t="str">
        <f>TEXT(tbl_Ledger[[#This Row],[Date]],"yyyy-mm")</f>
        <v>2025-08</v>
      </c>
      <c r="O680" s="25" t="str">
        <f>TEXT(tbl_Ledger[[#This Row],[Date]],"yyyy-mm") &amp; TRIM(tbl_Ledger[[#This Row],[Currency]])</f>
        <v>2025-08USD</v>
      </c>
      <c r="P680" s="25">
        <f>_xlfn.XLOOKUP(tbl_Ledger[[#This Row],[Key]], tbl_FX[Key], tbl_FX[Rate_to_NGN])</f>
        <v>1572</v>
      </c>
      <c r="Q680" s="37">
        <f>IF(tbl_Ledger[[#This Row],[Account_Type]]="Expense",-ABS(tbl_Ledger[[#This Row],[Amount]]*tbl_Ledger[[#This Row],[Rate_to_NGN]]),tbl_Ledger[[#This Row],[Amount]]*tbl_Ledger[[#This Row],[Rate_to_NGN]])</f>
        <v>54894.240000000005</v>
      </c>
      <c r="R680" s="25" t="str">
        <f>_xlfn.XLOOKUP(tbl_Ledger[[#This Row],[Account_Code]], tbl_Accounts[Account_Code], tbl_Accounts[Type])</f>
        <v>Revenue</v>
      </c>
      <c r="S680" s="25" t="str">
        <f>_xlfn.XLOOKUP(tbl_Ledger[[#This Row],[Account_Code]], tbl_Accounts[Account_Code], tbl_Accounts[PL_Bucket])</f>
        <v>Revenue</v>
      </c>
      <c r="T680" s="25">
        <f t="shared" si="10"/>
        <v>54894.240000000005</v>
      </c>
    </row>
    <row r="681" spans="1:20">
      <c r="A681" t="s">
        <v>1869</v>
      </c>
      <c r="B681" s="7">
        <v>45882</v>
      </c>
      <c r="C681" t="s">
        <v>126</v>
      </c>
      <c r="D681" t="s">
        <v>88</v>
      </c>
      <c r="E681" t="s">
        <v>132</v>
      </c>
      <c r="F681" s="12" t="s">
        <v>29</v>
      </c>
      <c r="G681" t="s">
        <v>30</v>
      </c>
      <c r="H681" t="s">
        <v>1870</v>
      </c>
      <c r="I681" t="s">
        <v>72</v>
      </c>
      <c r="J681" s="6">
        <v>32.32</v>
      </c>
      <c r="K681" t="s">
        <v>134</v>
      </c>
      <c r="L681" t="s">
        <v>1868</v>
      </c>
      <c r="M681" t="s">
        <v>3</v>
      </c>
      <c r="N681" s="25" t="str">
        <f>TEXT(tbl_Ledger[[#This Row],[Date]],"yyyy-mm")</f>
        <v>2025-08</v>
      </c>
      <c r="O681" s="25" t="str">
        <f>TEXT(tbl_Ledger[[#This Row],[Date]],"yyyy-mm") &amp; TRIM(tbl_Ledger[[#This Row],[Currency]])</f>
        <v>2025-08USD</v>
      </c>
      <c r="P681" s="25">
        <f>_xlfn.XLOOKUP(tbl_Ledger[[#This Row],[Key]], tbl_FX[Key], tbl_FX[Rate_to_NGN])</f>
        <v>1572</v>
      </c>
      <c r="Q681" s="37">
        <f>IF(tbl_Ledger[[#This Row],[Account_Type]]="Expense",-ABS(tbl_Ledger[[#This Row],[Amount]]*tbl_Ledger[[#This Row],[Rate_to_NGN]]),tbl_Ledger[[#This Row],[Amount]]*tbl_Ledger[[#This Row],[Rate_to_NGN]])</f>
        <v>50807.040000000001</v>
      </c>
      <c r="R681" s="25" t="str">
        <f>_xlfn.XLOOKUP(tbl_Ledger[[#This Row],[Account_Code]], tbl_Accounts[Account_Code], tbl_Accounts[Type])</f>
        <v>Revenue</v>
      </c>
      <c r="S681" s="25" t="str">
        <f>_xlfn.XLOOKUP(tbl_Ledger[[#This Row],[Account_Code]], tbl_Accounts[Account_Code], tbl_Accounts[PL_Bucket])</f>
        <v>Revenue</v>
      </c>
      <c r="T681" s="25">
        <f t="shared" si="10"/>
        <v>50807.040000000001</v>
      </c>
    </row>
    <row r="682" spans="1:20">
      <c r="A682" t="s">
        <v>1871</v>
      </c>
      <c r="B682" s="7">
        <v>45882</v>
      </c>
      <c r="C682" t="s">
        <v>126</v>
      </c>
      <c r="D682" t="s">
        <v>88</v>
      </c>
      <c r="E682" t="s">
        <v>136</v>
      </c>
      <c r="F682" s="12" t="s">
        <v>29</v>
      </c>
      <c r="G682" t="s">
        <v>30</v>
      </c>
      <c r="H682" t="s">
        <v>1872</v>
      </c>
      <c r="I682" t="s">
        <v>71</v>
      </c>
      <c r="J682" s="6">
        <v>54300</v>
      </c>
      <c r="K682" t="s">
        <v>138</v>
      </c>
      <c r="L682" t="s">
        <v>1868</v>
      </c>
      <c r="M682" t="s">
        <v>3</v>
      </c>
      <c r="N682" s="25" t="str">
        <f>TEXT(tbl_Ledger[[#This Row],[Date]],"yyyy-mm")</f>
        <v>2025-08</v>
      </c>
      <c r="O682" s="25" t="str">
        <f>TEXT(tbl_Ledger[[#This Row],[Date]],"yyyy-mm") &amp; TRIM(tbl_Ledger[[#This Row],[Currency]])</f>
        <v>2025-08NGN</v>
      </c>
      <c r="P682" s="25">
        <f>_xlfn.XLOOKUP(tbl_Ledger[[#This Row],[Key]], tbl_FX[Key], tbl_FX[Rate_to_NGN])</f>
        <v>1</v>
      </c>
      <c r="Q682" s="37">
        <f>IF(tbl_Ledger[[#This Row],[Account_Type]]="Expense",-ABS(tbl_Ledger[[#This Row],[Amount]]*tbl_Ledger[[#This Row],[Rate_to_NGN]]),tbl_Ledger[[#This Row],[Amount]]*tbl_Ledger[[#This Row],[Rate_to_NGN]])</f>
        <v>54300</v>
      </c>
      <c r="R682" s="25" t="str">
        <f>_xlfn.XLOOKUP(tbl_Ledger[[#This Row],[Account_Code]], tbl_Accounts[Account_Code], tbl_Accounts[Type])</f>
        <v>Revenue</v>
      </c>
      <c r="S682" s="25" t="str">
        <f>_xlfn.XLOOKUP(tbl_Ledger[[#This Row],[Account_Code]], tbl_Accounts[Account_Code], tbl_Accounts[PL_Bucket])</f>
        <v>Revenue</v>
      </c>
      <c r="T682" s="25">
        <f t="shared" si="10"/>
        <v>54300</v>
      </c>
    </row>
    <row r="683" spans="1:20">
      <c r="A683" t="s">
        <v>1873</v>
      </c>
      <c r="B683" s="7">
        <v>45882</v>
      </c>
      <c r="C683" t="s">
        <v>126</v>
      </c>
      <c r="D683" t="s">
        <v>88</v>
      </c>
      <c r="E683" t="s">
        <v>140</v>
      </c>
      <c r="F683" s="12" t="s">
        <v>29</v>
      </c>
      <c r="G683" t="s">
        <v>30</v>
      </c>
      <c r="H683" t="s">
        <v>1874</v>
      </c>
      <c r="I683" t="s">
        <v>71</v>
      </c>
      <c r="J683" s="6">
        <v>47300</v>
      </c>
      <c r="K683" t="s">
        <v>3</v>
      </c>
      <c r="L683" t="s">
        <v>1875</v>
      </c>
      <c r="M683" t="s">
        <v>3</v>
      </c>
      <c r="N683" s="25" t="str">
        <f>TEXT(tbl_Ledger[[#This Row],[Date]],"yyyy-mm")</f>
        <v>2025-08</v>
      </c>
      <c r="O683" s="25" t="str">
        <f>TEXT(tbl_Ledger[[#This Row],[Date]],"yyyy-mm") &amp; TRIM(tbl_Ledger[[#This Row],[Currency]])</f>
        <v>2025-08NGN</v>
      </c>
      <c r="P683" s="25">
        <f>_xlfn.XLOOKUP(tbl_Ledger[[#This Row],[Key]], tbl_FX[Key], tbl_FX[Rate_to_NGN])</f>
        <v>1</v>
      </c>
      <c r="Q683" s="37">
        <f>IF(tbl_Ledger[[#This Row],[Account_Type]]="Expense",-ABS(tbl_Ledger[[#This Row],[Amount]]*tbl_Ledger[[#This Row],[Rate_to_NGN]]),tbl_Ledger[[#This Row],[Amount]]*tbl_Ledger[[#This Row],[Rate_to_NGN]])</f>
        <v>47300</v>
      </c>
      <c r="R683" s="25" t="str">
        <f>_xlfn.XLOOKUP(tbl_Ledger[[#This Row],[Account_Code]], tbl_Accounts[Account_Code], tbl_Accounts[Type])</f>
        <v>Revenue</v>
      </c>
      <c r="S683" s="25" t="str">
        <f>_xlfn.XLOOKUP(tbl_Ledger[[#This Row],[Account_Code]], tbl_Accounts[Account_Code], tbl_Accounts[PL_Bucket])</f>
        <v>Revenue</v>
      </c>
      <c r="T683" s="25">
        <f t="shared" si="10"/>
        <v>47300</v>
      </c>
    </row>
    <row r="684" spans="1:20">
      <c r="A684" t="s">
        <v>1876</v>
      </c>
      <c r="B684" s="7">
        <v>45882</v>
      </c>
      <c r="C684" t="s">
        <v>87</v>
      </c>
      <c r="D684" t="s">
        <v>94</v>
      </c>
      <c r="E684" t="s">
        <v>3</v>
      </c>
      <c r="F684" s="12" t="s">
        <v>33</v>
      </c>
      <c r="G684" t="s">
        <v>34</v>
      </c>
      <c r="H684" t="s">
        <v>1630</v>
      </c>
      <c r="I684" t="s">
        <v>71</v>
      </c>
      <c r="J684" s="6">
        <v>-633000</v>
      </c>
      <c r="K684" t="s">
        <v>316</v>
      </c>
      <c r="L684" t="s">
        <v>1877</v>
      </c>
      <c r="M684" t="s">
        <v>3</v>
      </c>
      <c r="N684" s="25" t="str">
        <f>TEXT(tbl_Ledger[[#This Row],[Date]],"yyyy-mm")</f>
        <v>2025-08</v>
      </c>
      <c r="O684" s="25" t="str">
        <f>TEXT(tbl_Ledger[[#This Row],[Date]],"yyyy-mm") &amp; TRIM(tbl_Ledger[[#This Row],[Currency]])</f>
        <v>2025-08NGN</v>
      </c>
      <c r="P684" s="25">
        <f>_xlfn.XLOOKUP(tbl_Ledger[[#This Row],[Key]], tbl_FX[Key], tbl_FX[Rate_to_NGN])</f>
        <v>1</v>
      </c>
      <c r="Q684" s="37">
        <f>IF(tbl_Ledger[[#This Row],[Account_Type]]="Expense",-ABS(tbl_Ledger[[#This Row],[Amount]]*tbl_Ledger[[#This Row],[Rate_to_NGN]]),tbl_Ledger[[#This Row],[Amount]]*tbl_Ledger[[#This Row],[Rate_to_NGN]])</f>
        <v>-633000</v>
      </c>
      <c r="R684" s="25" t="str">
        <f>_xlfn.XLOOKUP(tbl_Ledger[[#This Row],[Account_Code]], tbl_Accounts[Account_Code], tbl_Accounts[Type])</f>
        <v>COGS</v>
      </c>
      <c r="S684" s="25" t="str">
        <f>_xlfn.XLOOKUP(tbl_Ledger[[#This Row],[Account_Code]], tbl_Accounts[Account_Code], tbl_Accounts[PL_Bucket])</f>
        <v>COGS</v>
      </c>
      <c r="T684" s="25">
        <f t="shared" si="10"/>
        <v>-633000</v>
      </c>
    </row>
    <row r="685" spans="1:20">
      <c r="A685" t="s">
        <v>1878</v>
      </c>
      <c r="B685" s="7">
        <v>45882</v>
      </c>
      <c r="C685" t="s">
        <v>87</v>
      </c>
      <c r="D685" t="s">
        <v>111</v>
      </c>
      <c r="E685" t="s">
        <v>3</v>
      </c>
      <c r="F685" s="12" t="s">
        <v>36</v>
      </c>
      <c r="G685" t="s">
        <v>37</v>
      </c>
      <c r="H685" t="s">
        <v>1879</v>
      </c>
      <c r="I685" t="s">
        <v>71</v>
      </c>
      <c r="J685" s="6">
        <v>-2081000</v>
      </c>
      <c r="K685" t="s">
        <v>145</v>
      </c>
      <c r="L685" t="s">
        <v>1880</v>
      </c>
      <c r="M685" t="s">
        <v>3</v>
      </c>
      <c r="N685" s="25" t="str">
        <f>TEXT(tbl_Ledger[[#This Row],[Date]],"yyyy-mm")</f>
        <v>2025-08</v>
      </c>
      <c r="O685" s="25" t="str">
        <f>TEXT(tbl_Ledger[[#This Row],[Date]],"yyyy-mm") &amp; TRIM(tbl_Ledger[[#This Row],[Currency]])</f>
        <v>2025-08NGN</v>
      </c>
      <c r="P685" s="25">
        <f>_xlfn.XLOOKUP(tbl_Ledger[[#This Row],[Key]], tbl_FX[Key], tbl_FX[Rate_to_NGN])</f>
        <v>1</v>
      </c>
      <c r="Q685" s="37">
        <f>IF(tbl_Ledger[[#This Row],[Account_Type]]="Expense",-ABS(tbl_Ledger[[#This Row],[Amount]]*tbl_Ledger[[#This Row],[Rate_to_NGN]]),tbl_Ledger[[#This Row],[Amount]]*tbl_Ledger[[#This Row],[Rate_to_NGN]])</f>
        <v>-2081000</v>
      </c>
      <c r="R685" s="25" t="str">
        <f>_xlfn.XLOOKUP(tbl_Ledger[[#This Row],[Account_Code]], tbl_Accounts[Account_Code], tbl_Accounts[Type])</f>
        <v>COGS</v>
      </c>
      <c r="S685" s="25" t="str">
        <f>_xlfn.XLOOKUP(tbl_Ledger[[#This Row],[Account_Code]], tbl_Accounts[Account_Code], tbl_Accounts[PL_Bucket])</f>
        <v>COGS</v>
      </c>
      <c r="T685" s="25">
        <f t="shared" si="10"/>
        <v>-2081000</v>
      </c>
    </row>
    <row r="686" spans="1:20">
      <c r="A686" t="s">
        <v>1881</v>
      </c>
      <c r="B686" s="7">
        <v>45882</v>
      </c>
      <c r="C686" t="s">
        <v>87</v>
      </c>
      <c r="D686" t="s">
        <v>88</v>
      </c>
      <c r="E686" t="s">
        <v>3</v>
      </c>
      <c r="F686" s="12" t="s">
        <v>40</v>
      </c>
      <c r="G686" t="s">
        <v>41</v>
      </c>
      <c r="H686" t="s">
        <v>1428</v>
      </c>
      <c r="I686" t="s">
        <v>71</v>
      </c>
      <c r="J686" s="6">
        <v>-394000</v>
      </c>
      <c r="K686" t="s">
        <v>90</v>
      </c>
      <c r="L686" t="s">
        <v>1882</v>
      </c>
      <c r="M686" t="s">
        <v>3</v>
      </c>
      <c r="N686" s="25" t="str">
        <f>TEXT(tbl_Ledger[[#This Row],[Date]],"yyyy-mm")</f>
        <v>2025-08</v>
      </c>
      <c r="O686" s="25" t="str">
        <f>TEXT(tbl_Ledger[[#This Row],[Date]],"yyyy-mm") &amp; TRIM(tbl_Ledger[[#This Row],[Currency]])</f>
        <v>2025-08NGN</v>
      </c>
      <c r="P686" s="25">
        <f>_xlfn.XLOOKUP(tbl_Ledger[[#This Row],[Key]], tbl_FX[Key], tbl_FX[Rate_to_NGN])</f>
        <v>1</v>
      </c>
      <c r="Q686" s="37">
        <f>IF(tbl_Ledger[[#This Row],[Account_Type]]="Expense",-ABS(tbl_Ledger[[#This Row],[Amount]]*tbl_Ledger[[#This Row],[Rate_to_NGN]]),tbl_Ledger[[#This Row],[Amount]]*tbl_Ledger[[#This Row],[Rate_to_NGN]])</f>
        <v>-394000</v>
      </c>
      <c r="R686" s="25" t="str">
        <f>_xlfn.XLOOKUP(tbl_Ledger[[#This Row],[Account_Code]], tbl_Accounts[Account_Code], tbl_Accounts[Type])</f>
        <v>COGS</v>
      </c>
      <c r="S686" s="25" t="str">
        <f>_xlfn.XLOOKUP(tbl_Ledger[[#This Row],[Account_Code]], tbl_Accounts[Account_Code], tbl_Accounts[PL_Bucket])</f>
        <v>COGS</v>
      </c>
      <c r="T686" s="25">
        <f t="shared" si="10"/>
        <v>-394000</v>
      </c>
    </row>
    <row r="687" spans="1:20">
      <c r="A687" t="s">
        <v>1883</v>
      </c>
      <c r="B687" s="7">
        <v>45882</v>
      </c>
      <c r="C687" t="s">
        <v>87</v>
      </c>
      <c r="D687" t="s">
        <v>88</v>
      </c>
      <c r="E687" t="s">
        <v>3</v>
      </c>
      <c r="F687" s="12" t="s">
        <v>40</v>
      </c>
      <c r="G687" t="s">
        <v>41</v>
      </c>
      <c r="H687" t="s">
        <v>1428</v>
      </c>
      <c r="I687" t="s">
        <v>71</v>
      </c>
      <c r="J687" s="6">
        <v>-632000</v>
      </c>
      <c r="K687" t="s">
        <v>90</v>
      </c>
      <c r="L687" t="s">
        <v>1884</v>
      </c>
      <c r="M687" t="s">
        <v>3</v>
      </c>
      <c r="N687" s="25" t="str">
        <f>TEXT(tbl_Ledger[[#This Row],[Date]],"yyyy-mm")</f>
        <v>2025-08</v>
      </c>
      <c r="O687" s="25" t="str">
        <f>TEXT(tbl_Ledger[[#This Row],[Date]],"yyyy-mm") &amp; TRIM(tbl_Ledger[[#This Row],[Currency]])</f>
        <v>2025-08NGN</v>
      </c>
      <c r="P687" s="25">
        <f>_xlfn.XLOOKUP(tbl_Ledger[[#This Row],[Key]], tbl_FX[Key], tbl_FX[Rate_to_NGN])</f>
        <v>1</v>
      </c>
      <c r="Q687" s="37">
        <f>IF(tbl_Ledger[[#This Row],[Account_Type]]="Expense",-ABS(tbl_Ledger[[#This Row],[Amount]]*tbl_Ledger[[#This Row],[Rate_to_NGN]]),tbl_Ledger[[#This Row],[Amount]]*tbl_Ledger[[#This Row],[Rate_to_NGN]])</f>
        <v>-632000</v>
      </c>
      <c r="R687" s="25" t="str">
        <f>_xlfn.XLOOKUP(tbl_Ledger[[#This Row],[Account_Code]], tbl_Accounts[Account_Code], tbl_Accounts[Type])</f>
        <v>COGS</v>
      </c>
      <c r="S687" s="25" t="str">
        <f>_xlfn.XLOOKUP(tbl_Ledger[[#This Row],[Account_Code]], tbl_Accounts[Account_Code], tbl_Accounts[PL_Bucket])</f>
        <v>COGS</v>
      </c>
      <c r="T687" s="25">
        <f t="shared" si="10"/>
        <v>-632000</v>
      </c>
    </row>
    <row r="688" spans="1:20">
      <c r="A688" t="s">
        <v>1885</v>
      </c>
      <c r="B688" s="7">
        <v>45883</v>
      </c>
      <c r="C688" t="s">
        <v>93</v>
      </c>
      <c r="D688" t="s">
        <v>94</v>
      </c>
      <c r="E688" t="s">
        <v>95</v>
      </c>
      <c r="F688" s="12" t="s">
        <v>24</v>
      </c>
      <c r="G688" t="s">
        <v>25</v>
      </c>
      <c r="H688" t="s">
        <v>1886</v>
      </c>
      <c r="I688" t="s">
        <v>71</v>
      </c>
      <c r="J688" s="6">
        <v>28200</v>
      </c>
      <c r="K688" t="s">
        <v>3</v>
      </c>
      <c r="L688" t="s">
        <v>1887</v>
      </c>
      <c r="M688" t="s">
        <v>3</v>
      </c>
      <c r="N688" s="25" t="str">
        <f>TEXT(tbl_Ledger[[#This Row],[Date]],"yyyy-mm")</f>
        <v>2025-08</v>
      </c>
      <c r="O688" s="25" t="str">
        <f>TEXT(tbl_Ledger[[#This Row],[Date]],"yyyy-mm") &amp; TRIM(tbl_Ledger[[#This Row],[Currency]])</f>
        <v>2025-08NGN</v>
      </c>
      <c r="P688" s="25">
        <f>_xlfn.XLOOKUP(tbl_Ledger[[#This Row],[Key]], tbl_FX[Key], tbl_FX[Rate_to_NGN])</f>
        <v>1</v>
      </c>
      <c r="Q688" s="37">
        <f>IF(tbl_Ledger[[#This Row],[Account_Type]]="Expense",-ABS(tbl_Ledger[[#This Row],[Amount]]*tbl_Ledger[[#This Row],[Rate_to_NGN]]),tbl_Ledger[[#This Row],[Amount]]*tbl_Ledger[[#This Row],[Rate_to_NGN]])</f>
        <v>28200</v>
      </c>
      <c r="R688" s="25" t="str">
        <f>_xlfn.XLOOKUP(tbl_Ledger[[#This Row],[Account_Code]], tbl_Accounts[Account_Code], tbl_Accounts[Type])</f>
        <v>Revenue</v>
      </c>
      <c r="S688" s="25" t="str">
        <f>_xlfn.XLOOKUP(tbl_Ledger[[#This Row],[Account_Code]], tbl_Accounts[Account_Code], tbl_Accounts[PL_Bucket])</f>
        <v>Revenue</v>
      </c>
      <c r="T688" s="25">
        <f t="shared" si="10"/>
        <v>28200</v>
      </c>
    </row>
    <row r="689" spans="1:20">
      <c r="A689" t="s">
        <v>1888</v>
      </c>
      <c r="B689" s="7">
        <v>45883</v>
      </c>
      <c r="C689" t="s">
        <v>93</v>
      </c>
      <c r="D689" t="s">
        <v>94</v>
      </c>
      <c r="E689" t="s">
        <v>99</v>
      </c>
      <c r="F689" s="12" t="s">
        <v>24</v>
      </c>
      <c r="G689" t="s">
        <v>25</v>
      </c>
      <c r="H689" t="s">
        <v>1889</v>
      </c>
      <c r="I689" t="s">
        <v>71</v>
      </c>
      <c r="J689" s="6">
        <v>32800</v>
      </c>
      <c r="K689" t="s">
        <v>3</v>
      </c>
      <c r="L689" t="s">
        <v>1890</v>
      </c>
      <c r="M689" t="s">
        <v>3</v>
      </c>
      <c r="N689" s="25" t="str">
        <f>TEXT(tbl_Ledger[[#This Row],[Date]],"yyyy-mm")</f>
        <v>2025-08</v>
      </c>
      <c r="O689" s="25" t="str">
        <f>TEXT(tbl_Ledger[[#This Row],[Date]],"yyyy-mm") &amp; TRIM(tbl_Ledger[[#This Row],[Currency]])</f>
        <v>2025-08NGN</v>
      </c>
      <c r="P689" s="25">
        <f>_xlfn.XLOOKUP(tbl_Ledger[[#This Row],[Key]], tbl_FX[Key], tbl_FX[Rate_to_NGN])</f>
        <v>1</v>
      </c>
      <c r="Q689" s="37">
        <f>IF(tbl_Ledger[[#This Row],[Account_Type]]="Expense",-ABS(tbl_Ledger[[#This Row],[Amount]]*tbl_Ledger[[#This Row],[Rate_to_NGN]]),tbl_Ledger[[#This Row],[Amount]]*tbl_Ledger[[#This Row],[Rate_to_NGN]])</f>
        <v>32800</v>
      </c>
      <c r="R689" s="25" t="str">
        <f>_xlfn.XLOOKUP(tbl_Ledger[[#This Row],[Account_Code]], tbl_Accounts[Account_Code], tbl_Accounts[Type])</f>
        <v>Revenue</v>
      </c>
      <c r="S689" s="25" t="str">
        <f>_xlfn.XLOOKUP(tbl_Ledger[[#This Row],[Account_Code]], tbl_Accounts[Account_Code], tbl_Accounts[PL_Bucket])</f>
        <v>Revenue</v>
      </c>
      <c r="T689" s="25">
        <f t="shared" si="10"/>
        <v>32800</v>
      </c>
    </row>
    <row r="690" spans="1:20">
      <c r="A690" t="s">
        <v>1891</v>
      </c>
      <c r="B690" s="7">
        <v>45883</v>
      </c>
      <c r="C690" t="s">
        <v>93</v>
      </c>
      <c r="D690" t="s">
        <v>94</v>
      </c>
      <c r="E690" t="s">
        <v>103</v>
      </c>
      <c r="F690" s="12" t="s">
        <v>24</v>
      </c>
      <c r="G690" t="s">
        <v>25</v>
      </c>
      <c r="H690" t="s">
        <v>1892</v>
      </c>
      <c r="I690" t="s">
        <v>71</v>
      </c>
      <c r="J690" s="6">
        <v>30900</v>
      </c>
      <c r="K690" t="s">
        <v>3</v>
      </c>
      <c r="L690" t="s">
        <v>1893</v>
      </c>
      <c r="M690" t="s">
        <v>3</v>
      </c>
      <c r="N690" s="25" t="str">
        <f>TEXT(tbl_Ledger[[#This Row],[Date]],"yyyy-mm")</f>
        <v>2025-08</v>
      </c>
      <c r="O690" s="25" t="str">
        <f>TEXT(tbl_Ledger[[#This Row],[Date]],"yyyy-mm") &amp; TRIM(tbl_Ledger[[#This Row],[Currency]])</f>
        <v>2025-08NGN</v>
      </c>
      <c r="P690" s="25">
        <f>_xlfn.XLOOKUP(tbl_Ledger[[#This Row],[Key]], tbl_FX[Key], tbl_FX[Rate_to_NGN])</f>
        <v>1</v>
      </c>
      <c r="Q690" s="37">
        <f>IF(tbl_Ledger[[#This Row],[Account_Type]]="Expense",-ABS(tbl_Ledger[[#This Row],[Amount]]*tbl_Ledger[[#This Row],[Rate_to_NGN]]),tbl_Ledger[[#This Row],[Amount]]*tbl_Ledger[[#This Row],[Rate_to_NGN]])</f>
        <v>30900</v>
      </c>
      <c r="R690" s="25" t="str">
        <f>_xlfn.XLOOKUP(tbl_Ledger[[#This Row],[Account_Code]], tbl_Accounts[Account_Code], tbl_Accounts[Type])</f>
        <v>Revenue</v>
      </c>
      <c r="S690" s="25" t="str">
        <f>_xlfn.XLOOKUP(tbl_Ledger[[#This Row],[Account_Code]], tbl_Accounts[Account_Code], tbl_Accounts[PL_Bucket])</f>
        <v>Revenue</v>
      </c>
      <c r="T690" s="25">
        <f t="shared" si="10"/>
        <v>30900</v>
      </c>
    </row>
    <row r="691" spans="1:20">
      <c r="A691" t="s">
        <v>1894</v>
      </c>
      <c r="B691" s="7">
        <v>45883</v>
      </c>
      <c r="C691" t="s">
        <v>93</v>
      </c>
      <c r="D691" t="s">
        <v>94</v>
      </c>
      <c r="E691" t="s">
        <v>160</v>
      </c>
      <c r="F691" s="12" t="s">
        <v>24</v>
      </c>
      <c r="G691" t="s">
        <v>25</v>
      </c>
      <c r="H691" t="s">
        <v>1895</v>
      </c>
      <c r="I691" t="s">
        <v>71</v>
      </c>
      <c r="J691" s="6">
        <v>27700</v>
      </c>
      <c r="K691" t="s">
        <v>3</v>
      </c>
      <c r="L691" t="s">
        <v>1893</v>
      </c>
      <c r="M691" t="s">
        <v>3</v>
      </c>
      <c r="N691" s="25" t="str">
        <f>TEXT(tbl_Ledger[[#This Row],[Date]],"yyyy-mm")</f>
        <v>2025-08</v>
      </c>
      <c r="O691" s="25" t="str">
        <f>TEXT(tbl_Ledger[[#This Row],[Date]],"yyyy-mm") &amp; TRIM(tbl_Ledger[[#This Row],[Currency]])</f>
        <v>2025-08NGN</v>
      </c>
      <c r="P691" s="25">
        <f>_xlfn.XLOOKUP(tbl_Ledger[[#This Row],[Key]], tbl_FX[Key], tbl_FX[Rate_to_NGN])</f>
        <v>1</v>
      </c>
      <c r="Q691" s="37">
        <f>IF(tbl_Ledger[[#This Row],[Account_Type]]="Expense",-ABS(tbl_Ledger[[#This Row],[Amount]]*tbl_Ledger[[#This Row],[Rate_to_NGN]]),tbl_Ledger[[#This Row],[Amount]]*tbl_Ledger[[#This Row],[Rate_to_NGN]])</f>
        <v>27700</v>
      </c>
      <c r="R691" s="25" t="str">
        <f>_xlfn.XLOOKUP(tbl_Ledger[[#This Row],[Account_Code]], tbl_Accounts[Account_Code], tbl_Accounts[Type])</f>
        <v>Revenue</v>
      </c>
      <c r="S691" s="25" t="str">
        <f>_xlfn.XLOOKUP(tbl_Ledger[[#This Row],[Account_Code]], tbl_Accounts[Account_Code], tbl_Accounts[PL_Bucket])</f>
        <v>Revenue</v>
      </c>
      <c r="T691" s="25">
        <f t="shared" si="10"/>
        <v>27700</v>
      </c>
    </row>
    <row r="692" spans="1:20">
      <c r="A692" t="s">
        <v>1896</v>
      </c>
      <c r="B692" s="7">
        <v>45883</v>
      </c>
      <c r="C692" t="s">
        <v>93</v>
      </c>
      <c r="D692" t="s">
        <v>94</v>
      </c>
      <c r="E692" t="s">
        <v>107</v>
      </c>
      <c r="F692" s="12" t="s">
        <v>24</v>
      </c>
      <c r="G692" t="s">
        <v>25</v>
      </c>
      <c r="H692" t="s">
        <v>1897</v>
      </c>
      <c r="I692" t="s">
        <v>71</v>
      </c>
      <c r="J692" s="6">
        <v>29200</v>
      </c>
      <c r="K692" t="s">
        <v>3</v>
      </c>
      <c r="L692" t="s">
        <v>1898</v>
      </c>
      <c r="M692" t="s">
        <v>3</v>
      </c>
      <c r="N692" s="25" t="str">
        <f>TEXT(tbl_Ledger[[#This Row],[Date]],"yyyy-mm")</f>
        <v>2025-08</v>
      </c>
      <c r="O692" s="25" t="str">
        <f>TEXT(tbl_Ledger[[#This Row],[Date]],"yyyy-mm") &amp; TRIM(tbl_Ledger[[#This Row],[Currency]])</f>
        <v>2025-08NGN</v>
      </c>
      <c r="P692" s="25">
        <f>_xlfn.XLOOKUP(tbl_Ledger[[#This Row],[Key]], tbl_FX[Key], tbl_FX[Rate_to_NGN])</f>
        <v>1</v>
      </c>
      <c r="Q692" s="37">
        <f>IF(tbl_Ledger[[#This Row],[Account_Type]]="Expense",-ABS(tbl_Ledger[[#This Row],[Amount]]*tbl_Ledger[[#This Row],[Rate_to_NGN]]),tbl_Ledger[[#This Row],[Amount]]*tbl_Ledger[[#This Row],[Rate_to_NGN]])</f>
        <v>29200</v>
      </c>
      <c r="R692" s="25" t="str">
        <f>_xlfn.XLOOKUP(tbl_Ledger[[#This Row],[Account_Code]], tbl_Accounts[Account_Code], tbl_Accounts[Type])</f>
        <v>Revenue</v>
      </c>
      <c r="S692" s="25" t="str">
        <f>_xlfn.XLOOKUP(tbl_Ledger[[#This Row],[Account_Code]], tbl_Accounts[Account_Code], tbl_Accounts[PL_Bucket])</f>
        <v>Revenue</v>
      </c>
      <c r="T692" s="25">
        <f t="shared" si="10"/>
        <v>29200</v>
      </c>
    </row>
    <row r="693" spans="1:20">
      <c r="A693" t="s">
        <v>1899</v>
      </c>
      <c r="B693" s="7">
        <v>45883</v>
      </c>
      <c r="C693" t="s">
        <v>93</v>
      </c>
      <c r="D693" t="s">
        <v>111</v>
      </c>
      <c r="E693" t="s">
        <v>112</v>
      </c>
      <c r="F693" s="12" t="s">
        <v>24</v>
      </c>
      <c r="G693" t="s">
        <v>25</v>
      </c>
      <c r="H693" t="s">
        <v>1900</v>
      </c>
      <c r="I693" t="s">
        <v>71</v>
      </c>
      <c r="J693" s="6">
        <v>50400</v>
      </c>
      <c r="K693" t="s">
        <v>3</v>
      </c>
      <c r="L693" t="s">
        <v>1901</v>
      </c>
      <c r="M693" t="s">
        <v>3</v>
      </c>
      <c r="N693" s="25" t="str">
        <f>TEXT(tbl_Ledger[[#This Row],[Date]],"yyyy-mm")</f>
        <v>2025-08</v>
      </c>
      <c r="O693" s="25" t="str">
        <f>TEXT(tbl_Ledger[[#This Row],[Date]],"yyyy-mm") &amp; TRIM(tbl_Ledger[[#This Row],[Currency]])</f>
        <v>2025-08NGN</v>
      </c>
      <c r="P693" s="25">
        <f>_xlfn.XLOOKUP(tbl_Ledger[[#This Row],[Key]], tbl_FX[Key], tbl_FX[Rate_to_NGN])</f>
        <v>1</v>
      </c>
      <c r="Q693" s="37">
        <f>IF(tbl_Ledger[[#This Row],[Account_Type]]="Expense",-ABS(tbl_Ledger[[#This Row],[Amount]]*tbl_Ledger[[#This Row],[Rate_to_NGN]]),tbl_Ledger[[#This Row],[Amount]]*tbl_Ledger[[#This Row],[Rate_to_NGN]])</f>
        <v>50400</v>
      </c>
      <c r="R693" s="25" t="str">
        <f>_xlfn.XLOOKUP(tbl_Ledger[[#This Row],[Account_Code]], tbl_Accounts[Account_Code], tbl_Accounts[Type])</f>
        <v>Revenue</v>
      </c>
      <c r="S693" s="25" t="str">
        <f>_xlfn.XLOOKUP(tbl_Ledger[[#This Row],[Account_Code]], tbl_Accounts[Account_Code], tbl_Accounts[PL_Bucket])</f>
        <v>Revenue</v>
      </c>
      <c r="T693" s="25">
        <f t="shared" si="10"/>
        <v>50400</v>
      </c>
    </row>
    <row r="694" spans="1:20">
      <c r="A694" t="s">
        <v>1902</v>
      </c>
      <c r="B694" s="7">
        <v>45883</v>
      </c>
      <c r="C694" t="s">
        <v>93</v>
      </c>
      <c r="D694" t="s">
        <v>111</v>
      </c>
      <c r="E694" t="s">
        <v>116</v>
      </c>
      <c r="F694" s="12" t="s">
        <v>24</v>
      </c>
      <c r="G694" t="s">
        <v>25</v>
      </c>
      <c r="H694" t="s">
        <v>1903</v>
      </c>
      <c r="I694" t="s">
        <v>71</v>
      </c>
      <c r="J694" s="6">
        <v>48900</v>
      </c>
      <c r="K694" t="s">
        <v>3</v>
      </c>
      <c r="L694" t="s">
        <v>1901</v>
      </c>
      <c r="M694" t="s">
        <v>3</v>
      </c>
      <c r="N694" s="25" t="str">
        <f>TEXT(tbl_Ledger[[#This Row],[Date]],"yyyy-mm")</f>
        <v>2025-08</v>
      </c>
      <c r="O694" s="25" t="str">
        <f>TEXT(tbl_Ledger[[#This Row],[Date]],"yyyy-mm") &amp; TRIM(tbl_Ledger[[#This Row],[Currency]])</f>
        <v>2025-08NGN</v>
      </c>
      <c r="P694" s="25">
        <f>_xlfn.XLOOKUP(tbl_Ledger[[#This Row],[Key]], tbl_FX[Key], tbl_FX[Rate_to_NGN])</f>
        <v>1</v>
      </c>
      <c r="Q694" s="37">
        <f>IF(tbl_Ledger[[#This Row],[Account_Type]]="Expense",-ABS(tbl_Ledger[[#This Row],[Amount]]*tbl_Ledger[[#This Row],[Rate_to_NGN]]),tbl_Ledger[[#This Row],[Amount]]*tbl_Ledger[[#This Row],[Rate_to_NGN]])</f>
        <v>48900</v>
      </c>
      <c r="R694" s="25" t="str">
        <f>_xlfn.XLOOKUP(tbl_Ledger[[#This Row],[Account_Code]], tbl_Accounts[Account_Code], tbl_Accounts[Type])</f>
        <v>Revenue</v>
      </c>
      <c r="S694" s="25" t="str">
        <f>_xlfn.XLOOKUP(tbl_Ledger[[#This Row],[Account_Code]], tbl_Accounts[Account_Code], tbl_Accounts[PL_Bucket])</f>
        <v>Revenue</v>
      </c>
      <c r="T694" s="25">
        <f t="shared" si="10"/>
        <v>48900</v>
      </c>
    </row>
    <row r="695" spans="1:20">
      <c r="A695" t="s">
        <v>1904</v>
      </c>
      <c r="B695" s="7">
        <v>45883</v>
      </c>
      <c r="C695" t="s">
        <v>93</v>
      </c>
      <c r="D695" t="s">
        <v>111</v>
      </c>
      <c r="E695" t="s">
        <v>119</v>
      </c>
      <c r="F695" s="12" t="s">
        <v>24</v>
      </c>
      <c r="G695" t="s">
        <v>25</v>
      </c>
      <c r="H695" t="s">
        <v>1905</v>
      </c>
      <c r="I695" t="s">
        <v>71</v>
      </c>
      <c r="J695" s="6">
        <v>48400</v>
      </c>
      <c r="K695" t="s">
        <v>3</v>
      </c>
      <c r="L695" t="s">
        <v>1901</v>
      </c>
      <c r="M695" t="s">
        <v>3</v>
      </c>
      <c r="N695" s="25" t="str">
        <f>TEXT(tbl_Ledger[[#This Row],[Date]],"yyyy-mm")</f>
        <v>2025-08</v>
      </c>
      <c r="O695" s="25" t="str">
        <f>TEXT(tbl_Ledger[[#This Row],[Date]],"yyyy-mm") &amp; TRIM(tbl_Ledger[[#This Row],[Currency]])</f>
        <v>2025-08NGN</v>
      </c>
      <c r="P695" s="25">
        <f>_xlfn.XLOOKUP(tbl_Ledger[[#This Row],[Key]], tbl_FX[Key], tbl_FX[Rate_to_NGN])</f>
        <v>1</v>
      </c>
      <c r="Q695" s="37">
        <f>IF(tbl_Ledger[[#This Row],[Account_Type]]="Expense",-ABS(tbl_Ledger[[#This Row],[Amount]]*tbl_Ledger[[#This Row],[Rate_to_NGN]]),tbl_Ledger[[#This Row],[Amount]]*tbl_Ledger[[#This Row],[Rate_to_NGN]])</f>
        <v>48400</v>
      </c>
      <c r="R695" s="25" t="str">
        <f>_xlfn.XLOOKUP(tbl_Ledger[[#This Row],[Account_Code]], tbl_Accounts[Account_Code], tbl_Accounts[Type])</f>
        <v>Revenue</v>
      </c>
      <c r="S695" s="25" t="str">
        <f>_xlfn.XLOOKUP(tbl_Ledger[[#This Row],[Account_Code]], tbl_Accounts[Account_Code], tbl_Accounts[PL_Bucket])</f>
        <v>Revenue</v>
      </c>
      <c r="T695" s="25">
        <f t="shared" si="10"/>
        <v>48400</v>
      </c>
    </row>
    <row r="696" spans="1:20">
      <c r="A696" t="s">
        <v>1906</v>
      </c>
      <c r="B696" s="7">
        <v>45883</v>
      </c>
      <c r="C696" t="s">
        <v>93</v>
      </c>
      <c r="D696" t="s">
        <v>111</v>
      </c>
      <c r="E696" t="s">
        <v>170</v>
      </c>
      <c r="F696" s="12" t="s">
        <v>24</v>
      </c>
      <c r="G696" t="s">
        <v>25</v>
      </c>
      <c r="H696" t="s">
        <v>1907</v>
      </c>
      <c r="I696" t="s">
        <v>71</v>
      </c>
      <c r="J696" s="6">
        <v>51500</v>
      </c>
      <c r="K696" t="s">
        <v>3</v>
      </c>
      <c r="L696" t="s">
        <v>1901</v>
      </c>
      <c r="M696" t="s">
        <v>3</v>
      </c>
      <c r="N696" s="25" t="str">
        <f>TEXT(tbl_Ledger[[#This Row],[Date]],"yyyy-mm")</f>
        <v>2025-08</v>
      </c>
      <c r="O696" s="25" t="str">
        <f>TEXT(tbl_Ledger[[#This Row],[Date]],"yyyy-mm") &amp; TRIM(tbl_Ledger[[#This Row],[Currency]])</f>
        <v>2025-08NGN</v>
      </c>
      <c r="P696" s="25">
        <f>_xlfn.XLOOKUP(tbl_Ledger[[#This Row],[Key]], tbl_FX[Key], tbl_FX[Rate_to_NGN])</f>
        <v>1</v>
      </c>
      <c r="Q696" s="37">
        <f>IF(tbl_Ledger[[#This Row],[Account_Type]]="Expense",-ABS(tbl_Ledger[[#This Row],[Amount]]*tbl_Ledger[[#This Row],[Rate_to_NGN]]),tbl_Ledger[[#This Row],[Amount]]*tbl_Ledger[[#This Row],[Rate_to_NGN]])</f>
        <v>51500</v>
      </c>
      <c r="R696" s="25" t="str">
        <f>_xlfn.XLOOKUP(tbl_Ledger[[#This Row],[Account_Code]], tbl_Accounts[Account_Code], tbl_Accounts[Type])</f>
        <v>Revenue</v>
      </c>
      <c r="S696" s="25" t="str">
        <f>_xlfn.XLOOKUP(tbl_Ledger[[#This Row],[Account_Code]], tbl_Accounts[Account_Code], tbl_Accounts[PL_Bucket])</f>
        <v>Revenue</v>
      </c>
      <c r="T696" s="25">
        <f t="shared" si="10"/>
        <v>51500</v>
      </c>
    </row>
    <row r="697" spans="1:20">
      <c r="A697" t="s">
        <v>1908</v>
      </c>
      <c r="B697" s="7">
        <v>45883</v>
      </c>
      <c r="C697" t="s">
        <v>93</v>
      </c>
      <c r="D697" t="s">
        <v>111</v>
      </c>
      <c r="E697" t="s">
        <v>122</v>
      </c>
      <c r="F697" s="12" t="s">
        <v>24</v>
      </c>
      <c r="G697" t="s">
        <v>25</v>
      </c>
      <c r="H697" t="s">
        <v>1909</v>
      </c>
      <c r="I697" t="s">
        <v>71</v>
      </c>
      <c r="J697" s="6">
        <v>52100</v>
      </c>
      <c r="K697" t="s">
        <v>3</v>
      </c>
      <c r="L697" t="s">
        <v>1910</v>
      </c>
      <c r="M697" t="s">
        <v>3</v>
      </c>
      <c r="N697" s="25" t="str">
        <f>TEXT(tbl_Ledger[[#This Row],[Date]],"yyyy-mm")</f>
        <v>2025-08</v>
      </c>
      <c r="O697" s="25" t="str">
        <f>TEXT(tbl_Ledger[[#This Row],[Date]],"yyyy-mm") &amp; TRIM(tbl_Ledger[[#This Row],[Currency]])</f>
        <v>2025-08NGN</v>
      </c>
      <c r="P697" s="25">
        <f>_xlfn.XLOOKUP(tbl_Ledger[[#This Row],[Key]], tbl_FX[Key], tbl_FX[Rate_to_NGN])</f>
        <v>1</v>
      </c>
      <c r="Q697" s="37">
        <f>IF(tbl_Ledger[[#This Row],[Account_Type]]="Expense",-ABS(tbl_Ledger[[#This Row],[Amount]]*tbl_Ledger[[#This Row],[Rate_to_NGN]]),tbl_Ledger[[#This Row],[Amount]]*tbl_Ledger[[#This Row],[Rate_to_NGN]])</f>
        <v>52100</v>
      </c>
      <c r="R697" s="25" t="str">
        <f>_xlfn.XLOOKUP(tbl_Ledger[[#This Row],[Account_Code]], tbl_Accounts[Account_Code], tbl_Accounts[Type])</f>
        <v>Revenue</v>
      </c>
      <c r="S697" s="25" t="str">
        <f>_xlfn.XLOOKUP(tbl_Ledger[[#This Row],[Account_Code]], tbl_Accounts[Account_Code], tbl_Accounts[PL_Bucket])</f>
        <v>Revenue</v>
      </c>
      <c r="T697" s="25">
        <f t="shared" si="10"/>
        <v>52100</v>
      </c>
    </row>
    <row r="698" spans="1:20">
      <c r="A698" t="s">
        <v>1911</v>
      </c>
      <c r="B698" s="7">
        <v>45883</v>
      </c>
      <c r="C698" t="s">
        <v>126</v>
      </c>
      <c r="D698" t="s">
        <v>88</v>
      </c>
      <c r="E698" t="s">
        <v>127</v>
      </c>
      <c r="F698" s="12" t="s">
        <v>29</v>
      </c>
      <c r="G698" t="s">
        <v>30</v>
      </c>
      <c r="H698" t="s">
        <v>1912</v>
      </c>
      <c r="I698" t="s">
        <v>71</v>
      </c>
      <c r="J698" s="6">
        <v>50200</v>
      </c>
      <c r="K698" t="s">
        <v>129</v>
      </c>
      <c r="L698" t="s">
        <v>1913</v>
      </c>
      <c r="M698" t="s">
        <v>3</v>
      </c>
      <c r="N698" s="25" t="str">
        <f>TEXT(tbl_Ledger[[#This Row],[Date]],"yyyy-mm")</f>
        <v>2025-08</v>
      </c>
      <c r="O698" s="25" t="str">
        <f>TEXT(tbl_Ledger[[#This Row],[Date]],"yyyy-mm") &amp; TRIM(tbl_Ledger[[#This Row],[Currency]])</f>
        <v>2025-08NGN</v>
      </c>
      <c r="P698" s="25">
        <f>_xlfn.XLOOKUP(tbl_Ledger[[#This Row],[Key]], tbl_FX[Key], tbl_FX[Rate_to_NGN])</f>
        <v>1</v>
      </c>
      <c r="Q698" s="37">
        <f>IF(tbl_Ledger[[#This Row],[Account_Type]]="Expense",-ABS(tbl_Ledger[[#This Row],[Amount]]*tbl_Ledger[[#This Row],[Rate_to_NGN]]),tbl_Ledger[[#This Row],[Amount]]*tbl_Ledger[[#This Row],[Rate_to_NGN]])</f>
        <v>50200</v>
      </c>
      <c r="R698" s="25" t="str">
        <f>_xlfn.XLOOKUP(tbl_Ledger[[#This Row],[Account_Code]], tbl_Accounts[Account_Code], tbl_Accounts[Type])</f>
        <v>Revenue</v>
      </c>
      <c r="S698" s="25" t="str">
        <f>_xlfn.XLOOKUP(tbl_Ledger[[#This Row],[Account_Code]], tbl_Accounts[Account_Code], tbl_Accounts[PL_Bucket])</f>
        <v>Revenue</v>
      </c>
      <c r="T698" s="25">
        <f t="shared" si="10"/>
        <v>50200</v>
      </c>
    </row>
    <row r="699" spans="1:20">
      <c r="A699" t="s">
        <v>1914</v>
      </c>
      <c r="B699" s="7">
        <v>45883</v>
      </c>
      <c r="C699" t="s">
        <v>126</v>
      </c>
      <c r="D699" t="s">
        <v>88</v>
      </c>
      <c r="E699" t="s">
        <v>132</v>
      </c>
      <c r="F699" s="12" t="s">
        <v>29</v>
      </c>
      <c r="G699" t="s">
        <v>30</v>
      </c>
      <c r="H699" t="s">
        <v>1915</v>
      </c>
      <c r="I699" t="s">
        <v>72</v>
      </c>
      <c r="J699" s="6">
        <v>29.33</v>
      </c>
      <c r="K699" t="s">
        <v>134</v>
      </c>
      <c r="L699" t="s">
        <v>1913</v>
      </c>
      <c r="M699" t="s">
        <v>3</v>
      </c>
      <c r="N699" s="25" t="str">
        <f>TEXT(tbl_Ledger[[#This Row],[Date]],"yyyy-mm")</f>
        <v>2025-08</v>
      </c>
      <c r="O699" s="25" t="str">
        <f>TEXT(tbl_Ledger[[#This Row],[Date]],"yyyy-mm") &amp; TRIM(tbl_Ledger[[#This Row],[Currency]])</f>
        <v>2025-08USD</v>
      </c>
      <c r="P699" s="25">
        <f>_xlfn.XLOOKUP(tbl_Ledger[[#This Row],[Key]], tbl_FX[Key], tbl_FX[Rate_to_NGN])</f>
        <v>1572</v>
      </c>
      <c r="Q699" s="37">
        <f>IF(tbl_Ledger[[#This Row],[Account_Type]]="Expense",-ABS(tbl_Ledger[[#This Row],[Amount]]*tbl_Ledger[[#This Row],[Rate_to_NGN]]),tbl_Ledger[[#This Row],[Amount]]*tbl_Ledger[[#This Row],[Rate_to_NGN]])</f>
        <v>46106.759999999995</v>
      </c>
      <c r="R699" s="25" t="str">
        <f>_xlfn.XLOOKUP(tbl_Ledger[[#This Row],[Account_Code]], tbl_Accounts[Account_Code], tbl_Accounts[Type])</f>
        <v>Revenue</v>
      </c>
      <c r="S699" s="25" t="str">
        <f>_xlfn.XLOOKUP(tbl_Ledger[[#This Row],[Account_Code]], tbl_Accounts[Account_Code], tbl_Accounts[PL_Bucket])</f>
        <v>Revenue</v>
      </c>
      <c r="T699" s="25">
        <f t="shared" si="10"/>
        <v>46106.759999999995</v>
      </c>
    </row>
    <row r="700" spans="1:20">
      <c r="A700" t="s">
        <v>1916</v>
      </c>
      <c r="B700" s="7">
        <v>45883</v>
      </c>
      <c r="C700" t="s">
        <v>126</v>
      </c>
      <c r="D700" t="s">
        <v>88</v>
      </c>
      <c r="E700" t="s">
        <v>136</v>
      </c>
      <c r="F700" s="12" t="s">
        <v>29</v>
      </c>
      <c r="G700" t="s">
        <v>30</v>
      </c>
      <c r="H700" t="s">
        <v>1917</v>
      </c>
      <c r="I700" t="s">
        <v>72</v>
      </c>
      <c r="J700" s="6">
        <v>34.1</v>
      </c>
      <c r="K700" t="s">
        <v>138</v>
      </c>
      <c r="L700" t="s">
        <v>1913</v>
      </c>
      <c r="M700" t="s">
        <v>3</v>
      </c>
      <c r="N700" s="25" t="str">
        <f>TEXT(tbl_Ledger[[#This Row],[Date]],"yyyy-mm")</f>
        <v>2025-08</v>
      </c>
      <c r="O700" s="25" t="str">
        <f>TEXT(tbl_Ledger[[#This Row],[Date]],"yyyy-mm") &amp; TRIM(tbl_Ledger[[#This Row],[Currency]])</f>
        <v>2025-08USD</v>
      </c>
      <c r="P700" s="25">
        <f>_xlfn.XLOOKUP(tbl_Ledger[[#This Row],[Key]], tbl_FX[Key], tbl_FX[Rate_to_NGN])</f>
        <v>1572</v>
      </c>
      <c r="Q700" s="37">
        <f>IF(tbl_Ledger[[#This Row],[Account_Type]]="Expense",-ABS(tbl_Ledger[[#This Row],[Amount]]*tbl_Ledger[[#This Row],[Rate_to_NGN]]),tbl_Ledger[[#This Row],[Amount]]*tbl_Ledger[[#This Row],[Rate_to_NGN]])</f>
        <v>53605.200000000004</v>
      </c>
      <c r="R700" s="25" t="str">
        <f>_xlfn.XLOOKUP(tbl_Ledger[[#This Row],[Account_Code]], tbl_Accounts[Account_Code], tbl_Accounts[Type])</f>
        <v>Revenue</v>
      </c>
      <c r="S700" s="25" t="str">
        <f>_xlfn.XLOOKUP(tbl_Ledger[[#This Row],[Account_Code]], tbl_Accounts[Account_Code], tbl_Accounts[PL_Bucket])</f>
        <v>Revenue</v>
      </c>
      <c r="T700" s="25">
        <f t="shared" si="10"/>
        <v>53605.200000000004</v>
      </c>
    </row>
    <row r="701" spans="1:20">
      <c r="A701" t="s">
        <v>1918</v>
      </c>
      <c r="B701" s="7">
        <v>45883</v>
      </c>
      <c r="C701" t="s">
        <v>126</v>
      </c>
      <c r="D701" t="s">
        <v>88</v>
      </c>
      <c r="E701" t="s">
        <v>140</v>
      </c>
      <c r="F701" s="12" t="s">
        <v>29</v>
      </c>
      <c r="G701" t="s">
        <v>30</v>
      </c>
      <c r="H701" t="s">
        <v>1919</v>
      </c>
      <c r="I701" t="s">
        <v>71</v>
      </c>
      <c r="J701" s="6">
        <v>47400</v>
      </c>
      <c r="K701" t="s">
        <v>3</v>
      </c>
      <c r="L701" t="s">
        <v>1920</v>
      </c>
      <c r="M701" t="s">
        <v>3</v>
      </c>
      <c r="N701" s="25" t="str">
        <f>TEXT(tbl_Ledger[[#This Row],[Date]],"yyyy-mm")</f>
        <v>2025-08</v>
      </c>
      <c r="O701" s="25" t="str">
        <f>TEXT(tbl_Ledger[[#This Row],[Date]],"yyyy-mm") &amp; TRIM(tbl_Ledger[[#This Row],[Currency]])</f>
        <v>2025-08NGN</v>
      </c>
      <c r="P701" s="25">
        <f>_xlfn.XLOOKUP(tbl_Ledger[[#This Row],[Key]], tbl_FX[Key], tbl_FX[Rate_to_NGN])</f>
        <v>1</v>
      </c>
      <c r="Q701" s="37">
        <f>IF(tbl_Ledger[[#This Row],[Account_Type]]="Expense",-ABS(tbl_Ledger[[#This Row],[Amount]]*tbl_Ledger[[#This Row],[Rate_to_NGN]]),tbl_Ledger[[#This Row],[Amount]]*tbl_Ledger[[#This Row],[Rate_to_NGN]])</f>
        <v>47400</v>
      </c>
      <c r="R701" s="25" t="str">
        <f>_xlfn.XLOOKUP(tbl_Ledger[[#This Row],[Account_Code]], tbl_Accounts[Account_Code], tbl_Accounts[Type])</f>
        <v>Revenue</v>
      </c>
      <c r="S701" s="25" t="str">
        <f>_xlfn.XLOOKUP(tbl_Ledger[[#This Row],[Account_Code]], tbl_Accounts[Account_Code], tbl_Accounts[PL_Bucket])</f>
        <v>Revenue</v>
      </c>
      <c r="T701" s="25">
        <f t="shared" si="10"/>
        <v>47400</v>
      </c>
    </row>
    <row r="702" spans="1:20">
      <c r="A702" t="s">
        <v>1921</v>
      </c>
      <c r="B702" s="7">
        <v>45883</v>
      </c>
      <c r="C702" t="s">
        <v>87</v>
      </c>
      <c r="D702" t="s">
        <v>111</v>
      </c>
      <c r="E702" t="s">
        <v>3</v>
      </c>
      <c r="F702" s="12" t="s">
        <v>36</v>
      </c>
      <c r="G702" t="s">
        <v>37</v>
      </c>
      <c r="H702" t="s">
        <v>1593</v>
      </c>
      <c r="I702" t="s">
        <v>71</v>
      </c>
      <c r="J702" s="6">
        <v>-1435000</v>
      </c>
      <c r="K702" t="s">
        <v>987</v>
      </c>
      <c r="L702" t="s">
        <v>1922</v>
      </c>
      <c r="M702" t="s">
        <v>3</v>
      </c>
      <c r="N702" s="25" t="str">
        <f>TEXT(tbl_Ledger[[#This Row],[Date]],"yyyy-mm")</f>
        <v>2025-08</v>
      </c>
      <c r="O702" s="25" t="str">
        <f>TEXT(tbl_Ledger[[#This Row],[Date]],"yyyy-mm") &amp; TRIM(tbl_Ledger[[#This Row],[Currency]])</f>
        <v>2025-08NGN</v>
      </c>
      <c r="P702" s="25">
        <f>_xlfn.XLOOKUP(tbl_Ledger[[#This Row],[Key]], tbl_FX[Key], tbl_FX[Rate_to_NGN])</f>
        <v>1</v>
      </c>
      <c r="Q702" s="37">
        <f>IF(tbl_Ledger[[#This Row],[Account_Type]]="Expense",-ABS(tbl_Ledger[[#This Row],[Amount]]*tbl_Ledger[[#This Row],[Rate_to_NGN]]),tbl_Ledger[[#This Row],[Amount]]*tbl_Ledger[[#This Row],[Rate_to_NGN]])</f>
        <v>-1435000</v>
      </c>
      <c r="R702" s="25" t="str">
        <f>_xlfn.XLOOKUP(tbl_Ledger[[#This Row],[Account_Code]], tbl_Accounts[Account_Code], tbl_Accounts[Type])</f>
        <v>COGS</v>
      </c>
      <c r="S702" s="25" t="str">
        <f>_xlfn.XLOOKUP(tbl_Ledger[[#This Row],[Account_Code]], tbl_Accounts[Account_Code], tbl_Accounts[PL_Bucket])</f>
        <v>COGS</v>
      </c>
      <c r="T702" s="25">
        <f t="shared" si="10"/>
        <v>-1435000</v>
      </c>
    </row>
    <row r="703" spans="1:20">
      <c r="A703" t="s">
        <v>1923</v>
      </c>
      <c r="B703" s="7">
        <v>45883</v>
      </c>
      <c r="C703" t="s">
        <v>87</v>
      </c>
      <c r="D703" t="s">
        <v>88</v>
      </c>
      <c r="E703" t="s">
        <v>3</v>
      </c>
      <c r="F703" s="12" t="s">
        <v>40</v>
      </c>
      <c r="G703" t="s">
        <v>41</v>
      </c>
      <c r="H703" t="s">
        <v>1471</v>
      </c>
      <c r="I703" t="s">
        <v>71</v>
      </c>
      <c r="J703" s="6">
        <v>-163000</v>
      </c>
      <c r="K703" t="s">
        <v>280</v>
      </c>
      <c r="L703" t="s">
        <v>1924</v>
      </c>
      <c r="M703" t="s">
        <v>3</v>
      </c>
      <c r="N703" s="25" t="str">
        <f>TEXT(tbl_Ledger[[#This Row],[Date]],"yyyy-mm")</f>
        <v>2025-08</v>
      </c>
      <c r="O703" s="25" t="str">
        <f>TEXT(tbl_Ledger[[#This Row],[Date]],"yyyy-mm") &amp; TRIM(tbl_Ledger[[#This Row],[Currency]])</f>
        <v>2025-08NGN</v>
      </c>
      <c r="P703" s="25">
        <f>_xlfn.XLOOKUP(tbl_Ledger[[#This Row],[Key]], tbl_FX[Key], tbl_FX[Rate_to_NGN])</f>
        <v>1</v>
      </c>
      <c r="Q703" s="37">
        <f>IF(tbl_Ledger[[#This Row],[Account_Type]]="Expense",-ABS(tbl_Ledger[[#This Row],[Amount]]*tbl_Ledger[[#This Row],[Rate_to_NGN]]),tbl_Ledger[[#This Row],[Amount]]*tbl_Ledger[[#This Row],[Rate_to_NGN]])</f>
        <v>-163000</v>
      </c>
      <c r="R703" s="25" t="str">
        <f>_xlfn.XLOOKUP(tbl_Ledger[[#This Row],[Account_Code]], tbl_Accounts[Account_Code], tbl_Accounts[Type])</f>
        <v>COGS</v>
      </c>
      <c r="S703" s="25" t="str">
        <f>_xlfn.XLOOKUP(tbl_Ledger[[#This Row],[Account_Code]], tbl_Accounts[Account_Code], tbl_Accounts[PL_Bucket])</f>
        <v>COGS</v>
      </c>
      <c r="T703" s="25">
        <f t="shared" si="10"/>
        <v>-163000</v>
      </c>
    </row>
    <row r="704" spans="1:20">
      <c r="A704" t="s">
        <v>1925</v>
      </c>
      <c r="B704" s="7">
        <v>45884</v>
      </c>
      <c r="C704" t="s">
        <v>93</v>
      </c>
      <c r="D704" t="s">
        <v>94</v>
      </c>
      <c r="E704" t="s">
        <v>99</v>
      </c>
      <c r="F704" s="12" t="s">
        <v>24</v>
      </c>
      <c r="G704" t="s">
        <v>25</v>
      </c>
      <c r="H704" t="s">
        <v>1926</v>
      </c>
      <c r="I704" t="s">
        <v>71</v>
      </c>
      <c r="J704" s="6">
        <v>32000</v>
      </c>
      <c r="K704" t="s">
        <v>3</v>
      </c>
      <c r="L704" t="s">
        <v>1927</v>
      </c>
      <c r="M704" t="s">
        <v>3</v>
      </c>
      <c r="N704" s="25" t="str">
        <f>TEXT(tbl_Ledger[[#This Row],[Date]],"yyyy-mm")</f>
        <v>2025-08</v>
      </c>
      <c r="O704" s="25" t="str">
        <f>TEXT(tbl_Ledger[[#This Row],[Date]],"yyyy-mm") &amp; TRIM(tbl_Ledger[[#This Row],[Currency]])</f>
        <v>2025-08NGN</v>
      </c>
      <c r="P704" s="25">
        <f>_xlfn.XLOOKUP(tbl_Ledger[[#This Row],[Key]], tbl_FX[Key], tbl_FX[Rate_to_NGN])</f>
        <v>1</v>
      </c>
      <c r="Q704" s="37">
        <f>IF(tbl_Ledger[[#This Row],[Account_Type]]="Expense",-ABS(tbl_Ledger[[#This Row],[Amount]]*tbl_Ledger[[#This Row],[Rate_to_NGN]]),tbl_Ledger[[#This Row],[Amount]]*tbl_Ledger[[#This Row],[Rate_to_NGN]])</f>
        <v>32000</v>
      </c>
      <c r="R704" s="25" t="str">
        <f>_xlfn.XLOOKUP(tbl_Ledger[[#This Row],[Account_Code]], tbl_Accounts[Account_Code], tbl_Accounts[Type])</f>
        <v>Revenue</v>
      </c>
      <c r="S704" s="25" t="str">
        <f>_xlfn.XLOOKUP(tbl_Ledger[[#This Row],[Account_Code]], tbl_Accounts[Account_Code], tbl_Accounts[PL_Bucket])</f>
        <v>Revenue</v>
      </c>
      <c r="T704" s="25">
        <f t="shared" si="10"/>
        <v>32000</v>
      </c>
    </row>
    <row r="705" spans="1:20">
      <c r="A705" t="s">
        <v>1928</v>
      </c>
      <c r="B705" s="7">
        <v>45884</v>
      </c>
      <c r="C705" t="s">
        <v>93</v>
      </c>
      <c r="D705" t="s">
        <v>94</v>
      </c>
      <c r="E705" t="s">
        <v>103</v>
      </c>
      <c r="F705" s="12" t="s">
        <v>24</v>
      </c>
      <c r="G705" t="s">
        <v>25</v>
      </c>
      <c r="H705" t="s">
        <v>1929</v>
      </c>
      <c r="I705" t="s">
        <v>71</v>
      </c>
      <c r="J705" s="6">
        <v>32300</v>
      </c>
      <c r="K705" t="s">
        <v>3</v>
      </c>
      <c r="L705" t="s">
        <v>1930</v>
      </c>
      <c r="M705" t="s">
        <v>3</v>
      </c>
      <c r="N705" s="25" t="str">
        <f>TEXT(tbl_Ledger[[#This Row],[Date]],"yyyy-mm")</f>
        <v>2025-08</v>
      </c>
      <c r="O705" s="25" t="str">
        <f>TEXT(tbl_Ledger[[#This Row],[Date]],"yyyy-mm") &amp; TRIM(tbl_Ledger[[#This Row],[Currency]])</f>
        <v>2025-08NGN</v>
      </c>
      <c r="P705" s="25">
        <f>_xlfn.XLOOKUP(tbl_Ledger[[#This Row],[Key]], tbl_FX[Key], tbl_FX[Rate_to_NGN])</f>
        <v>1</v>
      </c>
      <c r="Q705" s="37">
        <f>IF(tbl_Ledger[[#This Row],[Account_Type]]="Expense",-ABS(tbl_Ledger[[#This Row],[Amount]]*tbl_Ledger[[#This Row],[Rate_to_NGN]]),tbl_Ledger[[#This Row],[Amount]]*tbl_Ledger[[#This Row],[Rate_to_NGN]])</f>
        <v>32300</v>
      </c>
      <c r="R705" s="25" t="str">
        <f>_xlfn.XLOOKUP(tbl_Ledger[[#This Row],[Account_Code]], tbl_Accounts[Account_Code], tbl_Accounts[Type])</f>
        <v>Revenue</v>
      </c>
      <c r="S705" s="25" t="str">
        <f>_xlfn.XLOOKUP(tbl_Ledger[[#This Row],[Account_Code]], tbl_Accounts[Account_Code], tbl_Accounts[PL_Bucket])</f>
        <v>Revenue</v>
      </c>
      <c r="T705" s="25">
        <f t="shared" si="10"/>
        <v>32300</v>
      </c>
    </row>
    <row r="706" spans="1:20">
      <c r="A706" t="s">
        <v>1931</v>
      </c>
      <c r="B706" s="7">
        <v>45884</v>
      </c>
      <c r="C706" t="s">
        <v>93</v>
      </c>
      <c r="D706" t="s">
        <v>94</v>
      </c>
      <c r="E706" t="s">
        <v>160</v>
      </c>
      <c r="F706" s="12" t="s">
        <v>24</v>
      </c>
      <c r="G706" t="s">
        <v>25</v>
      </c>
      <c r="H706" t="s">
        <v>1932</v>
      </c>
      <c r="I706" t="s">
        <v>71</v>
      </c>
      <c r="J706" s="6">
        <v>32300</v>
      </c>
      <c r="K706" t="s">
        <v>3</v>
      </c>
      <c r="L706" t="s">
        <v>1930</v>
      </c>
      <c r="M706" t="s">
        <v>3</v>
      </c>
      <c r="N706" s="25" t="str">
        <f>TEXT(tbl_Ledger[[#This Row],[Date]],"yyyy-mm")</f>
        <v>2025-08</v>
      </c>
      <c r="O706" s="25" t="str">
        <f>TEXT(tbl_Ledger[[#This Row],[Date]],"yyyy-mm") &amp; TRIM(tbl_Ledger[[#This Row],[Currency]])</f>
        <v>2025-08NGN</v>
      </c>
      <c r="P706" s="25">
        <f>_xlfn.XLOOKUP(tbl_Ledger[[#This Row],[Key]], tbl_FX[Key], tbl_FX[Rate_to_NGN])</f>
        <v>1</v>
      </c>
      <c r="Q706" s="37">
        <f>IF(tbl_Ledger[[#This Row],[Account_Type]]="Expense",-ABS(tbl_Ledger[[#This Row],[Amount]]*tbl_Ledger[[#This Row],[Rate_to_NGN]]),tbl_Ledger[[#This Row],[Amount]]*tbl_Ledger[[#This Row],[Rate_to_NGN]])</f>
        <v>32300</v>
      </c>
      <c r="R706" s="25" t="str">
        <f>_xlfn.XLOOKUP(tbl_Ledger[[#This Row],[Account_Code]], tbl_Accounts[Account_Code], tbl_Accounts[Type])</f>
        <v>Revenue</v>
      </c>
      <c r="S706" s="25" t="str">
        <f>_xlfn.XLOOKUP(tbl_Ledger[[#This Row],[Account_Code]], tbl_Accounts[Account_Code], tbl_Accounts[PL_Bucket])</f>
        <v>Revenue</v>
      </c>
      <c r="T706" s="25">
        <f t="shared" ref="T706:T769" si="11">IF(AND(S706="Revenue",F706&lt;&gt;4900),ABS(Q706),-ABS(Q706))</f>
        <v>32300</v>
      </c>
    </row>
    <row r="707" spans="1:20">
      <c r="A707" t="s">
        <v>1933</v>
      </c>
      <c r="B707" s="7">
        <v>45884</v>
      </c>
      <c r="C707" t="s">
        <v>93</v>
      </c>
      <c r="D707" t="s">
        <v>94</v>
      </c>
      <c r="E707" t="s">
        <v>107</v>
      </c>
      <c r="F707" s="12" t="s">
        <v>24</v>
      </c>
      <c r="G707" t="s">
        <v>25</v>
      </c>
      <c r="H707" t="s">
        <v>1934</v>
      </c>
      <c r="I707" t="s">
        <v>71</v>
      </c>
      <c r="J707" s="6">
        <v>30100</v>
      </c>
      <c r="K707" t="s">
        <v>3</v>
      </c>
      <c r="L707" t="s">
        <v>1935</v>
      </c>
      <c r="M707" t="s">
        <v>3</v>
      </c>
      <c r="N707" s="25" t="str">
        <f>TEXT(tbl_Ledger[[#This Row],[Date]],"yyyy-mm")</f>
        <v>2025-08</v>
      </c>
      <c r="O707" s="25" t="str">
        <f>TEXT(tbl_Ledger[[#This Row],[Date]],"yyyy-mm") &amp; TRIM(tbl_Ledger[[#This Row],[Currency]])</f>
        <v>2025-08NGN</v>
      </c>
      <c r="P707" s="25">
        <f>_xlfn.XLOOKUP(tbl_Ledger[[#This Row],[Key]], tbl_FX[Key], tbl_FX[Rate_to_NGN])</f>
        <v>1</v>
      </c>
      <c r="Q707" s="37">
        <f>IF(tbl_Ledger[[#This Row],[Account_Type]]="Expense",-ABS(tbl_Ledger[[#This Row],[Amount]]*tbl_Ledger[[#This Row],[Rate_to_NGN]]),tbl_Ledger[[#This Row],[Amount]]*tbl_Ledger[[#This Row],[Rate_to_NGN]])</f>
        <v>30100</v>
      </c>
      <c r="R707" s="25" t="str">
        <f>_xlfn.XLOOKUP(tbl_Ledger[[#This Row],[Account_Code]], tbl_Accounts[Account_Code], tbl_Accounts[Type])</f>
        <v>Revenue</v>
      </c>
      <c r="S707" s="25" t="str">
        <f>_xlfn.XLOOKUP(tbl_Ledger[[#This Row],[Account_Code]], tbl_Accounts[Account_Code], tbl_Accounts[PL_Bucket])</f>
        <v>Revenue</v>
      </c>
      <c r="T707" s="25">
        <f t="shared" si="11"/>
        <v>30100</v>
      </c>
    </row>
    <row r="708" spans="1:20">
      <c r="A708" t="s">
        <v>1936</v>
      </c>
      <c r="B708" s="7">
        <v>45884</v>
      </c>
      <c r="C708" t="s">
        <v>93</v>
      </c>
      <c r="D708" t="s">
        <v>111</v>
      </c>
      <c r="E708" t="s">
        <v>112</v>
      </c>
      <c r="F708" s="12" t="s">
        <v>24</v>
      </c>
      <c r="G708" t="s">
        <v>25</v>
      </c>
      <c r="H708" t="s">
        <v>1937</v>
      </c>
      <c r="I708" t="s">
        <v>71</v>
      </c>
      <c r="J708" s="6">
        <v>48900</v>
      </c>
      <c r="K708" t="s">
        <v>3</v>
      </c>
      <c r="L708" t="s">
        <v>1938</v>
      </c>
      <c r="M708" t="s">
        <v>3</v>
      </c>
      <c r="N708" s="25" t="str">
        <f>TEXT(tbl_Ledger[[#This Row],[Date]],"yyyy-mm")</f>
        <v>2025-08</v>
      </c>
      <c r="O708" s="25" t="str">
        <f>TEXT(tbl_Ledger[[#This Row],[Date]],"yyyy-mm") &amp; TRIM(tbl_Ledger[[#This Row],[Currency]])</f>
        <v>2025-08NGN</v>
      </c>
      <c r="P708" s="25">
        <f>_xlfn.XLOOKUP(tbl_Ledger[[#This Row],[Key]], tbl_FX[Key], tbl_FX[Rate_to_NGN])</f>
        <v>1</v>
      </c>
      <c r="Q708" s="37">
        <f>IF(tbl_Ledger[[#This Row],[Account_Type]]="Expense",-ABS(tbl_Ledger[[#This Row],[Amount]]*tbl_Ledger[[#This Row],[Rate_to_NGN]]),tbl_Ledger[[#This Row],[Amount]]*tbl_Ledger[[#This Row],[Rate_to_NGN]])</f>
        <v>48900</v>
      </c>
      <c r="R708" s="25" t="str">
        <f>_xlfn.XLOOKUP(tbl_Ledger[[#This Row],[Account_Code]], tbl_Accounts[Account_Code], tbl_Accounts[Type])</f>
        <v>Revenue</v>
      </c>
      <c r="S708" s="25" t="str">
        <f>_xlfn.XLOOKUP(tbl_Ledger[[#This Row],[Account_Code]], tbl_Accounts[Account_Code], tbl_Accounts[PL_Bucket])</f>
        <v>Revenue</v>
      </c>
      <c r="T708" s="25">
        <f t="shared" si="11"/>
        <v>48900</v>
      </c>
    </row>
    <row r="709" spans="1:20">
      <c r="A709" t="s">
        <v>1939</v>
      </c>
      <c r="B709" s="7">
        <v>45884</v>
      </c>
      <c r="C709" t="s">
        <v>93</v>
      </c>
      <c r="D709" t="s">
        <v>111</v>
      </c>
      <c r="E709" t="s">
        <v>116</v>
      </c>
      <c r="F709" s="12" t="s">
        <v>24</v>
      </c>
      <c r="G709" t="s">
        <v>25</v>
      </c>
      <c r="H709" t="s">
        <v>1940</v>
      </c>
      <c r="I709" t="s">
        <v>71</v>
      </c>
      <c r="J709" s="6">
        <v>53700</v>
      </c>
      <c r="K709" t="s">
        <v>3</v>
      </c>
      <c r="L709" t="s">
        <v>1938</v>
      </c>
      <c r="M709" t="s">
        <v>3</v>
      </c>
      <c r="N709" s="25" t="str">
        <f>TEXT(tbl_Ledger[[#This Row],[Date]],"yyyy-mm")</f>
        <v>2025-08</v>
      </c>
      <c r="O709" s="25" t="str">
        <f>TEXT(tbl_Ledger[[#This Row],[Date]],"yyyy-mm") &amp; TRIM(tbl_Ledger[[#This Row],[Currency]])</f>
        <v>2025-08NGN</v>
      </c>
      <c r="P709" s="25">
        <f>_xlfn.XLOOKUP(tbl_Ledger[[#This Row],[Key]], tbl_FX[Key], tbl_FX[Rate_to_NGN])</f>
        <v>1</v>
      </c>
      <c r="Q709" s="37">
        <f>IF(tbl_Ledger[[#This Row],[Account_Type]]="Expense",-ABS(tbl_Ledger[[#This Row],[Amount]]*tbl_Ledger[[#This Row],[Rate_to_NGN]]),tbl_Ledger[[#This Row],[Amount]]*tbl_Ledger[[#This Row],[Rate_to_NGN]])</f>
        <v>53700</v>
      </c>
      <c r="R709" s="25" t="str">
        <f>_xlfn.XLOOKUP(tbl_Ledger[[#This Row],[Account_Code]], tbl_Accounts[Account_Code], tbl_Accounts[Type])</f>
        <v>Revenue</v>
      </c>
      <c r="S709" s="25" t="str">
        <f>_xlfn.XLOOKUP(tbl_Ledger[[#This Row],[Account_Code]], tbl_Accounts[Account_Code], tbl_Accounts[PL_Bucket])</f>
        <v>Revenue</v>
      </c>
      <c r="T709" s="25">
        <f t="shared" si="11"/>
        <v>53700</v>
      </c>
    </row>
    <row r="710" spans="1:20">
      <c r="A710" t="s">
        <v>1941</v>
      </c>
      <c r="B710" s="7">
        <v>45884</v>
      </c>
      <c r="C710" t="s">
        <v>93</v>
      </c>
      <c r="D710" t="s">
        <v>111</v>
      </c>
      <c r="E710" t="s">
        <v>119</v>
      </c>
      <c r="F710" s="12" t="s">
        <v>24</v>
      </c>
      <c r="G710" t="s">
        <v>25</v>
      </c>
      <c r="H710" t="s">
        <v>1942</v>
      </c>
      <c r="I710" t="s">
        <v>71</v>
      </c>
      <c r="J710" s="6">
        <v>53300</v>
      </c>
      <c r="K710" t="s">
        <v>3</v>
      </c>
      <c r="L710" t="s">
        <v>1938</v>
      </c>
      <c r="M710" t="s">
        <v>3</v>
      </c>
      <c r="N710" s="25" t="str">
        <f>TEXT(tbl_Ledger[[#This Row],[Date]],"yyyy-mm")</f>
        <v>2025-08</v>
      </c>
      <c r="O710" s="25" t="str">
        <f>TEXT(tbl_Ledger[[#This Row],[Date]],"yyyy-mm") &amp; TRIM(tbl_Ledger[[#This Row],[Currency]])</f>
        <v>2025-08NGN</v>
      </c>
      <c r="P710" s="25">
        <f>_xlfn.XLOOKUP(tbl_Ledger[[#This Row],[Key]], tbl_FX[Key], tbl_FX[Rate_to_NGN])</f>
        <v>1</v>
      </c>
      <c r="Q710" s="37">
        <f>IF(tbl_Ledger[[#This Row],[Account_Type]]="Expense",-ABS(tbl_Ledger[[#This Row],[Amount]]*tbl_Ledger[[#This Row],[Rate_to_NGN]]),tbl_Ledger[[#This Row],[Amount]]*tbl_Ledger[[#This Row],[Rate_to_NGN]])</f>
        <v>53300</v>
      </c>
      <c r="R710" s="25" t="str">
        <f>_xlfn.XLOOKUP(tbl_Ledger[[#This Row],[Account_Code]], tbl_Accounts[Account_Code], tbl_Accounts[Type])</f>
        <v>Revenue</v>
      </c>
      <c r="S710" s="25" t="str">
        <f>_xlfn.XLOOKUP(tbl_Ledger[[#This Row],[Account_Code]], tbl_Accounts[Account_Code], tbl_Accounts[PL_Bucket])</f>
        <v>Revenue</v>
      </c>
      <c r="T710" s="25">
        <f t="shared" si="11"/>
        <v>53300</v>
      </c>
    </row>
    <row r="711" spans="1:20">
      <c r="A711" t="s">
        <v>1943</v>
      </c>
      <c r="B711" s="7">
        <v>45884</v>
      </c>
      <c r="C711" t="s">
        <v>93</v>
      </c>
      <c r="D711" t="s">
        <v>111</v>
      </c>
      <c r="E711" t="s">
        <v>170</v>
      </c>
      <c r="F711" s="12" t="s">
        <v>24</v>
      </c>
      <c r="G711" t="s">
        <v>25</v>
      </c>
      <c r="H711" t="s">
        <v>1944</v>
      </c>
      <c r="I711" t="s">
        <v>71</v>
      </c>
      <c r="J711" s="6">
        <v>52000</v>
      </c>
      <c r="K711" t="s">
        <v>3</v>
      </c>
      <c r="L711" t="s">
        <v>1938</v>
      </c>
      <c r="M711" t="s">
        <v>3</v>
      </c>
      <c r="N711" s="25" t="str">
        <f>TEXT(tbl_Ledger[[#This Row],[Date]],"yyyy-mm")</f>
        <v>2025-08</v>
      </c>
      <c r="O711" s="25" t="str">
        <f>TEXT(tbl_Ledger[[#This Row],[Date]],"yyyy-mm") &amp; TRIM(tbl_Ledger[[#This Row],[Currency]])</f>
        <v>2025-08NGN</v>
      </c>
      <c r="P711" s="25">
        <f>_xlfn.XLOOKUP(tbl_Ledger[[#This Row],[Key]], tbl_FX[Key], tbl_FX[Rate_to_NGN])</f>
        <v>1</v>
      </c>
      <c r="Q711" s="37">
        <f>IF(tbl_Ledger[[#This Row],[Account_Type]]="Expense",-ABS(tbl_Ledger[[#This Row],[Amount]]*tbl_Ledger[[#This Row],[Rate_to_NGN]]),tbl_Ledger[[#This Row],[Amount]]*tbl_Ledger[[#This Row],[Rate_to_NGN]])</f>
        <v>52000</v>
      </c>
      <c r="R711" s="25" t="str">
        <f>_xlfn.XLOOKUP(tbl_Ledger[[#This Row],[Account_Code]], tbl_Accounts[Account_Code], tbl_Accounts[Type])</f>
        <v>Revenue</v>
      </c>
      <c r="S711" s="25" t="str">
        <f>_xlfn.XLOOKUP(tbl_Ledger[[#This Row],[Account_Code]], tbl_Accounts[Account_Code], tbl_Accounts[PL_Bucket])</f>
        <v>Revenue</v>
      </c>
      <c r="T711" s="25">
        <f t="shared" si="11"/>
        <v>52000</v>
      </c>
    </row>
    <row r="712" spans="1:20">
      <c r="A712" t="s">
        <v>1945</v>
      </c>
      <c r="B712" s="7">
        <v>45884</v>
      </c>
      <c r="C712" t="s">
        <v>93</v>
      </c>
      <c r="D712" t="s">
        <v>111</v>
      </c>
      <c r="E712" t="s">
        <v>122</v>
      </c>
      <c r="F712" s="12" t="s">
        <v>24</v>
      </c>
      <c r="G712" t="s">
        <v>25</v>
      </c>
      <c r="H712" t="s">
        <v>1946</v>
      </c>
      <c r="I712" t="s">
        <v>71</v>
      </c>
      <c r="J712" s="6">
        <v>47900</v>
      </c>
      <c r="K712" t="s">
        <v>3</v>
      </c>
      <c r="L712" t="s">
        <v>1947</v>
      </c>
      <c r="M712" t="s">
        <v>3</v>
      </c>
      <c r="N712" s="25" t="str">
        <f>TEXT(tbl_Ledger[[#This Row],[Date]],"yyyy-mm")</f>
        <v>2025-08</v>
      </c>
      <c r="O712" s="25" t="str">
        <f>TEXT(tbl_Ledger[[#This Row],[Date]],"yyyy-mm") &amp; TRIM(tbl_Ledger[[#This Row],[Currency]])</f>
        <v>2025-08NGN</v>
      </c>
      <c r="P712" s="25">
        <f>_xlfn.XLOOKUP(tbl_Ledger[[#This Row],[Key]], tbl_FX[Key], tbl_FX[Rate_to_NGN])</f>
        <v>1</v>
      </c>
      <c r="Q712" s="37">
        <f>IF(tbl_Ledger[[#This Row],[Account_Type]]="Expense",-ABS(tbl_Ledger[[#This Row],[Amount]]*tbl_Ledger[[#This Row],[Rate_to_NGN]]),tbl_Ledger[[#This Row],[Amount]]*tbl_Ledger[[#This Row],[Rate_to_NGN]])</f>
        <v>47900</v>
      </c>
      <c r="R712" s="25" t="str">
        <f>_xlfn.XLOOKUP(tbl_Ledger[[#This Row],[Account_Code]], tbl_Accounts[Account_Code], tbl_Accounts[Type])</f>
        <v>Revenue</v>
      </c>
      <c r="S712" s="25" t="str">
        <f>_xlfn.XLOOKUP(tbl_Ledger[[#This Row],[Account_Code]], tbl_Accounts[Account_Code], tbl_Accounts[PL_Bucket])</f>
        <v>Revenue</v>
      </c>
      <c r="T712" s="25">
        <f t="shared" si="11"/>
        <v>47900</v>
      </c>
    </row>
    <row r="713" spans="1:20">
      <c r="A713" t="s">
        <v>1948</v>
      </c>
      <c r="B713" s="7">
        <v>45884</v>
      </c>
      <c r="C713" t="s">
        <v>126</v>
      </c>
      <c r="D713" t="s">
        <v>88</v>
      </c>
      <c r="E713" t="s">
        <v>127</v>
      </c>
      <c r="F713" s="12" t="s">
        <v>29</v>
      </c>
      <c r="G713" t="s">
        <v>30</v>
      </c>
      <c r="H713" t="s">
        <v>1949</v>
      </c>
      <c r="I713" t="s">
        <v>72</v>
      </c>
      <c r="J713" s="6">
        <v>31.11</v>
      </c>
      <c r="K713" t="s">
        <v>129</v>
      </c>
      <c r="L713" t="s">
        <v>1950</v>
      </c>
      <c r="M713" t="s">
        <v>3</v>
      </c>
      <c r="N713" s="25" t="str">
        <f>TEXT(tbl_Ledger[[#This Row],[Date]],"yyyy-mm")</f>
        <v>2025-08</v>
      </c>
      <c r="O713" s="25" t="str">
        <f>TEXT(tbl_Ledger[[#This Row],[Date]],"yyyy-mm") &amp; TRIM(tbl_Ledger[[#This Row],[Currency]])</f>
        <v>2025-08USD</v>
      </c>
      <c r="P713" s="25">
        <f>_xlfn.XLOOKUP(tbl_Ledger[[#This Row],[Key]], tbl_FX[Key], tbl_FX[Rate_to_NGN])</f>
        <v>1572</v>
      </c>
      <c r="Q713" s="37">
        <f>IF(tbl_Ledger[[#This Row],[Account_Type]]="Expense",-ABS(tbl_Ledger[[#This Row],[Amount]]*tbl_Ledger[[#This Row],[Rate_to_NGN]]),tbl_Ledger[[#This Row],[Amount]]*tbl_Ledger[[#This Row],[Rate_to_NGN]])</f>
        <v>48904.92</v>
      </c>
      <c r="R713" s="25" t="str">
        <f>_xlfn.XLOOKUP(tbl_Ledger[[#This Row],[Account_Code]], tbl_Accounts[Account_Code], tbl_Accounts[Type])</f>
        <v>Revenue</v>
      </c>
      <c r="S713" s="25" t="str">
        <f>_xlfn.XLOOKUP(tbl_Ledger[[#This Row],[Account_Code]], tbl_Accounts[Account_Code], tbl_Accounts[PL_Bucket])</f>
        <v>Revenue</v>
      </c>
      <c r="T713" s="25">
        <f t="shared" si="11"/>
        <v>48904.92</v>
      </c>
    </row>
    <row r="714" spans="1:20">
      <c r="A714" t="s">
        <v>1951</v>
      </c>
      <c r="B714" s="7">
        <v>45884</v>
      </c>
      <c r="C714" t="s">
        <v>126</v>
      </c>
      <c r="D714" t="s">
        <v>88</v>
      </c>
      <c r="E714" t="s">
        <v>132</v>
      </c>
      <c r="F714" s="12" t="s">
        <v>29</v>
      </c>
      <c r="G714" t="s">
        <v>30</v>
      </c>
      <c r="H714" t="s">
        <v>1952</v>
      </c>
      <c r="I714" t="s">
        <v>71</v>
      </c>
      <c r="J714" s="6">
        <v>52700</v>
      </c>
      <c r="K714" t="s">
        <v>134</v>
      </c>
      <c r="L714" t="s">
        <v>1950</v>
      </c>
      <c r="M714" t="s">
        <v>3</v>
      </c>
      <c r="N714" s="25" t="str">
        <f>TEXT(tbl_Ledger[[#This Row],[Date]],"yyyy-mm")</f>
        <v>2025-08</v>
      </c>
      <c r="O714" s="25" t="str">
        <f>TEXT(tbl_Ledger[[#This Row],[Date]],"yyyy-mm") &amp; TRIM(tbl_Ledger[[#This Row],[Currency]])</f>
        <v>2025-08NGN</v>
      </c>
      <c r="P714" s="25">
        <f>_xlfn.XLOOKUP(tbl_Ledger[[#This Row],[Key]], tbl_FX[Key], tbl_FX[Rate_to_NGN])</f>
        <v>1</v>
      </c>
      <c r="Q714" s="37">
        <f>IF(tbl_Ledger[[#This Row],[Account_Type]]="Expense",-ABS(tbl_Ledger[[#This Row],[Amount]]*tbl_Ledger[[#This Row],[Rate_to_NGN]]),tbl_Ledger[[#This Row],[Amount]]*tbl_Ledger[[#This Row],[Rate_to_NGN]])</f>
        <v>52700</v>
      </c>
      <c r="R714" s="25" t="str">
        <f>_xlfn.XLOOKUP(tbl_Ledger[[#This Row],[Account_Code]], tbl_Accounts[Account_Code], tbl_Accounts[Type])</f>
        <v>Revenue</v>
      </c>
      <c r="S714" s="25" t="str">
        <f>_xlfn.XLOOKUP(tbl_Ledger[[#This Row],[Account_Code]], tbl_Accounts[Account_Code], tbl_Accounts[PL_Bucket])</f>
        <v>Revenue</v>
      </c>
      <c r="T714" s="25">
        <f t="shared" si="11"/>
        <v>52700</v>
      </c>
    </row>
    <row r="715" spans="1:20">
      <c r="A715" t="s">
        <v>1953</v>
      </c>
      <c r="B715" s="7">
        <v>45884</v>
      </c>
      <c r="C715" t="s">
        <v>126</v>
      </c>
      <c r="D715" t="s">
        <v>88</v>
      </c>
      <c r="E715" t="s">
        <v>136</v>
      </c>
      <c r="F715" s="12" t="s">
        <v>29</v>
      </c>
      <c r="G715" t="s">
        <v>30</v>
      </c>
      <c r="H715" t="s">
        <v>1954</v>
      </c>
      <c r="I715" t="s">
        <v>72</v>
      </c>
      <c r="J715" s="6">
        <v>30.15</v>
      </c>
      <c r="K715" t="s">
        <v>138</v>
      </c>
      <c r="L715" t="s">
        <v>1950</v>
      </c>
      <c r="M715" t="s">
        <v>3</v>
      </c>
      <c r="N715" s="25" t="str">
        <f>TEXT(tbl_Ledger[[#This Row],[Date]],"yyyy-mm")</f>
        <v>2025-08</v>
      </c>
      <c r="O715" s="25" t="str">
        <f>TEXT(tbl_Ledger[[#This Row],[Date]],"yyyy-mm") &amp; TRIM(tbl_Ledger[[#This Row],[Currency]])</f>
        <v>2025-08USD</v>
      </c>
      <c r="P715" s="25">
        <f>_xlfn.XLOOKUP(tbl_Ledger[[#This Row],[Key]], tbl_FX[Key], tbl_FX[Rate_to_NGN])</f>
        <v>1572</v>
      </c>
      <c r="Q715" s="37">
        <f>IF(tbl_Ledger[[#This Row],[Account_Type]]="Expense",-ABS(tbl_Ledger[[#This Row],[Amount]]*tbl_Ledger[[#This Row],[Rate_to_NGN]]),tbl_Ledger[[#This Row],[Amount]]*tbl_Ledger[[#This Row],[Rate_to_NGN]])</f>
        <v>47395.799999999996</v>
      </c>
      <c r="R715" s="25" t="str">
        <f>_xlfn.XLOOKUP(tbl_Ledger[[#This Row],[Account_Code]], tbl_Accounts[Account_Code], tbl_Accounts[Type])</f>
        <v>Revenue</v>
      </c>
      <c r="S715" s="25" t="str">
        <f>_xlfn.XLOOKUP(tbl_Ledger[[#This Row],[Account_Code]], tbl_Accounts[Account_Code], tbl_Accounts[PL_Bucket])</f>
        <v>Revenue</v>
      </c>
      <c r="T715" s="25">
        <f t="shared" si="11"/>
        <v>47395.799999999996</v>
      </c>
    </row>
    <row r="716" spans="1:20">
      <c r="A716" t="s">
        <v>1955</v>
      </c>
      <c r="B716" s="7">
        <v>45884</v>
      </c>
      <c r="C716" t="s">
        <v>126</v>
      </c>
      <c r="D716" t="s">
        <v>88</v>
      </c>
      <c r="E716" t="s">
        <v>140</v>
      </c>
      <c r="F716" s="12" t="s">
        <v>29</v>
      </c>
      <c r="G716" t="s">
        <v>30</v>
      </c>
      <c r="H716" t="s">
        <v>1956</v>
      </c>
      <c r="I716" t="s">
        <v>71</v>
      </c>
      <c r="J716" s="6">
        <v>48100</v>
      </c>
      <c r="K716" t="s">
        <v>3</v>
      </c>
      <c r="L716" t="s">
        <v>1957</v>
      </c>
      <c r="M716" t="s">
        <v>3</v>
      </c>
      <c r="N716" s="25" t="str">
        <f>TEXT(tbl_Ledger[[#This Row],[Date]],"yyyy-mm")</f>
        <v>2025-08</v>
      </c>
      <c r="O716" s="25" t="str">
        <f>TEXT(tbl_Ledger[[#This Row],[Date]],"yyyy-mm") &amp; TRIM(tbl_Ledger[[#This Row],[Currency]])</f>
        <v>2025-08NGN</v>
      </c>
      <c r="P716" s="25">
        <f>_xlfn.XLOOKUP(tbl_Ledger[[#This Row],[Key]], tbl_FX[Key], tbl_FX[Rate_to_NGN])</f>
        <v>1</v>
      </c>
      <c r="Q716" s="37">
        <f>IF(tbl_Ledger[[#This Row],[Account_Type]]="Expense",-ABS(tbl_Ledger[[#This Row],[Amount]]*tbl_Ledger[[#This Row],[Rate_to_NGN]]),tbl_Ledger[[#This Row],[Amount]]*tbl_Ledger[[#This Row],[Rate_to_NGN]])</f>
        <v>48100</v>
      </c>
      <c r="R716" s="25" t="str">
        <f>_xlfn.XLOOKUP(tbl_Ledger[[#This Row],[Account_Code]], tbl_Accounts[Account_Code], tbl_Accounts[Type])</f>
        <v>Revenue</v>
      </c>
      <c r="S716" s="25" t="str">
        <f>_xlfn.XLOOKUP(tbl_Ledger[[#This Row],[Account_Code]], tbl_Accounts[Account_Code], tbl_Accounts[PL_Bucket])</f>
        <v>Revenue</v>
      </c>
      <c r="T716" s="25">
        <f t="shared" si="11"/>
        <v>48100</v>
      </c>
    </row>
    <row r="717" spans="1:20">
      <c r="A717" t="s">
        <v>1958</v>
      </c>
      <c r="B717" s="7">
        <v>45884</v>
      </c>
      <c r="C717" t="s">
        <v>93</v>
      </c>
      <c r="D717" t="s">
        <v>94</v>
      </c>
      <c r="E717" t="s">
        <v>95</v>
      </c>
      <c r="F717" s="12" t="s">
        <v>31</v>
      </c>
      <c r="G717" t="s">
        <v>32</v>
      </c>
      <c r="H717" t="s">
        <v>1959</v>
      </c>
      <c r="I717" t="s">
        <v>71</v>
      </c>
      <c r="J717" s="6">
        <v>65334</v>
      </c>
      <c r="K717" t="s">
        <v>3</v>
      </c>
      <c r="L717" t="s">
        <v>1960</v>
      </c>
      <c r="M717" t="s">
        <v>237</v>
      </c>
      <c r="N717" s="25" t="str">
        <f>TEXT(tbl_Ledger[[#This Row],[Date]],"yyyy-mm")</f>
        <v>2025-08</v>
      </c>
      <c r="O717" s="25" t="str">
        <f>TEXT(tbl_Ledger[[#This Row],[Date]],"yyyy-mm") &amp; TRIM(tbl_Ledger[[#This Row],[Currency]])</f>
        <v>2025-08NGN</v>
      </c>
      <c r="P717" s="25">
        <f>_xlfn.XLOOKUP(tbl_Ledger[[#This Row],[Key]], tbl_FX[Key], tbl_FX[Rate_to_NGN])</f>
        <v>1</v>
      </c>
      <c r="Q717" s="37">
        <f>IF(tbl_Ledger[[#This Row],[Account_Type]]="Expense",-ABS(tbl_Ledger[[#This Row],[Amount]]*tbl_Ledger[[#This Row],[Rate_to_NGN]]),tbl_Ledger[[#This Row],[Amount]]*tbl_Ledger[[#This Row],[Rate_to_NGN]])</f>
        <v>65334</v>
      </c>
      <c r="R717" s="25" t="str">
        <f>_xlfn.XLOOKUP(tbl_Ledger[[#This Row],[Account_Code]], tbl_Accounts[Account_Code], tbl_Accounts[Type])</f>
        <v>Revenue</v>
      </c>
      <c r="S717" s="25" t="str">
        <f>_xlfn.XLOOKUP(tbl_Ledger[[#This Row],[Account_Code]], tbl_Accounts[Account_Code], tbl_Accounts[PL_Bucket])</f>
        <v>Revenue</v>
      </c>
      <c r="T717" s="25">
        <f t="shared" si="11"/>
        <v>65334</v>
      </c>
    </row>
    <row r="718" spans="1:20">
      <c r="A718" t="s">
        <v>1961</v>
      </c>
      <c r="B718" s="7">
        <v>45884</v>
      </c>
      <c r="C718" t="s">
        <v>87</v>
      </c>
      <c r="D718" t="s">
        <v>111</v>
      </c>
      <c r="E718" t="s">
        <v>3</v>
      </c>
      <c r="F718" s="12" t="s">
        <v>36</v>
      </c>
      <c r="G718" t="s">
        <v>37</v>
      </c>
      <c r="H718" t="s">
        <v>1792</v>
      </c>
      <c r="I718" t="s">
        <v>71</v>
      </c>
      <c r="J718" s="6">
        <v>-996000</v>
      </c>
      <c r="K718" t="s">
        <v>195</v>
      </c>
      <c r="L718" t="s">
        <v>1962</v>
      </c>
      <c r="M718" t="s">
        <v>3</v>
      </c>
      <c r="N718" s="25" t="str">
        <f>TEXT(tbl_Ledger[[#This Row],[Date]],"yyyy-mm")</f>
        <v>2025-08</v>
      </c>
      <c r="O718" s="25" t="str">
        <f>TEXT(tbl_Ledger[[#This Row],[Date]],"yyyy-mm") &amp; TRIM(tbl_Ledger[[#This Row],[Currency]])</f>
        <v>2025-08NGN</v>
      </c>
      <c r="P718" s="25">
        <f>_xlfn.XLOOKUP(tbl_Ledger[[#This Row],[Key]], tbl_FX[Key], tbl_FX[Rate_to_NGN])</f>
        <v>1</v>
      </c>
      <c r="Q718" s="37">
        <f>IF(tbl_Ledger[[#This Row],[Account_Type]]="Expense",-ABS(tbl_Ledger[[#This Row],[Amount]]*tbl_Ledger[[#This Row],[Rate_to_NGN]]),tbl_Ledger[[#This Row],[Amount]]*tbl_Ledger[[#This Row],[Rate_to_NGN]])</f>
        <v>-996000</v>
      </c>
      <c r="R718" s="25" t="str">
        <f>_xlfn.XLOOKUP(tbl_Ledger[[#This Row],[Account_Code]], tbl_Accounts[Account_Code], tbl_Accounts[Type])</f>
        <v>COGS</v>
      </c>
      <c r="S718" s="25" t="str">
        <f>_xlfn.XLOOKUP(tbl_Ledger[[#This Row],[Account_Code]], tbl_Accounts[Account_Code], tbl_Accounts[PL_Bucket])</f>
        <v>COGS</v>
      </c>
      <c r="T718" s="25">
        <f t="shared" si="11"/>
        <v>-996000</v>
      </c>
    </row>
    <row r="719" spans="1:20">
      <c r="A719" t="s">
        <v>1963</v>
      </c>
      <c r="B719" s="7">
        <v>45884</v>
      </c>
      <c r="C719" t="s">
        <v>87</v>
      </c>
      <c r="D719" t="s">
        <v>111</v>
      </c>
      <c r="E719" t="s">
        <v>3</v>
      </c>
      <c r="F719" s="12" t="s">
        <v>38</v>
      </c>
      <c r="G719" t="s">
        <v>39</v>
      </c>
      <c r="H719" t="s">
        <v>1423</v>
      </c>
      <c r="I719" t="s">
        <v>71</v>
      </c>
      <c r="J719" s="6">
        <v>-87000</v>
      </c>
      <c r="K719" t="s">
        <v>276</v>
      </c>
      <c r="L719" t="s">
        <v>1964</v>
      </c>
      <c r="M719" t="s">
        <v>3</v>
      </c>
      <c r="N719" s="25" t="str">
        <f>TEXT(tbl_Ledger[[#This Row],[Date]],"yyyy-mm")</f>
        <v>2025-08</v>
      </c>
      <c r="O719" s="25" t="str">
        <f>TEXT(tbl_Ledger[[#This Row],[Date]],"yyyy-mm") &amp; TRIM(tbl_Ledger[[#This Row],[Currency]])</f>
        <v>2025-08NGN</v>
      </c>
      <c r="P719" s="25">
        <f>_xlfn.XLOOKUP(tbl_Ledger[[#This Row],[Key]], tbl_FX[Key], tbl_FX[Rate_to_NGN])</f>
        <v>1</v>
      </c>
      <c r="Q719" s="37">
        <f>IF(tbl_Ledger[[#This Row],[Account_Type]]="Expense",-ABS(tbl_Ledger[[#This Row],[Amount]]*tbl_Ledger[[#This Row],[Rate_to_NGN]]),tbl_Ledger[[#This Row],[Amount]]*tbl_Ledger[[#This Row],[Rate_to_NGN]])</f>
        <v>-87000</v>
      </c>
      <c r="R719" s="25" t="str">
        <f>_xlfn.XLOOKUP(tbl_Ledger[[#This Row],[Account_Code]], tbl_Accounts[Account_Code], tbl_Accounts[Type])</f>
        <v>COGS</v>
      </c>
      <c r="S719" s="25" t="str">
        <f>_xlfn.XLOOKUP(tbl_Ledger[[#This Row],[Account_Code]], tbl_Accounts[Account_Code], tbl_Accounts[PL_Bucket])</f>
        <v>COGS</v>
      </c>
      <c r="T719" s="25">
        <f t="shared" si="11"/>
        <v>-87000</v>
      </c>
    </row>
    <row r="720" spans="1:20">
      <c r="A720" t="s">
        <v>1965</v>
      </c>
      <c r="B720" s="7">
        <v>45884</v>
      </c>
      <c r="C720" t="s">
        <v>87</v>
      </c>
      <c r="D720" t="s">
        <v>94</v>
      </c>
      <c r="E720" t="s">
        <v>3</v>
      </c>
      <c r="F720" s="12" t="s">
        <v>53</v>
      </c>
      <c r="G720" t="s">
        <v>54</v>
      </c>
      <c r="H720" t="s">
        <v>1966</v>
      </c>
      <c r="I720" t="s">
        <v>72</v>
      </c>
      <c r="J720" s="6">
        <v>-987.8</v>
      </c>
      <c r="K720" t="s">
        <v>708</v>
      </c>
      <c r="L720" t="s">
        <v>1967</v>
      </c>
      <c r="M720" t="s">
        <v>3</v>
      </c>
      <c r="N720" s="25" t="str">
        <f>TEXT(tbl_Ledger[[#This Row],[Date]],"yyyy-mm")</f>
        <v>2025-08</v>
      </c>
      <c r="O720" s="25" t="str">
        <f>TEXT(tbl_Ledger[[#This Row],[Date]],"yyyy-mm") &amp; TRIM(tbl_Ledger[[#This Row],[Currency]])</f>
        <v>2025-08USD</v>
      </c>
      <c r="P720" s="25">
        <f>_xlfn.XLOOKUP(tbl_Ledger[[#This Row],[Key]], tbl_FX[Key], tbl_FX[Rate_to_NGN])</f>
        <v>1572</v>
      </c>
      <c r="Q720" s="37">
        <f>IF(tbl_Ledger[[#This Row],[Account_Type]]="Expense",-ABS(tbl_Ledger[[#This Row],[Amount]]*tbl_Ledger[[#This Row],[Rate_to_NGN]]),tbl_Ledger[[#This Row],[Amount]]*tbl_Ledger[[#This Row],[Rate_to_NGN]])</f>
        <v>-1552821.5999999999</v>
      </c>
      <c r="R720" s="25" t="str">
        <f>_xlfn.XLOOKUP(tbl_Ledger[[#This Row],[Account_Code]], tbl_Accounts[Account_Code], tbl_Accounts[Type])</f>
        <v>Opex</v>
      </c>
      <c r="S720" s="25" t="str">
        <f>_xlfn.XLOOKUP(tbl_Ledger[[#This Row],[Account_Code]], tbl_Accounts[Account_Code], tbl_Accounts[PL_Bucket])</f>
        <v>Opex</v>
      </c>
      <c r="T720" s="25">
        <f t="shared" si="11"/>
        <v>-1552821.5999999999</v>
      </c>
    </row>
    <row r="721" spans="1:20">
      <c r="A721" t="s">
        <v>1968</v>
      </c>
      <c r="B721" s="7">
        <v>45885</v>
      </c>
      <c r="C721" t="s">
        <v>93</v>
      </c>
      <c r="D721" t="s">
        <v>94</v>
      </c>
      <c r="E721" t="s">
        <v>95</v>
      </c>
      <c r="F721" s="12" t="s">
        <v>24</v>
      </c>
      <c r="G721" t="s">
        <v>25</v>
      </c>
      <c r="H721" t="s">
        <v>1969</v>
      </c>
      <c r="I721" t="s">
        <v>71</v>
      </c>
      <c r="J721" s="6">
        <v>35700</v>
      </c>
      <c r="K721" t="s">
        <v>3</v>
      </c>
      <c r="L721" t="s">
        <v>1970</v>
      </c>
      <c r="M721" t="s">
        <v>3</v>
      </c>
      <c r="N721" s="25" t="str">
        <f>TEXT(tbl_Ledger[[#This Row],[Date]],"yyyy-mm")</f>
        <v>2025-08</v>
      </c>
      <c r="O721" s="25" t="str">
        <f>TEXT(tbl_Ledger[[#This Row],[Date]],"yyyy-mm") &amp; TRIM(tbl_Ledger[[#This Row],[Currency]])</f>
        <v>2025-08NGN</v>
      </c>
      <c r="P721" s="25">
        <f>_xlfn.XLOOKUP(tbl_Ledger[[#This Row],[Key]], tbl_FX[Key], tbl_FX[Rate_to_NGN])</f>
        <v>1</v>
      </c>
      <c r="Q721" s="37">
        <f>IF(tbl_Ledger[[#This Row],[Account_Type]]="Expense",-ABS(tbl_Ledger[[#This Row],[Amount]]*tbl_Ledger[[#This Row],[Rate_to_NGN]]),tbl_Ledger[[#This Row],[Amount]]*tbl_Ledger[[#This Row],[Rate_to_NGN]])</f>
        <v>35700</v>
      </c>
      <c r="R721" s="25" t="str">
        <f>_xlfn.XLOOKUP(tbl_Ledger[[#This Row],[Account_Code]], tbl_Accounts[Account_Code], tbl_Accounts[Type])</f>
        <v>Revenue</v>
      </c>
      <c r="S721" s="25" t="str">
        <f>_xlfn.XLOOKUP(tbl_Ledger[[#This Row],[Account_Code]], tbl_Accounts[Account_Code], tbl_Accounts[PL_Bucket])</f>
        <v>Revenue</v>
      </c>
      <c r="T721" s="25">
        <f t="shared" si="11"/>
        <v>35700</v>
      </c>
    </row>
    <row r="722" spans="1:20">
      <c r="A722" t="s">
        <v>1971</v>
      </c>
      <c r="B722" s="7">
        <v>45885</v>
      </c>
      <c r="C722" t="s">
        <v>93</v>
      </c>
      <c r="D722" t="s">
        <v>94</v>
      </c>
      <c r="E722" t="s">
        <v>99</v>
      </c>
      <c r="F722" s="12" t="s">
        <v>24</v>
      </c>
      <c r="G722" t="s">
        <v>25</v>
      </c>
      <c r="H722" t="s">
        <v>1972</v>
      </c>
      <c r="I722" t="s">
        <v>71</v>
      </c>
      <c r="J722" s="6">
        <v>38300</v>
      </c>
      <c r="K722" t="s">
        <v>3</v>
      </c>
      <c r="L722" t="s">
        <v>1973</v>
      </c>
      <c r="M722" t="s">
        <v>3</v>
      </c>
      <c r="N722" s="25" t="str">
        <f>TEXT(tbl_Ledger[[#This Row],[Date]],"yyyy-mm")</f>
        <v>2025-08</v>
      </c>
      <c r="O722" s="25" t="str">
        <f>TEXT(tbl_Ledger[[#This Row],[Date]],"yyyy-mm") &amp; TRIM(tbl_Ledger[[#This Row],[Currency]])</f>
        <v>2025-08NGN</v>
      </c>
      <c r="P722" s="25">
        <f>_xlfn.XLOOKUP(tbl_Ledger[[#This Row],[Key]], tbl_FX[Key], tbl_FX[Rate_to_NGN])</f>
        <v>1</v>
      </c>
      <c r="Q722" s="37">
        <f>IF(tbl_Ledger[[#This Row],[Account_Type]]="Expense",-ABS(tbl_Ledger[[#This Row],[Amount]]*tbl_Ledger[[#This Row],[Rate_to_NGN]]),tbl_Ledger[[#This Row],[Amount]]*tbl_Ledger[[#This Row],[Rate_to_NGN]])</f>
        <v>38300</v>
      </c>
      <c r="R722" s="25" t="str">
        <f>_xlfn.XLOOKUP(tbl_Ledger[[#This Row],[Account_Code]], tbl_Accounts[Account_Code], tbl_Accounts[Type])</f>
        <v>Revenue</v>
      </c>
      <c r="S722" s="25" t="str">
        <f>_xlfn.XLOOKUP(tbl_Ledger[[#This Row],[Account_Code]], tbl_Accounts[Account_Code], tbl_Accounts[PL_Bucket])</f>
        <v>Revenue</v>
      </c>
      <c r="T722" s="25">
        <f t="shared" si="11"/>
        <v>38300</v>
      </c>
    </row>
    <row r="723" spans="1:20">
      <c r="A723" t="s">
        <v>1974</v>
      </c>
      <c r="B723" s="7">
        <v>45885</v>
      </c>
      <c r="C723" t="s">
        <v>93</v>
      </c>
      <c r="D723" t="s">
        <v>94</v>
      </c>
      <c r="E723" t="s">
        <v>103</v>
      </c>
      <c r="F723" s="12" t="s">
        <v>24</v>
      </c>
      <c r="G723" t="s">
        <v>25</v>
      </c>
      <c r="H723" t="s">
        <v>1975</v>
      </c>
      <c r="I723" t="s">
        <v>71</v>
      </c>
      <c r="J723" s="6">
        <v>38100</v>
      </c>
      <c r="K723" t="s">
        <v>3</v>
      </c>
      <c r="L723" t="s">
        <v>1976</v>
      </c>
      <c r="M723" t="s">
        <v>3</v>
      </c>
      <c r="N723" s="25" t="str">
        <f>TEXT(tbl_Ledger[[#This Row],[Date]],"yyyy-mm")</f>
        <v>2025-08</v>
      </c>
      <c r="O723" s="25" t="str">
        <f>TEXT(tbl_Ledger[[#This Row],[Date]],"yyyy-mm") &amp; TRIM(tbl_Ledger[[#This Row],[Currency]])</f>
        <v>2025-08NGN</v>
      </c>
      <c r="P723" s="25">
        <f>_xlfn.XLOOKUP(tbl_Ledger[[#This Row],[Key]], tbl_FX[Key], tbl_FX[Rate_to_NGN])</f>
        <v>1</v>
      </c>
      <c r="Q723" s="37">
        <f>IF(tbl_Ledger[[#This Row],[Account_Type]]="Expense",-ABS(tbl_Ledger[[#This Row],[Amount]]*tbl_Ledger[[#This Row],[Rate_to_NGN]]),tbl_Ledger[[#This Row],[Amount]]*tbl_Ledger[[#This Row],[Rate_to_NGN]])</f>
        <v>38100</v>
      </c>
      <c r="R723" s="25" t="str">
        <f>_xlfn.XLOOKUP(tbl_Ledger[[#This Row],[Account_Code]], tbl_Accounts[Account_Code], tbl_Accounts[Type])</f>
        <v>Revenue</v>
      </c>
      <c r="S723" s="25" t="str">
        <f>_xlfn.XLOOKUP(tbl_Ledger[[#This Row],[Account_Code]], tbl_Accounts[Account_Code], tbl_Accounts[PL_Bucket])</f>
        <v>Revenue</v>
      </c>
      <c r="T723" s="25">
        <f t="shared" si="11"/>
        <v>38100</v>
      </c>
    </row>
    <row r="724" spans="1:20">
      <c r="A724" t="s">
        <v>1977</v>
      </c>
      <c r="B724" s="7">
        <v>45885</v>
      </c>
      <c r="C724" t="s">
        <v>93</v>
      </c>
      <c r="D724" t="s">
        <v>94</v>
      </c>
      <c r="E724" t="s">
        <v>160</v>
      </c>
      <c r="F724" s="12" t="s">
        <v>24</v>
      </c>
      <c r="G724" t="s">
        <v>25</v>
      </c>
      <c r="H724" t="s">
        <v>1978</v>
      </c>
      <c r="I724" t="s">
        <v>71</v>
      </c>
      <c r="J724" s="6">
        <v>37200</v>
      </c>
      <c r="K724" t="s">
        <v>3</v>
      </c>
      <c r="L724" t="s">
        <v>1976</v>
      </c>
      <c r="M724" t="s">
        <v>3</v>
      </c>
      <c r="N724" s="25" t="str">
        <f>TEXT(tbl_Ledger[[#This Row],[Date]],"yyyy-mm")</f>
        <v>2025-08</v>
      </c>
      <c r="O724" s="25" t="str">
        <f>TEXT(tbl_Ledger[[#This Row],[Date]],"yyyy-mm") &amp; TRIM(tbl_Ledger[[#This Row],[Currency]])</f>
        <v>2025-08NGN</v>
      </c>
      <c r="P724" s="25">
        <f>_xlfn.XLOOKUP(tbl_Ledger[[#This Row],[Key]], tbl_FX[Key], tbl_FX[Rate_to_NGN])</f>
        <v>1</v>
      </c>
      <c r="Q724" s="37">
        <f>IF(tbl_Ledger[[#This Row],[Account_Type]]="Expense",-ABS(tbl_Ledger[[#This Row],[Amount]]*tbl_Ledger[[#This Row],[Rate_to_NGN]]),tbl_Ledger[[#This Row],[Amount]]*tbl_Ledger[[#This Row],[Rate_to_NGN]])</f>
        <v>37200</v>
      </c>
      <c r="R724" s="25" t="str">
        <f>_xlfn.XLOOKUP(tbl_Ledger[[#This Row],[Account_Code]], tbl_Accounts[Account_Code], tbl_Accounts[Type])</f>
        <v>Revenue</v>
      </c>
      <c r="S724" s="25" t="str">
        <f>_xlfn.XLOOKUP(tbl_Ledger[[#This Row],[Account_Code]], tbl_Accounts[Account_Code], tbl_Accounts[PL_Bucket])</f>
        <v>Revenue</v>
      </c>
      <c r="T724" s="25">
        <f t="shared" si="11"/>
        <v>37200</v>
      </c>
    </row>
    <row r="725" spans="1:20">
      <c r="A725" t="s">
        <v>1979</v>
      </c>
      <c r="B725" s="7">
        <v>45885</v>
      </c>
      <c r="C725" t="s">
        <v>93</v>
      </c>
      <c r="D725" t="s">
        <v>94</v>
      </c>
      <c r="E725" t="s">
        <v>107</v>
      </c>
      <c r="F725" s="12" t="s">
        <v>24</v>
      </c>
      <c r="G725" t="s">
        <v>25</v>
      </c>
      <c r="H725" t="s">
        <v>1980</v>
      </c>
      <c r="I725" t="s">
        <v>71</v>
      </c>
      <c r="J725" s="6">
        <v>40900</v>
      </c>
      <c r="K725" t="s">
        <v>3</v>
      </c>
      <c r="L725" t="s">
        <v>1981</v>
      </c>
      <c r="M725" t="s">
        <v>3</v>
      </c>
      <c r="N725" s="25" t="str">
        <f>TEXT(tbl_Ledger[[#This Row],[Date]],"yyyy-mm")</f>
        <v>2025-08</v>
      </c>
      <c r="O725" s="25" t="str">
        <f>TEXT(tbl_Ledger[[#This Row],[Date]],"yyyy-mm") &amp; TRIM(tbl_Ledger[[#This Row],[Currency]])</f>
        <v>2025-08NGN</v>
      </c>
      <c r="P725" s="25">
        <f>_xlfn.XLOOKUP(tbl_Ledger[[#This Row],[Key]], tbl_FX[Key], tbl_FX[Rate_to_NGN])</f>
        <v>1</v>
      </c>
      <c r="Q725" s="37">
        <f>IF(tbl_Ledger[[#This Row],[Account_Type]]="Expense",-ABS(tbl_Ledger[[#This Row],[Amount]]*tbl_Ledger[[#This Row],[Rate_to_NGN]]),tbl_Ledger[[#This Row],[Amount]]*tbl_Ledger[[#This Row],[Rate_to_NGN]])</f>
        <v>40900</v>
      </c>
      <c r="R725" s="25" t="str">
        <f>_xlfn.XLOOKUP(tbl_Ledger[[#This Row],[Account_Code]], tbl_Accounts[Account_Code], tbl_Accounts[Type])</f>
        <v>Revenue</v>
      </c>
      <c r="S725" s="25" t="str">
        <f>_xlfn.XLOOKUP(tbl_Ledger[[#This Row],[Account_Code]], tbl_Accounts[Account_Code], tbl_Accounts[PL_Bucket])</f>
        <v>Revenue</v>
      </c>
      <c r="T725" s="25">
        <f t="shared" si="11"/>
        <v>40900</v>
      </c>
    </row>
    <row r="726" spans="1:20">
      <c r="A726" t="s">
        <v>1982</v>
      </c>
      <c r="B726" s="7">
        <v>45885</v>
      </c>
      <c r="C726" t="s">
        <v>93</v>
      </c>
      <c r="D726" t="s">
        <v>111</v>
      </c>
      <c r="E726" t="s">
        <v>112</v>
      </c>
      <c r="F726" s="12" t="s">
        <v>24</v>
      </c>
      <c r="G726" t="s">
        <v>25</v>
      </c>
      <c r="H726" t="s">
        <v>1983</v>
      </c>
      <c r="I726" t="s">
        <v>71</v>
      </c>
      <c r="J726" s="6">
        <v>64300</v>
      </c>
      <c r="K726" t="s">
        <v>3</v>
      </c>
      <c r="L726" t="s">
        <v>1984</v>
      </c>
      <c r="M726" t="s">
        <v>3</v>
      </c>
      <c r="N726" s="25" t="str">
        <f>TEXT(tbl_Ledger[[#This Row],[Date]],"yyyy-mm")</f>
        <v>2025-08</v>
      </c>
      <c r="O726" s="25" t="str">
        <f>TEXT(tbl_Ledger[[#This Row],[Date]],"yyyy-mm") &amp; TRIM(tbl_Ledger[[#This Row],[Currency]])</f>
        <v>2025-08NGN</v>
      </c>
      <c r="P726" s="25">
        <f>_xlfn.XLOOKUP(tbl_Ledger[[#This Row],[Key]], tbl_FX[Key], tbl_FX[Rate_to_NGN])</f>
        <v>1</v>
      </c>
      <c r="Q726" s="37">
        <f>IF(tbl_Ledger[[#This Row],[Account_Type]]="Expense",-ABS(tbl_Ledger[[#This Row],[Amount]]*tbl_Ledger[[#This Row],[Rate_to_NGN]]),tbl_Ledger[[#This Row],[Amount]]*tbl_Ledger[[#This Row],[Rate_to_NGN]])</f>
        <v>64300</v>
      </c>
      <c r="R726" s="25" t="str">
        <f>_xlfn.XLOOKUP(tbl_Ledger[[#This Row],[Account_Code]], tbl_Accounts[Account_Code], tbl_Accounts[Type])</f>
        <v>Revenue</v>
      </c>
      <c r="S726" s="25" t="str">
        <f>_xlfn.XLOOKUP(tbl_Ledger[[#This Row],[Account_Code]], tbl_Accounts[Account_Code], tbl_Accounts[PL_Bucket])</f>
        <v>Revenue</v>
      </c>
      <c r="T726" s="25">
        <f t="shared" si="11"/>
        <v>64300</v>
      </c>
    </row>
    <row r="727" spans="1:20">
      <c r="A727" t="s">
        <v>1985</v>
      </c>
      <c r="B727" s="7">
        <v>45885</v>
      </c>
      <c r="C727" t="s">
        <v>93</v>
      </c>
      <c r="D727" t="s">
        <v>111</v>
      </c>
      <c r="E727" t="s">
        <v>116</v>
      </c>
      <c r="F727" s="12" t="s">
        <v>24</v>
      </c>
      <c r="G727" t="s">
        <v>25</v>
      </c>
      <c r="H727" t="s">
        <v>1986</v>
      </c>
      <c r="I727" t="s">
        <v>71</v>
      </c>
      <c r="J727" s="6">
        <v>60300</v>
      </c>
      <c r="K727" t="s">
        <v>3</v>
      </c>
      <c r="L727" t="s">
        <v>1984</v>
      </c>
      <c r="M727" t="s">
        <v>3</v>
      </c>
      <c r="N727" s="25" t="str">
        <f>TEXT(tbl_Ledger[[#This Row],[Date]],"yyyy-mm")</f>
        <v>2025-08</v>
      </c>
      <c r="O727" s="25" t="str">
        <f>TEXT(tbl_Ledger[[#This Row],[Date]],"yyyy-mm") &amp; TRIM(tbl_Ledger[[#This Row],[Currency]])</f>
        <v>2025-08NGN</v>
      </c>
      <c r="P727" s="25">
        <f>_xlfn.XLOOKUP(tbl_Ledger[[#This Row],[Key]], tbl_FX[Key], tbl_FX[Rate_to_NGN])</f>
        <v>1</v>
      </c>
      <c r="Q727" s="37">
        <f>IF(tbl_Ledger[[#This Row],[Account_Type]]="Expense",-ABS(tbl_Ledger[[#This Row],[Amount]]*tbl_Ledger[[#This Row],[Rate_to_NGN]]),tbl_Ledger[[#This Row],[Amount]]*tbl_Ledger[[#This Row],[Rate_to_NGN]])</f>
        <v>60300</v>
      </c>
      <c r="R727" s="25" t="str">
        <f>_xlfn.XLOOKUP(tbl_Ledger[[#This Row],[Account_Code]], tbl_Accounts[Account_Code], tbl_Accounts[Type])</f>
        <v>Revenue</v>
      </c>
      <c r="S727" s="25" t="str">
        <f>_xlfn.XLOOKUP(tbl_Ledger[[#This Row],[Account_Code]], tbl_Accounts[Account_Code], tbl_Accounts[PL_Bucket])</f>
        <v>Revenue</v>
      </c>
      <c r="T727" s="25">
        <f t="shared" si="11"/>
        <v>60300</v>
      </c>
    </row>
    <row r="728" spans="1:20">
      <c r="A728" t="s">
        <v>1987</v>
      </c>
      <c r="B728" s="7">
        <v>45885</v>
      </c>
      <c r="C728" t="s">
        <v>93</v>
      </c>
      <c r="D728" t="s">
        <v>111</v>
      </c>
      <c r="E728" t="s">
        <v>119</v>
      </c>
      <c r="F728" s="12" t="s">
        <v>24</v>
      </c>
      <c r="G728" t="s">
        <v>25</v>
      </c>
      <c r="H728" t="s">
        <v>1988</v>
      </c>
      <c r="I728" t="s">
        <v>71</v>
      </c>
      <c r="J728" s="6">
        <v>60800</v>
      </c>
      <c r="K728" t="s">
        <v>3</v>
      </c>
      <c r="L728" t="s">
        <v>1984</v>
      </c>
      <c r="M728" t="s">
        <v>3</v>
      </c>
      <c r="N728" s="25" t="str">
        <f>TEXT(tbl_Ledger[[#This Row],[Date]],"yyyy-mm")</f>
        <v>2025-08</v>
      </c>
      <c r="O728" s="25" t="str">
        <f>TEXT(tbl_Ledger[[#This Row],[Date]],"yyyy-mm") &amp; TRIM(tbl_Ledger[[#This Row],[Currency]])</f>
        <v>2025-08NGN</v>
      </c>
      <c r="P728" s="25">
        <f>_xlfn.XLOOKUP(tbl_Ledger[[#This Row],[Key]], tbl_FX[Key], tbl_FX[Rate_to_NGN])</f>
        <v>1</v>
      </c>
      <c r="Q728" s="37">
        <f>IF(tbl_Ledger[[#This Row],[Account_Type]]="Expense",-ABS(tbl_Ledger[[#This Row],[Amount]]*tbl_Ledger[[#This Row],[Rate_to_NGN]]),tbl_Ledger[[#This Row],[Amount]]*tbl_Ledger[[#This Row],[Rate_to_NGN]])</f>
        <v>60800</v>
      </c>
      <c r="R728" s="25" t="str">
        <f>_xlfn.XLOOKUP(tbl_Ledger[[#This Row],[Account_Code]], tbl_Accounts[Account_Code], tbl_Accounts[Type])</f>
        <v>Revenue</v>
      </c>
      <c r="S728" s="25" t="str">
        <f>_xlfn.XLOOKUP(tbl_Ledger[[#This Row],[Account_Code]], tbl_Accounts[Account_Code], tbl_Accounts[PL_Bucket])</f>
        <v>Revenue</v>
      </c>
      <c r="T728" s="25">
        <f t="shared" si="11"/>
        <v>60800</v>
      </c>
    </row>
    <row r="729" spans="1:20">
      <c r="A729" t="s">
        <v>1989</v>
      </c>
      <c r="B729" s="7">
        <v>45885</v>
      </c>
      <c r="C729" t="s">
        <v>93</v>
      </c>
      <c r="D729" t="s">
        <v>111</v>
      </c>
      <c r="E729" t="s">
        <v>170</v>
      </c>
      <c r="F729" s="12" t="s">
        <v>24</v>
      </c>
      <c r="G729" t="s">
        <v>25</v>
      </c>
      <c r="H729" t="s">
        <v>1990</v>
      </c>
      <c r="I729" t="s">
        <v>71</v>
      </c>
      <c r="J729" s="6">
        <v>67300</v>
      </c>
      <c r="K729" t="s">
        <v>3</v>
      </c>
      <c r="L729" t="s">
        <v>1984</v>
      </c>
      <c r="M729" t="s">
        <v>3</v>
      </c>
      <c r="N729" s="25" t="str">
        <f>TEXT(tbl_Ledger[[#This Row],[Date]],"yyyy-mm")</f>
        <v>2025-08</v>
      </c>
      <c r="O729" s="25" t="str">
        <f>TEXT(tbl_Ledger[[#This Row],[Date]],"yyyy-mm") &amp; TRIM(tbl_Ledger[[#This Row],[Currency]])</f>
        <v>2025-08NGN</v>
      </c>
      <c r="P729" s="25">
        <f>_xlfn.XLOOKUP(tbl_Ledger[[#This Row],[Key]], tbl_FX[Key], tbl_FX[Rate_to_NGN])</f>
        <v>1</v>
      </c>
      <c r="Q729" s="37">
        <f>IF(tbl_Ledger[[#This Row],[Account_Type]]="Expense",-ABS(tbl_Ledger[[#This Row],[Amount]]*tbl_Ledger[[#This Row],[Rate_to_NGN]]),tbl_Ledger[[#This Row],[Amount]]*tbl_Ledger[[#This Row],[Rate_to_NGN]])</f>
        <v>67300</v>
      </c>
      <c r="R729" s="25" t="str">
        <f>_xlfn.XLOOKUP(tbl_Ledger[[#This Row],[Account_Code]], tbl_Accounts[Account_Code], tbl_Accounts[Type])</f>
        <v>Revenue</v>
      </c>
      <c r="S729" s="25" t="str">
        <f>_xlfn.XLOOKUP(tbl_Ledger[[#This Row],[Account_Code]], tbl_Accounts[Account_Code], tbl_Accounts[PL_Bucket])</f>
        <v>Revenue</v>
      </c>
      <c r="T729" s="25">
        <f t="shared" si="11"/>
        <v>67300</v>
      </c>
    </row>
    <row r="730" spans="1:20">
      <c r="A730" t="s">
        <v>1991</v>
      </c>
      <c r="B730" s="7">
        <v>45885</v>
      </c>
      <c r="C730" t="s">
        <v>93</v>
      </c>
      <c r="D730" t="s">
        <v>111</v>
      </c>
      <c r="E730" t="s">
        <v>122</v>
      </c>
      <c r="F730" s="12" t="s">
        <v>24</v>
      </c>
      <c r="G730" t="s">
        <v>25</v>
      </c>
      <c r="H730" t="s">
        <v>1992</v>
      </c>
      <c r="I730" t="s">
        <v>73</v>
      </c>
      <c r="J730" s="6">
        <v>659.6</v>
      </c>
      <c r="K730" t="s">
        <v>3</v>
      </c>
      <c r="L730" t="s">
        <v>1993</v>
      </c>
      <c r="M730" t="s">
        <v>3</v>
      </c>
      <c r="N730" s="25" t="str">
        <f>TEXT(tbl_Ledger[[#This Row],[Date]],"yyyy-mm")</f>
        <v>2025-08</v>
      </c>
      <c r="O730" s="25" t="str">
        <f>TEXT(tbl_Ledger[[#This Row],[Date]],"yyyy-mm") &amp; TRIM(tbl_Ledger[[#This Row],[Currency]])</f>
        <v>2025-08GHS</v>
      </c>
      <c r="P730" s="25">
        <f>_xlfn.XLOOKUP(tbl_Ledger[[#This Row],[Key]], tbl_FX[Key], tbl_FX[Rate_to_NGN])</f>
        <v>99</v>
      </c>
      <c r="Q730" s="37">
        <f>IF(tbl_Ledger[[#This Row],[Account_Type]]="Expense",-ABS(tbl_Ledger[[#This Row],[Amount]]*tbl_Ledger[[#This Row],[Rate_to_NGN]]),tbl_Ledger[[#This Row],[Amount]]*tbl_Ledger[[#This Row],[Rate_to_NGN]])</f>
        <v>65300.4</v>
      </c>
      <c r="R730" s="25" t="str">
        <f>_xlfn.XLOOKUP(tbl_Ledger[[#This Row],[Account_Code]], tbl_Accounts[Account_Code], tbl_Accounts[Type])</f>
        <v>Revenue</v>
      </c>
      <c r="S730" s="25" t="str">
        <f>_xlfn.XLOOKUP(tbl_Ledger[[#This Row],[Account_Code]], tbl_Accounts[Account_Code], tbl_Accounts[PL_Bucket])</f>
        <v>Revenue</v>
      </c>
      <c r="T730" s="25">
        <f t="shared" si="11"/>
        <v>65300.4</v>
      </c>
    </row>
    <row r="731" spans="1:20">
      <c r="A731" t="s">
        <v>1994</v>
      </c>
      <c r="B731" s="7">
        <v>45885</v>
      </c>
      <c r="C731" t="s">
        <v>126</v>
      </c>
      <c r="D731" t="s">
        <v>88</v>
      </c>
      <c r="E731" t="s">
        <v>127</v>
      </c>
      <c r="F731" s="12" t="s">
        <v>29</v>
      </c>
      <c r="G731" t="s">
        <v>30</v>
      </c>
      <c r="H731" t="s">
        <v>1995</v>
      </c>
      <c r="I731" t="s">
        <v>72</v>
      </c>
      <c r="J731" s="6">
        <v>29.64</v>
      </c>
      <c r="K731" t="s">
        <v>129</v>
      </c>
      <c r="L731" t="s">
        <v>1996</v>
      </c>
      <c r="M731" t="s">
        <v>3</v>
      </c>
      <c r="N731" s="25" t="str">
        <f>TEXT(tbl_Ledger[[#This Row],[Date]],"yyyy-mm")</f>
        <v>2025-08</v>
      </c>
      <c r="O731" s="25" t="str">
        <f>TEXT(tbl_Ledger[[#This Row],[Date]],"yyyy-mm") &amp; TRIM(tbl_Ledger[[#This Row],[Currency]])</f>
        <v>2025-08USD</v>
      </c>
      <c r="P731" s="25">
        <f>_xlfn.XLOOKUP(tbl_Ledger[[#This Row],[Key]], tbl_FX[Key], tbl_FX[Rate_to_NGN])</f>
        <v>1572</v>
      </c>
      <c r="Q731" s="37">
        <f>IF(tbl_Ledger[[#This Row],[Account_Type]]="Expense",-ABS(tbl_Ledger[[#This Row],[Amount]]*tbl_Ledger[[#This Row],[Rate_to_NGN]]),tbl_Ledger[[#This Row],[Amount]]*tbl_Ledger[[#This Row],[Rate_to_NGN]])</f>
        <v>46594.080000000002</v>
      </c>
      <c r="R731" s="25" t="str">
        <f>_xlfn.XLOOKUP(tbl_Ledger[[#This Row],[Account_Code]], tbl_Accounts[Account_Code], tbl_Accounts[Type])</f>
        <v>Revenue</v>
      </c>
      <c r="S731" s="25" t="str">
        <f>_xlfn.XLOOKUP(tbl_Ledger[[#This Row],[Account_Code]], tbl_Accounts[Account_Code], tbl_Accounts[PL_Bucket])</f>
        <v>Revenue</v>
      </c>
      <c r="T731" s="25">
        <f t="shared" si="11"/>
        <v>46594.080000000002</v>
      </c>
    </row>
    <row r="732" spans="1:20">
      <c r="A732" t="s">
        <v>1997</v>
      </c>
      <c r="B732" s="7">
        <v>45885</v>
      </c>
      <c r="C732" t="s">
        <v>126</v>
      </c>
      <c r="D732" t="s">
        <v>88</v>
      </c>
      <c r="E732" t="s">
        <v>132</v>
      </c>
      <c r="F732" s="12" t="s">
        <v>29</v>
      </c>
      <c r="G732" t="s">
        <v>30</v>
      </c>
      <c r="H732" t="s">
        <v>1998</v>
      </c>
      <c r="I732" t="s">
        <v>71</v>
      </c>
      <c r="J732" s="6">
        <v>48000</v>
      </c>
      <c r="K732" t="s">
        <v>134</v>
      </c>
      <c r="L732" t="s">
        <v>1996</v>
      </c>
      <c r="M732" t="s">
        <v>3</v>
      </c>
      <c r="N732" s="25" t="str">
        <f>TEXT(tbl_Ledger[[#This Row],[Date]],"yyyy-mm")</f>
        <v>2025-08</v>
      </c>
      <c r="O732" s="25" t="str">
        <f>TEXT(tbl_Ledger[[#This Row],[Date]],"yyyy-mm") &amp; TRIM(tbl_Ledger[[#This Row],[Currency]])</f>
        <v>2025-08NGN</v>
      </c>
      <c r="P732" s="25">
        <f>_xlfn.XLOOKUP(tbl_Ledger[[#This Row],[Key]], tbl_FX[Key], tbl_FX[Rate_to_NGN])</f>
        <v>1</v>
      </c>
      <c r="Q732" s="37">
        <f>IF(tbl_Ledger[[#This Row],[Account_Type]]="Expense",-ABS(tbl_Ledger[[#This Row],[Amount]]*tbl_Ledger[[#This Row],[Rate_to_NGN]]),tbl_Ledger[[#This Row],[Amount]]*tbl_Ledger[[#This Row],[Rate_to_NGN]])</f>
        <v>48000</v>
      </c>
      <c r="R732" s="25" t="str">
        <f>_xlfn.XLOOKUP(tbl_Ledger[[#This Row],[Account_Code]], tbl_Accounts[Account_Code], tbl_Accounts[Type])</f>
        <v>Revenue</v>
      </c>
      <c r="S732" s="25" t="str">
        <f>_xlfn.XLOOKUP(tbl_Ledger[[#This Row],[Account_Code]], tbl_Accounts[Account_Code], tbl_Accounts[PL_Bucket])</f>
        <v>Revenue</v>
      </c>
      <c r="T732" s="25">
        <f t="shared" si="11"/>
        <v>48000</v>
      </c>
    </row>
    <row r="733" spans="1:20">
      <c r="A733" t="s">
        <v>1999</v>
      </c>
      <c r="B733" s="7">
        <v>45885</v>
      </c>
      <c r="C733" t="s">
        <v>126</v>
      </c>
      <c r="D733" t="s">
        <v>88</v>
      </c>
      <c r="E733" t="s">
        <v>136</v>
      </c>
      <c r="F733" s="12" t="s">
        <v>29</v>
      </c>
      <c r="G733" t="s">
        <v>30</v>
      </c>
      <c r="H733" t="s">
        <v>2000</v>
      </c>
      <c r="I733" t="s">
        <v>72</v>
      </c>
      <c r="J733" s="6">
        <v>28.82</v>
      </c>
      <c r="K733" t="s">
        <v>138</v>
      </c>
      <c r="L733" t="s">
        <v>1996</v>
      </c>
      <c r="M733" t="s">
        <v>3</v>
      </c>
      <c r="N733" s="25" t="str">
        <f>TEXT(tbl_Ledger[[#This Row],[Date]],"yyyy-mm")</f>
        <v>2025-08</v>
      </c>
      <c r="O733" s="25" t="str">
        <f>TEXT(tbl_Ledger[[#This Row],[Date]],"yyyy-mm") &amp; TRIM(tbl_Ledger[[#This Row],[Currency]])</f>
        <v>2025-08USD</v>
      </c>
      <c r="P733" s="25">
        <f>_xlfn.XLOOKUP(tbl_Ledger[[#This Row],[Key]], tbl_FX[Key], tbl_FX[Rate_to_NGN])</f>
        <v>1572</v>
      </c>
      <c r="Q733" s="37">
        <f>IF(tbl_Ledger[[#This Row],[Account_Type]]="Expense",-ABS(tbl_Ledger[[#This Row],[Amount]]*tbl_Ledger[[#This Row],[Rate_to_NGN]]),tbl_Ledger[[#This Row],[Amount]]*tbl_Ledger[[#This Row],[Rate_to_NGN]])</f>
        <v>45305.04</v>
      </c>
      <c r="R733" s="25" t="str">
        <f>_xlfn.XLOOKUP(tbl_Ledger[[#This Row],[Account_Code]], tbl_Accounts[Account_Code], tbl_Accounts[Type])</f>
        <v>Revenue</v>
      </c>
      <c r="S733" s="25" t="str">
        <f>_xlfn.XLOOKUP(tbl_Ledger[[#This Row],[Account_Code]], tbl_Accounts[Account_Code], tbl_Accounts[PL_Bucket])</f>
        <v>Revenue</v>
      </c>
      <c r="T733" s="25">
        <f t="shared" si="11"/>
        <v>45305.04</v>
      </c>
    </row>
    <row r="734" spans="1:20">
      <c r="A734" t="s">
        <v>2001</v>
      </c>
      <c r="B734" s="7">
        <v>45885</v>
      </c>
      <c r="C734" t="s">
        <v>126</v>
      </c>
      <c r="D734" t="s">
        <v>88</v>
      </c>
      <c r="E734" t="s">
        <v>140</v>
      </c>
      <c r="F734" s="12" t="s">
        <v>29</v>
      </c>
      <c r="G734" t="s">
        <v>30</v>
      </c>
      <c r="H734" t="s">
        <v>2002</v>
      </c>
      <c r="I734" t="s">
        <v>71</v>
      </c>
      <c r="J734" s="6">
        <v>51500</v>
      </c>
      <c r="K734" t="s">
        <v>3</v>
      </c>
      <c r="L734" t="s">
        <v>2003</v>
      </c>
      <c r="M734" t="s">
        <v>3</v>
      </c>
      <c r="N734" s="25" t="str">
        <f>TEXT(tbl_Ledger[[#This Row],[Date]],"yyyy-mm")</f>
        <v>2025-08</v>
      </c>
      <c r="O734" s="25" t="str">
        <f>TEXT(tbl_Ledger[[#This Row],[Date]],"yyyy-mm") &amp; TRIM(tbl_Ledger[[#This Row],[Currency]])</f>
        <v>2025-08NGN</v>
      </c>
      <c r="P734" s="25">
        <f>_xlfn.XLOOKUP(tbl_Ledger[[#This Row],[Key]], tbl_FX[Key], tbl_FX[Rate_to_NGN])</f>
        <v>1</v>
      </c>
      <c r="Q734" s="37">
        <f>IF(tbl_Ledger[[#This Row],[Account_Type]]="Expense",-ABS(tbl_Ledger[[#This Row],[Amount]]*tbl_Ledger[[#This Row],[Rate_to_NGN]]),tbl_Ledger[[#This Row],[Amount]]*tbl_Ledger[[#This Row],[Rate_to_NGN]])</f>
        <v>51500</v>
      </c>
      <c r="R734" s="25" t="str">
        <f>_xlfn.XLOOKUP(tbl_Ledger[[#This Row],[Account_Code]], tbl_Accounts[Account_Code], tbl_Accounts[Type])</f>
        <v>Revenue</v>
      </c>
      <c r="S734" s="25" t="str">
        <f>_xlfn.XLOOKUP(tbl_Ledger[[#This Row],[Account_Code]], tbl_Accounts[Account_Code], tbl_Accounts[PL_Bucket])</f>
        <v>Revenue</v>
      </c>
      <c r="T734" s="25">
        <f t="shared" si="11"/>
        <v>51500</v>
      </c>
    </row>
    <row r="735" spans="1:20">
      <c r="A735" t="s">
        <v>2004</v>
      </c>
      <c r="B735" s="7">
        <v>45885</v>
      </c>
      <c r="C735" t="s">
        <v>87</v>
      </c>
      <c r="D735" t="s">
        <v>94</v>
      </c>
      <c r="E735" t="s">
        <v>3</v>
      </c>
      <c r="F735" s="12" t="s">
        <v>38</v>
      </c>
      <c r="G735" t="s">
        <v>39</v>
      </c>
      <c r="H735" t="s">
        <v>1423</v>
      </c>
      <c r="I735" t="s">
        <v>71</v>
      </c>
      <c r="J735" s="6">
        <v>-100000</v>
      </c>
      <c r="K735" t="s">
        <v>276</v>
      </c>
      <c r="L735" t="s">
        <v>2005</v>
      </c>
      <c r="M735" t="s">
        <v>3</v>
      </c>
      <c r="N735" s="25" t="str">
        <f>TEXT(tbl_Ledger[[#This Row],[Date]],"yyyy-mm")</f>
        <v>2025-08</v>
      </c>
      <c r="O735" s="25" t="str">
        <f>TEXT(tbl_Ledger[[#This Row],[Date]],"yyyy-mm") &amp; TRIM(tbl_Ledger[[#This Row],[Currency]])</f>
        <v>2025-08NGN</v>
      </c>
      <c r="P735" s="25">
        <f>_xlfn.XLOOKUP(tbl_Ledger[[#This Row],[Key]], tbl_FX[Key], tbl_FX[Rate_to_NGN])</f>
        <v>1</v>
      </c>
      <c r="Q735" s="37">
        <f>IF(tbl_Ledger[[#This Row],[Account_Type]]="Expense",-ABS(tbl_Ledger[[#This Row],[Amount]]*tbl_Ledger[[#This Row],[Rate_to_NGN]]),tbl_Ledger[[#This Row],[Amount]]*tbl_Ledger[[#This Row],[Rate_to_NGN]])</f>
        <v>-100000</v>
      </c>
      <c r="R735" s="25" t="str">
        <f>_xlfn.XLOOKUP(tbl_Ledger[[#This Row],[Account_Code]], tbl_Accounts[Account_Code], tbl_Accounts[Type])</f>
        <v>COGS</v>
      </c>
      <c r="S735" s="25" t="str">
        <f>_xlfn.XLOOKUP(tbl_Ledger[[#This Row],[Account_Code]], tbl_Accounts[Account_Code], tbl_Accounts[PL_Bucket])</f>
        <v>COGS</v>
      </c>
      <c r="T735" s="25">
        <f t="shared" si="11"/>
        <v>-100000</v>
      </c>
    </row>
    <row r="736" spans="1:20">
      <c r="A736" t="s">
        <v>2006</v>
      </c>
      <c r="B736" s="7">
        <v>45886</v>
      </c>
      <c r="C736" t="s">
        <v>93</v>
      </c>
      <c r="D736" t="s">
        <v>94</v>
      </c>
      <c r="E736" t="s">
        <v>95</v>
      </c>
      <c r="F736" s="12" t="s">
        <v>24</v>
      </c>
      <c r="G736" t="s">
        <v>25</v>
      </c>
      <c r="H736" t="s">
        <v>2007</v>
      </c>
      <c r="I736" t="s">
        <v>71</v>
      </c>
      <c r="J736" s="6">
        <v>34500</v>
      </c>
      <c r="K736" t="s">
        <v>3</v>
      </c>
      <c r="L736" t="s">
        <v>2008</v>
      </c>
      <c r="M736" t="s">
        <v>3</v>
      </c>
      <c r="N736" s="25" t="str">
        <f>TEXT(tbl_Ledger[[#This Row],[Date]],"yyyy-mm")</f>
        <v>2025-08</v>
      </c>
      <c r="O736" s="25" t="str">
        <f>TEXT(tbl_Ledger[[#This Row],[Date]],"yyyy-mm") &amp; TRIM(tbl_Ledger[[#This Row],[Currency]])</f>
        <v>2025-08NGN</v>
      </c>
      <c r="P736" s="25">
        <f>_xlfn.XLOOKUP(tbl_Ledger[[#This Row],[Key]], tbl_FX[Key], tbl_FX[Rate_to_NGN])</f>
        <v>1</v>
      </c>
      <c r="Q736" s="37">
        <f>IF(tbl_Ledger[[#This Row],[Account_Type]]="Expense",-ABS(tbl_Ledger[[#This Row],[Amount]]*tbl_Ledger[[#This Row],[Rate_to_NGN]]),tbl_Ledger[[#This Row],[Amount]]*tbl_Ledger[[#This Row],[Rate_to_NGN]])</f>
        <v>34500</v>
      </c>
      <c r="R736" s="25" t="str">
        <f>_xlfn.XLOOKUP(tbl_Ledger[[#This Row],[Account_Code]], tbl_Accounts[Account_Code], tbl_Accounts[Type])</f>
        <v>Revenue</v>
      </c>
      <c r="S736" s="25" t="str">
        <f>_xlfn.XLOOKUP(tbl_Ledger[[#This Row],[Account_Code]], tbl_Accounts[Account_Code], tbl_Accounts[PL_Bucket])</f>
        <v>Revenue</v>
      </c>
      <c r="T736" s="25">
        <f t="shared" si="11"/>
        <v>34500</v>
      </c>
    </row>
    <row r="737" spans="1:20">
      <c r="A737" t="s">
        <v>2009</v>
      </c>
      <c r="B737" s="7">
        <v>45886</v>
      </c>
      <c r="C737" t="s">
        <v>93</v>
      </c>
      <c r="D737" t="s">
        <v>94</v>
      </c>
      <c r="E737" t="s">
        <v>99</v>
      </c>
      <c r="F737" s="12" t="s">
        <v>24</v>
      </c>
      <c r="G737" t="s">
        <v>25</v>
      </c>
      <c r="H737" t="s">
        <v>2010</v>
      </c>
      <c r="I737" t="s">
        <v>71</v>
      </c>
      <c r="J737" s="6">
        <v>38700</v>
      </c>
      <c r="K737" t="s">
        <v>3</v>
      </c>
      <c r="L737" t="s">
        <v>2011</v>
      </c>
      <c r="M737" t="s">
        <v>3</v>
      </c>
      <c r="N737" s="25" t="str">
        <f>TEXT(tbl_Ledger[[#This Row],[Date]],"yyyy-mm")</f>
        <v>2025-08</v>
      </c>
      <c r="O737" s="25" t="str">
        <f>TEXT(tbl_Ledger[[#This Row],[Date]],"yyyy-mm") &amp; TRIM(tbl_Ledger[[#This Row],[Currency]])</f>
        <v>2025-08NGN</v>
      </c>
      <c r="P737" s="25">
        <f>_xlfn.XLOOKUP(tbl_Ledger[[#This Row],[Key]], tbl_FX[Key], tbl_FX[Rate_to_NGN])</f>
        <v>1</v>
      </c>
      <c r="Q737" s="37">
        <f>IF(tbl_Ledger[[#This Row],[Account_Type]]="Expense",-ABS(tbl_Ledger[[#This Row],[Amount]]*tbl_Ledger[[#This Row],[Rate_to_NGN]]),tbl_Ledger[[#This Row],[Amount]]*tbl_Ledger[[#This Row],[Rate_to_NGN]])</f>
        <v>38700</v>
      </c>
      <c r="R737" s="25" t="str">
        <f>_xlfn.XLOOKUP(tbl_Ledger[[#This Row],[Account_Code]], tbl_Accounts[Account_Code], tbl_Accounts[Type])</f>
        <v>Revenue</v>
      </c>
      <c r="S737" s="25" t="str">
        <f>_xlfn.XLOOKUP(tbl_Ledger[[#This Row],[Account_Code]], tbl_Accounts[Account_Code], tbl_Accounts[PL_Bucket])</f>
        <v>Revenue</v>
      </c>
      <c r="T737" s="25">
        <f t="shared" si="11"/>
        <v>38700</v>
      </c>
    </row>
    <row r="738" spans="1:20">
      <c r="A738" t="s">
        <v>2012</v>
      </c>
      <c r="B738" s="7">
        <v>45886</v>
      </c>
      <c r="C738" t="s">
        <v>93</v>
      </c>
      <c r="D738" t="s">
        <v>94</v>
      </c>
      <c r="E738" t="s">
        <v>103</v>
      </c>
      <c r="F738" s="12" t="s">
        <v>24</v>
      </c>
      <c r="G738" t="s">
        <v>25</v>
      </c>
      <c r="H738" t="s">
        <v>2013</v>
      </c>
      <c r="I738" t="s">
        <v>71</v>
      </c>
      <c r="J738" s="6">
        <v>37200</v>
      </c>
      <c r="K738" t="s">
        <v>3</v>
      </c>
      <c r="L738" t="s">
        <v>2014</v>
      </c>
      <c r="M738" t="s">
        <v>3</v>
      </c>
      <c r="N738" s="25" t="str">
        <f>TEXT(tbl_Ledger[[#This Row],[Date]],"yyyy-mm")</f>
        <v>2025-08</v>
      </c>
      <c r="O738" s="25" t="str">
        <f>TEXT(tbl_Ledger[[#This Row],[Date]],"yyyy-mm") &amp; TRIM(tbl_Ledger[[#This Row],[Currency]])</f>
        <v>2025-08NGN</v>
      </c>
      <c r="P738" s="25">
        <f>_xlfn.XLOOKUP(tbl_Ledger[[#This Row],[Key]], tbl_FX[Key], tbl_FX[Rate_to_NGN])</f>
        <v>1</v>
      </c>
      <c r="Q738" s="37">
        <f>IF(tbl_Ledger[[#This Row],[Account_Type]]="Expense",-ABS(tbl_Ledger[[#This Row],[Amount]]*tbl_Ledger[[#This Row],[Rate_to_NGN]]),tbl_Ledger[[#This Row],[Amount]]*tbl_Ledger[[#This Row],[Rate_to_NGN]])</f>
        <v>37200</v>
      </c>
      <c r="R738" s="25" t="str">
        <f>_xlfn.XLOOKUP(tbl_Ledger[[#This Row],[Account_Code]], tbl_Accounts[Account_Code], tbl_Accounts[Type])</f>
        <v>Revenue</v>
      </c>
      <c r="S738" s="25" t="str">
        <f>_xlfn.XLOOKUP(tbl_Ledger[[#This Row],[Account_Code]], tbl_Accounts[Account_Code], tbl_Accounts[PL_Bucket])</f>
        <v>Revenue</v>
      </c>
      <c r="T738" s="25">
        <f t="shared" si="11"/>
        <v>37200</v>
      </c>
    </row>
    <row r="739" spans="1:20">
      <c r="A739" t="s">
        <v>2015</v>
      </c>
      <c r="B739" s="7">
        <v>45886</v>
      </c>
      <c r="C739" t="s">
        <v>93</v>
      </c>
      <c r="D739" t="s">
        <v>94</v>
      </c>
      <c r="E739" t="s">
        <v>160</v>
      </c>
      <c r="F739" s="12" t="s">
        <v>24</v>
      </c>
      <c r="G739" t="s">
        <v>25</v>
      </c>
      <c r="H739" t="s">
        <v>2016</v>
      </c>
      <c r="I739" t="s">
        <v>71</v>
      </c>
      <c r="J739" s="6">
        <v>35100</v>
      </c>
      <c r="K739" t="s">
        <v>3</v>
      </c>
      <c r="L739" t="s">
        <v>2014</v>
      </c>
      <c r="M739" t="s">
        <v>3</v>
      </c>
      <c r="N739" s="25" t="str">
        <f>TEXT(tbl_Ledger[[#This Row],[Date]],"yyyy-mm")</f>
        <v>2025-08</v>
      </c>
      <c r="O739" s="25" t="str">
        <f>TEXT(tbl_Ledger[[#This Row],[Date]],"yyyy-mm") &amp; TRIM(tbl_Ledger[[#This Row],[Currency]])</f>
        <v>2025-08NGN</v>
      </c>
      <c r="P739" s="25">
        <f>_xlfn.XLOOKUP(tbl_Ledger[[#This Row],[Key]], tbl_FX[Key], tbl_FX[Rate_to_NGN])</f>
        <v>1</v>
      </c>
      <c r="Q739" s="37">
        <f>IF(tbl_Ledger[[#This Row],[Account_Type]]="Expense",-ABS(tbl_Ledger[[#This Row],[Amount]]*tbl_Ledger[[#This Row],[Rate_to_NGN]]),tbl_Ledger[[#This Row],[Amount]]*tbl_Ledger[[#This Row],[Rate_to_NGN]])</f>
        <v>35100</v>
      </c>
      <c r="R739" s="25" t="str">
        <f>_xlfn.XLOOKUP(tbl_Ledger[[#This Row],[Account_Code]], tbl_Accounts[Account_Code], tbl_Accounts[Type])</f>
        <v>Revenue</v>
      </c>
      <c r="S739" s="25" t="str">
        <f>_xlfn.XLOOKUP(tbl_Ledger[[#This Row],[Account_Code]], tbl_Accounts[Account_Code], tbl_Accounts[PL_Bucket])</f>
        <v>Revenue</v>
      </c>
      <c r="T739" s="25">
        <f t="shared" si="11"/>
        <v>35100</v>
      </c>
    </row>
    <row r="740" spans="1:20">
      <c r="A740" t="s">
        <v>2017</v>
      </c>
      <c r="B740" s="7">
        <v>45886</v>
      </c>
      <c r="C740" t="s">
        <v>93</v>
      </c>
      <c r="D740" t="s">
        <v>94</v>
      </c>
      <c r="E740" t="s">
        <v>107</v>
      </c>
      <c r="F740" s="12" t="s">
        <v>24</v>
      </c>
      <c r="G740" t="s">
        <v>25</v>
      </c>
      <c r="H740" t="s">
        <v>2018</v>
      </c>
      <c r="I740" t="s">
        <v>71</v>
      </c>
      <c r="J740" s="6">
        <v>38500</v>
      </c>
      <c r="K740" t="s">
        <v>3</v>
      </c>
      <c r="L740" t="s">
        <v>2019</v>
      </c>
      <c r="M740" t="s">
        <v>3</v>
      </c>
      <c r="N740" s="25" t="str">
        <f>TEXT(tbl_Ledger[[#This Row],[Date]],"yyyy-mm")</f>
        <v>2025-08</v>
      </c>
      <c r="O740" s="25" t="str">
        <f>TEXT(tbl_Ledger[[#This Row],[Date]],"yyyy-mm") &amp; TRIM(tbl_Ledger[[#This Row],[Currency]])</f>
        <v>2025-08NGN</v>
      </c>
      <c r="P740" s="25">
        <f>_xlfn.XLOOKUP(tbl_Ledger[[#This Row],[Key]], tbl_FX[Key], tbl_FX[Rate_to_NGN])</f>
        <v>1</v>
      </c>
      <c r="Q740" s="37">
        <f>IF(tbl_Ledger[[#This Row],[Account_Type]]="Expense",-ABS(tbl_Ledger[[#This Row],[Amount]]*tbl_Ledger[[#This Row],[Rate_to_NGN]]),tbl_Ledger[[#This Row],[Amount]]*tbl_Ledger[[#This Row],[Rate_to_NGN]])</f>
        <v>38500</v>
      </c>
      <c r="R740" s="25" t="str">
        <f>_xlfn.XLOOKUP(tbl_Ledger[[#This Row],[Account_Code]], tbl_Accounts[Account_Code], tbl_Accounts[Type])</f>
        <v>Revenue</v>
      </c>
      <c r="S740" s="25" t="str">
        <f>_xlfn.XLOOKUP(tbl_Ledger[[#This Row],[Account_Code]], tbl_Accounts[Account_Code], tbl_Accounts[PL_Bucket])</f>
        <v>Revenue</v>
      </c>
      <c r="T740" s="25">
        <f t="shared" si="11"/>
        <v>38500</v>
      </c>
    </row>
    <row r="741" spans="1:20">
      <c r="A741" t="s">
        <v>2020</v>
      </c>
      <c r="B741" s="7">
        <v>45886</v>
      </c>
      <c r="C741" t="s">
        <v>93</v>
      </c>
      <c r="D741" t="s">
        <v>111</v>
      </c>
      <c r="E741" t="s">
        <v>112</v>
      </c>
      <c r="F741" s="12" t="s">
        <v>24</v>
      </c>
      <c r="G741" t="s">
        <v>25</v>
      </c>
      <c r="H741" t="s">
        <v>2021</v>
      </c>
      <c r="I741" t="s">
        <v>71</v>
      </c>
      <c r="J741" s="6">
        <v>63300</v>
      </c>
      <c r="K741" t="s">
        <v>3</v>
      </c>
      <c r="L741" t="s">
        <v>2022</v>
      </c>
      <c r="M741" t="s">
        <v>3</v>
      </c>
      <c r="N741" s="25" t="str">
        <f>TEXT(tbl_Ledger[[#This Row],[Date]],"yyyy-mm")</f>
        <v>2025-08</v>
      </c>
      <c r="O741" s="25" t="str">
        <f>TEXT(tbl_Ledger[[#This Row],[Date]],"yyyy-mm") &amp; TRIM(tbl_Ledger[[#This Row],[Currency]])</f>
        <v>2025-08NGN</v>
      </c>
      <c r="P741" s="25">
        <f>_xlfn.XLOOKUP(tbl_Ledger[[#This Row],[Key]], tbl_FX[Key], tbl_FX[Rate_to_NGN])</f>
        <v>1</v>
      </c>
      <c r="Q741" s="37">
        <f>IF(tbl_Ledger[[#This Row],[Account_Type]]="Expense",-ABS(tbl_Ledger[[#This Row],[Amount]]*tbl_Ledger[[#This Row],[Rate_to_NGN]]),tbl_Ledger[[#This Row],[Amount]]*tbl_Ledger[[#This Row],[Rate_to_NGN]])</f>
        <v>63300</v>
      </c>
      <c r="R741" s="25" t="str">
        <f>_xlfn.XLOOKUP(tbl_Ledger[[#This Row],[Account_Code]], tbl_Accounts[Account_Code], tbl_Accounts[Type])</f>
        <v>Revenue</v>
      </c>
      <c r="S741" s="25" t="str">
        <f>_xlfn.XLOOKUP(tbl_Ledger[[#This Row],[Account_Code]], tbl_Accounts[Account_Code], tbl_Accounts[PL_Bucket])</f>
        <v>Revenue</v>
      </c>
      <c r="T741" s="25">
        <f t="shared" si="11"/>
        <v>63300</v>
      </c>
    </row>
    <row r="742" spans="1:20">
      <c r="A742" t="s">
        <v>2023</v>
      </c>
      <c r="B742" s="7">
        <v>45886</v>
      </c>
      <c r="C742" t="s">
        <v>93</v>
      </c>
      <c r="D742" t="s">
        <v>111</v>
      </c>
      <c r="E742" t="s">
        <v>116</v>
      </c>
      <c r="F742" s="12" t="s">
        <v>24</v>
      </c>
      <c r="G742" t="s">
        <v>25</v>
      </c>
      <c r="H742" t="s">
        <v>2024</v>
      </c>
      <c r="I742" t="s">
        <v>71</v>
      </c>
      <c r="J742" s="6">
        <v>65700</v>
      </c>
      <c r="K742" t="s">
        <v>3</v>
      </c>
      <c r="L742" t="s">
        <v>2022</v>
      </c>
      <c r="M742" t="s">
        <v>3</v>
      </c>
      <c r="N742" s="25" t="str">
        <f>TEXT(tbl_Ledger[[#This Row],[Date]],"yyyy-mm")</f>
        <v>2025-08</v>
      </c>
      <c r="O742" s="25" t="str">
        <f>TEXT(tbl_Ledger[[#This Row],[Date]],"yyyy-mm") &amp; TRIM(tbl_Ledger[[#This Row],[Currency]])</f>
        <v>2025-08NGN</v>
      </c>
      <c r="P742" s="25">
        <f>_xlfn.XLOOKUP(tbl_Ledger[[#This Row],[Key]], tbl_FX[Key], tbl_FX[Rate_to_NGN])</f>
        <v>1</v>
      </c>
      <c r="Q742" s="37">
        <f>IF(tbl_Ledger[[#This Row],[Account_Type]]="Expense",-ABS(tbl_Ledger[[#This Row],[Amount]]*tbl_Ledger[[#This Row],[Rate_to_NGN]]),tbl_Ledger[[#This Row],[Amount]]*tbl_Ledger[[#This Row],[Rate_to_NGN]])</f>
        <v>65700</v>
      </c>
      <c r="R742" s="25" t="str">
        <f>_xlfn.XLOOKUP(tbl_Ledger[[#This Row],[Account_Code]], tbl_Accounts[Account_Code], tbl_Accounts[Type])</f>
        <v>Revenue</v>
      </c>
      <c r="S742" s="25" t="str">
        <f>_xlfn.XLOOKUP(tbl_Ledger[[#This Row],[Account_Code]], tbl_Accounts[Account_Code], tbl_Accounts[PL_Bucket])</f>
        <v>Revenue</v>
      </c>
      <c r="T742" s="25">
        <f t="shared" si="11"/>
        <v>65700</v>
      </c>
    </row>
    <row r="743" spans="1:20">
      <c r="A743" t="s">
        <v>2025</v>
      </c>
      <c r="B743" s="7">
        <v>45886</v>
      </c>
      <c r="C743" t="s">
        <v>93</v>
      </c>
      <c r="D743" t="s">
        <v>111</v>
      </c>
      <c r="E743" t="s">
        <v>119</v>
      </c>
      <c r="F743" s="12" t="s">
        <v>24</v>
      </c>
      <c r="G743" t="s">
        <v>25</v>
      </c>
      <c r="H743" t="s">
        <v>2026</v>
      </c>
      <c r="I743" t="s">
        <v>71</v>
      </c>
      <c r="J743" s="6">
        <v>66300</v>
      </c>
      <c r="K743" t="s">
        <v>3</v>
      </c>
      <c r="L743" t="s">
        <v>2022</v>
      </c>
      <c r="M743" t="s">
        <v>3</v>
      </c>
      <c r="N743" s="25" t="str">
        <f>TEXT(tbl_Ledger[[#This Row],[Date]],"yyyy-mm")</f>
        <v>2025-08</v>
      </c>
      <c r="O743" s="25" t="str">
        <f>TEXT(tbl_Ledger[[#This Row],[Date]],"yyyy-mm") &amp; TRIM(tbl_Ledger[[#This Row],[Currency]])</f>
        <v>2025-08NGN</v>
      </c>
      <c r="P743" s="25">
        <f>_xlfn.XLOOKUP(tbl_Ledger[[#This Row],[Key]], tbl_FX[Key], tbl_FX[Rate_to_NGN])</f>
        <v>1</v>
      </c>
      <c r="Q743" s="37">
        <f>IF(tbl_Ledger[[#This Row],[Account_Type]]="Expense",-ABS(tbl_Ledger[[#This Row],[Amount]]*tbl_Ledger[[#This Row],[Rate_to_NGN]]),tbl_Ledger[[#This Row],[Amount]]*tbl_Ledger[[#This Row],[Rate_to_NGN]])</f>
        <v>66300</v>
      </c>
      <c r="R743" s="25" t="str">
        <f>_xlfn.XLOOKUP(tbl_Ledger[[#This Row],[Account_Code]], tbl_Accounts[Account_Code], tbl_Accounts[Type])</f>
        <v>Revenue</v>
      </c>
      <c r="S743" s="25" t="str">
        <f>_xlfn.XLOOKUP(tbl_Ledger[[#This Row],[Account_Code]], tbl_Accounts[Account_Code], tbl_Accounts[PL_Bucket])</f>
        <v>Revenue</v>
      </c>
      <c r="T743" s="25">
        <f t="shared" si="11"/>
        <v>66300</v>
      </c>
    </row>
    <row r="744" spans="1:20">
      <c r="A744" t="s">
        <v>2027</v>
      </c>
      <c r="B744" s="7">
        <v>45886</v>
      </c>
      <c r="C744" t="s">
        <v>93</v>
      </c>
      <c r="D744" t="s">
        <v>111</v>
      </c>
      <c r="E744" t="s">
        <v>170</v>
      </c>
      <c r="F744" s="12" t="s">
        <v>24</v>
      </c>
      <c r="G744" t="s">
        <v>25</v>
      </c>
      <c r="H744" t="s">
        <v>2028</v>
      </c>
      <c r="I744" t="s">
        <v>71</v>
      </c>
      <c r="J744" s="6">
        <v>66800</v>
      </c>
      <c r="K744" t="s">
        <v>3</v>
      </c>
      <c r="L744" t="s">
        <v>2022</v>
      </c>
      <c r="M744" t="s">
        <v>3</v>
      </c>
      <c r="N744" s="25" t="str">
        <f>TEXT(tbl_Ledger[[#This Row],[Date]],"yyyy-mm")</f>
        <v>2025-08</v>
      </c>
      <c r="O744" s="25" t="str">
        <f>TEXT(tbl_Ledger[[#This Row],[Date]],"yyyy-mm") &amp; TRIM(tbl_Ledger[[#This Row],[Currency]])</f>
        <v>2025-08NGN</v>
      </c>
      <c r="P744" s="25">
        <f>_xlfn.XLOOKUP(tbl_Ledger[[#This Row],[Key]], tbl_FX[Key], tbl_FX[Rate_to_NGN])</f>
        <v>1</v>
      </c>
      <c r="Q744" s="37">
        <f>IF(tbl_Ledger[[#This Row],[Account_Type]]="Expense",-ABS(tbl_Ledger[[#This Row],[Amount]]*tbl_Ledger[[#This Row],[Rate_to_NGN]]),tbl_Ledger[[#This Row],[Amount]]*tbl_Ledger[[#This Row],[Rate_to_NGN]])</f>
        <v>66800</v>
      </c>
      <c r="R744" s="25" t="str">
        <f>_xlfn.XLOOKUP(tbl_Ledger[[#This Row],[Account_Code]], tbl_Accounts[Account_Code], tbl_Accounts[Type])</f>
        <v>Revenue</v>
      </c>
      <c r="S744" s="25" t="str">
        <f>_xlfn.XLOOKUP(tbl_Ledger[[#This Row],[Account_Code]], tbl_Accounts[Account_Code], tbl_Accounts[PL_Bucket])</f>
        <v>Revenue</v>
      </c>
      <c r="T744" s="25">
        <f t="shared" si="11"/>
        <v>66800</v>
      </c>
    </row>
    <row r="745" spans="1:20">
      <c r="A745" t="s">
        <v>2029</v>
      </c>
      <c r="B745" s="7">
        <v>45886</v>
      </c>
      <c r="C745" t="s">
        <v>93</v>
      </c>
      <c r="D745" t="s">
        <v>111</v>
      </c>
      <c r="E745" t="s">
        <v>122</v>
      </c>
      <c r="F745" s="12" t="s">
        <v>24</v>
      </c>
      <c r="G745" t="s">
        <v>25</v>
      </c>
      <c r="H745" t="s">
        <v>2030</v>
      </c>
      <c r="I745" t="s">
        <v>73</v>
      </c>
      <c r="J745" s="6">
        <v>642.41999999999996</v>
      </c>
      <c r="K745" t="s">
        <v>3</v>
      </c>
      <c r="L745" t="s">
        <v>2031</v>
      </c>
      <c r="M745" t="s">
        <v>3</v>
      </c>
      <c r="N745" s="25" t="str">
        <f>TEXT(tbl_Ledger[[#This Row],[Date]],"yyyy-mm")</f>
        <v>2025-08</v>
      </c>
      <c r="O745" s="25" t="str">
        <f>TEXT(tbl_Ledger[[#This Row],[Date]],"yyyy-mm") &amp; TRIM(tbl_Ledger[[#This Row],[Currency]])</f>
        <v>2025-08GHS</v>
      </c>
      <c r="P745" s="25">
        <f>_xlfn.XLOOKUP(tbl_Ledger[[#This Row],[Key]], tbl_FX[Key], tbl_FX[Rate_to_NGN])</f>
        <v>99</v>
      </c>
      <c r="Q745" s="37">
        <f>IF(tbl_Ledger[[#This Row],[Account_Type]]="Expense",-ABS(tbl_Ledger[[#This Row],[Amount]]*tbl_Ledger[[#This Row],[Rate_to_NGN]]),tbl_Ledger[[#This Row],[Amount]]*tbl_Ledger[[#This Row],[Rate_to_NGN]])</f>
        <v>63599.579999999994</v>
      </c>
      <c r="R745" s="25" t="str">
        <f>_xlfn.XLOOKUP(tbl_Ledger[[#This Row],[Account_Code]], tbl_Accounts[Account_Code], tbl_Accounts[Type])</f>
        <v>Revenue</v>
      </c>
      <c r="S745" s="25" t="str">
        <f>_xlfn.XLOOKUP(tbl_Ledger[[#This Row],[Account_Code]], tbl_Accounts[Account_Code], tbl_Accounts[PL_Bucket])</f>
        <v>Revenue</v>
      </c>
      <c r="T745" s="25">
        <f t="shared" si="11"/>
        <v>63599.579999999994</v>
      </c>
    </row>
    <row r="746" spans="1:20">
      <c r="A746" t="s">
        <v>2032</v>
      </c>
      <c r="B746" s="7">
        <v>45886</v>
      </c>
      <c r="C746" t="s">
        <v>126</v>
      </c>
      <c r="D746" t="s">
        <v>88</v>
      </c>
      <c r="E746" t="s">
        <v>132</v>
      </c>
      <c r="F746" s="12" t="s">
        <v>29</v>
      </c>
      <c r="G746" t="s">
        <v>30</v>
      </c>
      <c r="H746" t="s">
        <v>2033</v>
      </c>
      <c r="I746" t="s">
        <v>71</v>
      </c>
      <c r="J746" s="6">
        <v>51700</v>
      </c>
      <c r="K746" t="s">
        <v>134</v>
      </c>
      <c r="L746" t="s">
        <v>2034</v>
      </c>
      <c r="M746" t="s">
        <v>3</v>
      </c>
      <c r="N746" s="25" t="str">
        <f>TEXT(tbl_Ledger[[#This Row],[Date]],"yyyy-mm")</f>
        <v>2025-08</v>
      </c>
      <c r="O746" s="25" t="str">
        <f>TEXT(tbl_Ledger[[#This Row],[Date]],"yyyy-mm") &amp; TRIM(tbl_Ledger[[#This Row],[Currency]])</f>
        <v>2025-08NGN</v>
      </c>
      <c r="P746" s="25">
        <f>_xlfn.XLOOKUP(tbl_Ledger[[#This Row],[Key]], tbl_FX[Key], tbl_FX[Rate_to_NGN])</f>
        <v>1</v>
      </c>
      <c r="Q746" s="37">
        <f>IF(tbl_Ledger[[#This Row],[Account_Type]]="Expense",-ABS(tbl_Ledger[[#This Row],[Amount]]*tbl_Ledger[[#This Row],[Rate_to_NGN]]),tbl_Ledger[[#This Row],[Amount]]*tbl_Ledger[[#This Row],[Rate_to_NGN]])</f>
        <v>51700</v>
      </c>
      <c r="R746" s="25" t="str">
        <f>_xlfn.XLOOKUP(tbl_Ledger[[#This Row],[Account_Code]], tbl_Accounts[Account_Code], tbl_Accounts[Type])</f>
        <v>Revenue</v>
      </c>
      <c r="S746" s="25" t="str">
        <f>_xlfn.XLOOKUP(tbl_Ledger[[#This Row],[Account_Code]], tbl_Accounts[Account_Code], tbl_Accounts[PL_Bucket])</f>
        <v>Revenue</v>
      </c>
      <c r="T746" s="25">
        <f t="shared" si="11"/>
        <v>51700</v>
      </c>
    </row>
    <row r="747" spans="1:20">
      <c r="A747" t="s">
        <v>2035</v>
      </c>
      <c r="B747" s="7">
        <v>45886</v>
      </c>
      <c r="C747" t="s">
        <v>126</v>
      </c>
      <c r="D747" t="s">
        <v>88</v>
      </c>
      <c r="E747" t="s">
        <v>136</v>
      </c>
      <c r="F747" s="12" t="s">
        <v>29</v>
      </c>
      <c r="G747" t="s">
        <v>30</v>
      </c>
      <c r="H747" t="s">
        <v>2036</v>
      </c>
      <c r="I747" t="s">
        <v>72</v>
      </c>
      <c r="J747" s="6">
        <v>29.9</v>
      </c>
      <c r="K747" t="s">
        <v>138</v>
      </c>
      <c r="L747" t="s">
        <v>2034</v>
      </c>
      <c r="M747" t="s">
        <v>3</v>
      </c>
      <c r="N747" s="25" t="str">
        <f>TEXT(tbl_Ledger[[#This Row],[Date]],"yyyy-mm")</f>
        <v>2025-08</v>
      </c>
      <c r="O747" s="25" t="str">
        <f>TEXT(tbl_Ledger[[#This Row],[Date]],"yyyy-mm") &amp; TRIM(tbl_Ledger[[#This Row],[Currency]])</f>
        <v>2025-08USD</v>
      </c>
      <c r="P747" s="25">
        <f>_xlfn.XLOOKUP(tbl_Ledger[[#This Row],[Key]], tbl_FX[Key], tbl_FX[Rate_to_NGN])</f>
        <v>1572</v>
      </c>
      <c r="Q747" s="37">
        <f>IF(tbl_Ledger[[#This Row],[Account_Type]]="Expense",-ABS(tbl_Ledger[[#This Row],[Amount]]*tbl_Ledger[[#This Row],[Rate_to_NGN]]),tbl_Ledger[[#This Row],[Amount]]*tbl_Ledger[[#This Row],[Rate_to_NGN]])</f>
        <v>47002.799999999996</v>
      </c>
      <c r="R747" s="25" t="str">
        <f>_xlfn.XLOOKUP(tbl_Ledger[[#This Row],[Account_Code]], tbl_Accounts[Account_Code], tbl_Accounts[Type])</f>
        <v>Revenue</v>
      </c>
      <c r="S747" s="25" t="str">
        <f>_xlfn.XLOOKUP(tbl_Ledger[[#This Row],[Account_Code]], tbl_Accounts[Account_Code], tbl_Accounts[PL_Bucket])</f>
        <v>Revenue</v>
      </c>
      <c r="T747" s="25">
        <f t="shared" si="11"/>
        <v>47002.799999999996</v>
      </c>
    </row>
    <row r="748" spans="1:20">
      <c r="A748" t="s">
        <v>2037</v>
      </c>
      <c r="B748" s="7">
        <v>45886</v>
      </c>
      <c r="C748" t="s">
        <v>126</v>
      </c>
      <c r="D748" t="s">
        <v>88</v>
      </c>
      <c r="E748" t="s">
        <v>140</v>
      </c>
      <c r="F748" s="12" t="s">
        <v>29</v>
      </c>
      <c r="G748" t="s">
        <v>30</v>
      </c>
      <c r="H748" t="s">
        <v>2038</v>
      </c>
      <c r="I748" t="s">
        <v>71</v>
      </c>
      <c r="J748" s="6">
        <v>45300</v>
      </c>
      <c r="K748" t="s">
        <v>3</v>
      </c>
      <c r="L748" t="s">
        <v>2039</v>
      </c>
      <c r="M748" t="s">
        <v>3</v>
      </c>
      <c r="N748" s="25" t="str">
        <f>TEXT(tbl_Ledger[[#This Row],[Date]],"yyyy-mm")</f>
        <v>2025-08</v>
      </c>
      <c r="O748" s="25" t="str">
        <f>TEXT(tbl_Ledger[[#This Row],[Date]],"yyyy-mm") &amp; TRIM(tbl_Ledger[[#This Row],[Currency]])</f>
        <v>2025-08NGN</v>
      </c>
      <c r="P748" s="25">
        <f>_xlfn.XLOOKUP(tbl_Ledger[[#This Row],[Key]], tbl_FX[Key], tbl_FX[Rate_to_NGN])</f>
        <v>1</v>
      </c>
      <c r="Q748" s="37">
        <f>IF(tbl_Ledger[[#This Row],[Account_Type]]="Expense",-ABS(tbl_Ledger[[#This Row],[Amount]]*tbl_Ledger[[#This Row],[Rate_to_NGN]]),tbl_Ledger[[#This Row],[Amount]]*tbl_Ledger[[#This Row],[Rate_to_NGN]])</f>
        <v>45300</v>
      </c>
      <c r="R748" s="25" t="str">
        <f>_xlfn.XLOOKUP(tbl_Ledger[[#This Row],[Account_Code]], tbl_Accounts[Account_Code], tbl_Accounts[Type])</f>
        <v>Revenue</v>
      </c>
      <c r="S748" s="25" t="str">
        <f>_xlfn.XLOOKUP(tbl_Ledger[[#This Row],[Account_Code]], tbl_Accounts[Account_Code], tbl_Accounts[PL_Bucket])</f>
        <v>Revenue</v>
      </c>
      <c r="T748" s="25">
        <f t="shared" si="11"/>
        <v>45300</v>
      </c>
    </row>
    <row r="749" spans="1:20">
      <c r="A749" t="s">
        <v>2040</v>
      </c>
      <c r="B749" s="7">
        <v>45886</v>
      </c>
      <c r="C749" t="s">
        <v>93</v>
      </c>
      <c r="D749" t="s">
        <v>111</v>
      </c>
      <c r="E749" t="s">
        <v>112</v>
      </c>
      <c r="F749" s="12" t="s">
        <v>31</v>
      </c>
      <c r="G749" t="s">
        <v>32</v>
      </c>
      <c r="H749" t="s">
        <v>2041</v>
      </c>
      <c r="I749" t="s">
        <v>71</v>
      </c>
      <c r="J749" s="6">
        <v>149254</v>
      </c>
      <c r="K749" t="s">
        <v>3</v>
      </c>
      <c r="L749" t="s">
        <v>2042</v>
      </c>
      <c r="M749" t="s">
        <v>237</v>
      </c>
      <c r="N749" s="25" t="str">
        <f>TEXT(tbl_Ledger[[#This Row],[Date]],"yyyy-mm")</f>
        <v>2025-08</v>
      </c>
      <c r="O749" s="25" t="str">
        <f>TEXT(tbl_Ledger[[#This Row],[Date]],"yyyy-mm") &amp; TRIM(tbl_Ledger[[#This Row],[Currency]])</f>
        <v>2025-08NGN</v>
      </c>
      <c r="P749" s="25">
        <f>_xlfn.XLOOKUP(tbl_Ledger[[#This Row],[Key]], tbl_FX[Key], tbl_FX[Rate_to_NGN])</f>
        <v>1</v>
      </c>
      <c r="Q749" s="37">
        <f>IF(tbl_Ledger[[#This Row],[Account_Type]]="Expense",-ABS(tbl_Ledger[[#This Row],[Amount]]*tbl_Ledger[[#This Row],[Rate_to_NGN]]),tbl_Ledger[[#This Row],[Amount]]*tbl_Ledger[[#This Row],[Rate_to_NGN]])</f>
        <v>149254</v>
      </c>
      <c r="R749" s="25" t="str">
        <f>_xlfn.XLOOKUP(tbl_Ledger[[#This Row],[Account_Code]], tbl_Accounts[Account_Code], tbl_Accounts[Type])</f>
        <v>Revenue</v>
      </c>
      <c r="S749" s="25" t="str">
        <f>_xlfn.XLOOKUP(tbl_Ledger[[#This Row],[Account_Code]], tbl_Accounts[Account_Code], tbl_Accounts[PL_Bucket])</f>
        <v>Revenue</v>
      </c>
      <c r="T749" s="25">
        <f t="shared" si="11"/>
        <v>149254</v>
      </c>
    </row>
    <row r="750" spans="1:20">
      <c r="A750" t="s">
        <v>2043</v>
      </c>
      <c r="B750" s="7">
        <v>45886</v>
      </c>
      <c r="C750" t="s">
        <v>87</v>
      </c>
      <c r="D750" t="s">
        <v>88</v>
      </c>
      <c r="E750" t="s">
        <v>3</v>
      </c>
      <c r="F750" s="12" t="s">
        <v>40</v>
      </c>
      <c r="G750" t="s">
        <v>41</v>
      </c>
      <c r="H750" t="s">
        <v>1428</v>
      </c>
      <c r="I750" t="s">
        <v>71</v>
      </c>
      <c r="J750" s="6">
        <v>-570000</v>
      </c>
      <c r="K750" t="s">
        <v>90</v>
      </c>
      <c r="L750" t="s">
        <v>2044</v>
      </c>
      <c r="M750" t="s">
        <v>3</v>
      </c>
      <c r="N750" s="25" t="str">
        <f>TEXT(tbl_Ledger[[#This Row],[Date]],"yyyy-mm")</f>
        <v>2025-08</v>
      </c>
      <c r="O750" s="25" t="str">
        <f>TEXT(tbl_Ledger[[#This Row],[Date]],"yyyy-mm") &amp; TRIM(tbl_Ledger[[#This Row],[Currency]])</f>
        <v>2025-08NGN</v>
      </c>
      <c r="P750" s="25">
        <f>_xlfn.XLOOKUP(tbl_Ledger[[#This Row],[Key]], tbl_FX[Key], tbl_FX[Rate_to_NGN])</f>
        <v>1</v>
      </c>
      <c r="Q750" s="37">
        <f>IF(tbl_Ledger[[#This Row],[Account_Type]]="Expense",-ABS(tbl_Ledger[[#This Row],[Amount]]*tbl_Ledger[[#This Row],[Rate_to_NGN]]),tbl_Ledger[[#This Row],[Amount]]*tbl_Ledger[[#This Row],[Rate_to_NGN]])</f>
        <v>-570000</v>
      </c>
      <c r="R750" s="25" t="str">
        <f>_xlfn.XLOOKUP(tbl_Ledger[[#This Row],[Account_Code]], tbl_Accounts[Account_Code], tbl_Accounts[Type])</f>
        <v>COGS</v>
      </c>
      <c r="S750" s="25" t="str">
        <f>_xlfn.XLOOKUP(tbl_Ledger[[#This Row],[Account_Code]], tbl_Accounts[Account_Code], tbl_Accounts[PL_Bucket])</f>
        <v>COGS</v>
      </c>
      <c r="T750" s="25">
        <f t="shared" si="11"/>
        <v>-570000</v>
      </c>
    </row>
    <row r="751" spans="1:20">
      <c r="A751" t="s">
        <v>2045</v>
      </c>
      <c r="B751" s="7">
        <v>45886</v>
      </c>
      <c r="C751" t="s">
        <v>87</v>
      </c>
      <c r="D751" t="s">
        <v>88</v>
      </c>
      <c r="E751" t="s">
        <v>3</v>
      </c>
      <c r="F751" s="12" t="s">
        <v>42</v>
      </c>
      <c r="G751" t="s">
        <v>43</v>
      </c>
      <c r="H751" t="s">
        <v>1431</v>
      </c>
      <c r="I751" t="s">
        <v>71</v>
      </c>
      <c r="J751" s="6">
        <v>-649000</v>
      </c>
      <c r="K751" t="s">
        <v>398</v>
      </c>
      <c r="L751" t="s">
        <v>2046</v>
      </c>
      <c r="M751" t="s">
        <v>3</v>
      </c>
      <c r="N751" s="25" t="str">
        <f>TEXT(tbl_Ledger[[#This Row],[Date]],"yyyy-mm")</f>
        <v>2025-08</v>
      </c>
      <c r="O751" s="25" t="str">
        <f>TEXT(tbl_Ledger[[#This Row],[Date]],"yyyy-mm") &amp; TRIM(tbl_Ledger[[#This Row],[Currency]])</f>
        <v>2025-08NGN</v>
      </c>
      <c r="P751" s="25">
        <f>_xlfn.XLOOKUP(tbl_Ledger[[#This Row],[Key]], tbl_FX[Key], tbl_FX[Rate_to_NGN])</f>
        <v>1</v>
      </c>
      <c r="Q751" s="37">
        <f>IF(tbl_Ledger[[#This Row],[Account_Type]]="Expense",-ABS(tbl_Ledger[[#This Row],[Amount]]*tbl_Ledger[[#This Row],[Rate_to_NGN]]),tbl_Ledger[[#This Row],[Amount]]*tbl_Ledger[[#This Row],[Rate_to_NGN]])</f>
        <v>-649000</v>
      </c>
      <c r="R751" s="25" t="str">
        <f>_xlfn.XLOOKUP(tbl_Ledger[[#This Row],[Account_Code]], tbl_Accounts[Account_Code], tbl_Accounts[Type])</f>
        <v>COGS</v>
      </c>
      <c r="S751" s="25" t="str">
        <f>_xlfn.XLOOKUP(tbl_Ledger[[#This Row],[Account_Code]], tbl_Accounts[Account_Code], tbl_Accounts[PL_Bucket])</f>
        <v>COGS</v>
      </c>
      <c r="T751" s="25">
        <f t="shared" si="11"/>
        <v>-649000</v>
      </c>
    </row>
    <row r="752" spans="1:20">
      <c r="A752" t="s">
        <v>2047</v>
      </c>
      <c r="B752" s="7">
        <v>45887</v>
      </c>
      <c r="C752" t="s">
        <v>93</v>
      </c>
      <c r="D752" t="s">
        <v>94</v>
      </c>
      <c r="E752" t="s">
        <v>95</v>
      </c>
      <c r="F752" s="12" t="s">
        <v>24</v>
      </c>
      <c r="G752" t="s">
        <v>25</v>
      </c>
      <c r="H752" t="s">
        <v>2048</v>
      </c>
      <c r="I752" t="s">
        <v>71</v>
      </c>
      <c r="J752" s="6">
        <v>29900</v>
      </c>
      <c r="K752" t="s">
        <v>3</v>
      </c>
      <c r="L752" t="s">
        <v>2049</v>
      </c>
      <c r="M752" t="s">
        <v>3</v>
      </c>
      <c r="N752" s="25" t="str">
        <f>TEXT(tbl_Ledger[[#This Row],[Date]],"yyyy-mm")</f>
        <v>2025-08</v>
      </c>
      <c r="O752" s="25" t="str">
        <f>TEXT(tbl_Ledger[[#This Row],[Date]],"yyyy-mm") &amp; TRIM(tbl_Ledger[[#This Row],[Currency]])</f>
        <v>2025-08NGN</v>
      </c>
      <c r="P752" s="25">
        <f>_xlfn.XLOOKUP(tbl_Ledger[[#This Row],[Key]], tbl_FX[Key], tbl_FX[Rate_to_NGN])</f>
        <v>1</v>
      </c>
      <c r="Q752" s="37">
        <f>IF(tbl_Ledger[[#This Row],[Account_Type]]="Expense",-ABS(tbl_Ledger[[#This Row],[Amount]]*tbl_Ledger[[#This Row],[Rate_to_NGN]]),tbl_Ledger[[#This Row],[Amount]]*tbl_Ledger[[#This Row],[Rate_to_NGN]])</f>
        <v>29900</v>
      </c>
      <c r="R752" s="25" t="str">
        <f>_xlfn.XLOOKUP(tbl_Ledger[[#This Row],[Account_Code]], tbl_Accounts[Account_Code], tbl_Accounts[Type])</f>
        <v>Revenue</v>
      </c>
      <c r="S752" s="25" t="str">
        <f>_xlfn.XLOOKUP(tbl_Ledger[[#This Row],[Account_Code]], tbl_Accounts[Account_Code], tbl_Accounts[PL_Bucket])</f>
        <v>Revenue</v>
      </c>
      <c r="T752" s="25">
        <f t="shared" si="11"/>
        <v>29900</v>
      </c>
    </row>
    <row r="753" spans="1:20">
      <c r="A753" t="s">
        <v>2050</v>
      </c>
      <c r="B753" s="7">
        <v>45887</v>
      </c>
      <c r="C753" t="s">
        <v>93</v>
      </c>
      <c r="D753" t="s">
        <v>94</v>
      </c>
      <c r="E753" t="s">
        <v>99</v>
      </c>
      <c r="F753" s="12" t="s">
        <v>24</v>
      </c>
      <c r="G753" t="s">
        <v>25</v>
      </c>
      <c r="H753" t="s">
        <v>2051</v>
      </c>
      <c r="I753" t="s">
        <v>71</v>
      </c>
      <c r="J753" s="6">
        <v>31600</v>
      </c>
      <c r="K753" t="s">
        <v>3</v>
      </c>
      <c r="L753" t="s">
        <v>2052</v>
      </c>
      <c r="M753" t="s">
        <v>3</v>
      </c>
      <c r="N753" s="25" t="str">
        <f>TEXT(tbl_Ledger[[#This Row],[Date]],"yyyy-mm")</f>
        <v>2025-08</v>
      </c>
      <c r="O753" s="25" t="str">
        <f>TEXT(tbl_Ledger[[#This Row],[Date]],"yyyy-mm") &amp; TRIM(tbl_Ledger[[#This Row],[Currency]])</f>
        <v>2025-08NGN</v>
      </c>
      <c r="P753" s="25">
        <f>_xlfn.XLOOKUP(tbl_Ledger[[#This Row],[Key]], tbl_FX[Key], tbl_FX[Rate_to_NGN])</f>
        <v>1</v>
      </c>
      <c r="Q753" s="37">
        <f>IF(tbl_Ledger[[#This Row],[Account_Type]]="Expense",-ABS(tbl_Ledger[[#This Row],[Amount]]*tbl_Ledger[[#This Row],[Rate_to_NGN]]),tbl_Ledger[[#This Row],[Amount]]*tbl_Ledger[[#This Row],[Rate_to_NGN]])</f>
        <v>31600</v>
      </c>
      <c r="R753" s="25" t="str">
        <f>_xlfn.XLOOKUP(tbl_Ledger[[#This Row],[Account_Code]], tbl_Accounts[Account_Code], tbl_Accounts[Type])</f>
        <v>Revenue</v>
      </c>
      <c r="S753" s="25" t="str">
        <f>_xlfn.XLOOKUP(tbl_Ledger[[#This Row],[Account_Code]], tbl_Accounts[Account_Code], tbl_Accounts[PL_Bucket])</f>
        <v>Revenue</v>
      </c>
      <c r="T753" s="25">
        <f t="shared" si="11"/>
        <v>31600</v>
      </c>
    </row>
    <row r="754" spans="1:20">
      <c r="A754" t="s">
        <v>2053</v>
      </c>
      <c r="B754" s="7">
        <v>45887</v>
      </c>
      <c r="C754" t="s">
        <v>93</v>
      </c>
      <c r="D754" t="s">
        <v>94</v>
      </c>
      <c r="E754" t="s">
        <v>103</v>
      </c>
      <c r="F754" s="12" t="s">
        <v>24</v>
      </c>
      <c r="G754" t="s">
        <v>25</v>
      </c>
      <c r="H754" t="s">
        <v>2054</v>
      </c>
      <c r="I754" t="s">
        <v>71</v>
      </c>
      <c r="J754" s="6">
        <v>27700</v>
      </c>
      <c r="K754" t="s">
        <v>3</v>
      </c>
      <c r="L754" t="s">
        <v>2055</v>
      </c>
      <c r="M754" t="s">
        <v>3</v>
      </c>
      <c r="N754" s="25" t="str">
        <f>TEXT(tbl_Ledger[[#This Row],[Date]],"yyyy-mm")</f>
        <v>2025-08</v>
      </c>
      <c r="O754" s="25" t="str">
        <f>TEXT(tbl_Ledger[[#This Row],[Date]],"yyyy-mm") &amp; TRIM(tbl_Ledger[[#This Row],[Currency]])</f>
        <v>2025-08NGN</v>
      </c>
      <c r="P754" s="25">
        <f>_xlfn.XLOOKUP(tbl_Ledger[[#This Row],[Key]], tbl_FX[Key], tbl_FX[Rate_to_NGN])</f>
        <v>1</v>
      </c>
      <c r="Q754" s="37">
        <f>IF(tbl_Ledger[[#This Row],[Account_Type]]="Expense",-ABS(tbl_Ledger[[#This Row],[Amount]]*tbl_Ledger[[#This Row],[Rate_to_NGN]]),tbl_Ledger[[#This Row],[Amount]]*tbl_Ledger[[#This Row],[Rate_to_NGN]])</f>
        <v>27700</v>
      </c>
      <c r="R754" s="25" t="str">
        <f>_xlfn.XLOOKUP(tbl_Ledger[[#This Row],[Account_Code]], tbl_Accounts[Account_Code], tbl_Accounts[Type])</f>
        <v>Revenue</v>
      </c>
      <c r="S754" s="25" t="str">
        <f>_xlfn.XLOOKUP(tbl_Ledger[[#This Row],[Account_Code]], tbl_Accounts[Account_Code], tbl_Accounts[PL_Bucket])</f>
        <v>Revenue</v>
      </c>
      <c r="T754" s="25">
        <f t="shared" si="11"/>
        <v>27700</v>
      </c>
    </row>
    <row r="755" spans="1:20">
      <c r="A755" t="s">
        <v>2056</v>
      </c>
      <c r="B755" s="7">
        <v>45887</v>
      </c>
      <c r="C755" t="s">
        <v>93</v>
      </c>
      <c r="D755" t="s">
        <v>94</v>
      </c>
      <c r="E755" t="s">
        <v>160</v>
      </c>
      <c r="F755" s="12" t="s">
        <v>24</v>
      </c>
      <c r="G755" t="s">
        <v>25</v>
      </c>
      <c r="H755" t="s">
        <v>2057</v>
      </c>
      <c r="I755" t="s">
        <v>71</v>
      </c>
      <c r="J755" s="6">
        <v>31700</v>
      </c>
      <c r="K755" t="s">
        <v>3</v>
      </c>
      <c r="L755" t="s">
        <v>2055</v>
      </c>
      <c r="M755" t="s">
        <v>3</v>
      </c>
      <c r="N755" s="25" t="str">
        <f>TEXT(tbl_Ledger[[#This Row],[Date]],"yyyy-mm")</f>
        <v>2025-08</v>
      </c>
      <c r="O755" s="25" t="str">
        <f>TEXT(tbl_Ledger[[#This Row],[Date]],"yyyy-mm") &amp; TRIM(tbl_Ledger[[#This Row],[Currency]])</f>
        <v>2025-08NGN</v>
      </c>
      <c r="P755" s="25">
        <f>_xlfn.XLOOKUP(tbl_Ledger[[#This Row],[Key]], tbl_FX[Key], tbl_FX[Rate_to_NGN])</f>
        <v>1</v>
      </c>
      <c r="Q755" s="37">
        <f>IF(tbl_Ledger[[#This Row],[Account_Type]]="Expense",-ABS(tbl_Ledger[[#This Row],[Amount]]*tbl_Ledger[[#This Row],[Rate_to_NGN]]),tbl_Ledger[[#This Row],[Amount]]*tbl_Ledger[[#This Row],[Rate_to_NGN]])</f>
        <v>31700</v>
      </c>
      <c r="R755" s="25" t="str">
        <f>_xlfn.XLOOKUP(tbl_Ledger[[#This Row],[Account_Code]], tbl_Accounts[Account_Code], tbl_Accounts[Type])</f>
        <v>Revenue</v>
      </c>
      <c r="S755" s="25" t="str">
        <f>_xlfn.XLOOKUP(tbl_Ledger[[#This Row],[Account_Code]], tbl_Accounts[Account_Code], tbl_Accounts[PL_Bucket])</f>
        <v>Revenue</v>
      </c>
      <c r="T755" s="25">
        <f t="shared" si="11"/>
        <v>31700</v>
      </c>
    </row>
    <row r="756" spans="1:20">
      <c r="A756" t="s">
        <v>2058</v>
      </c>
      <c r="B756" s="7">
        <v>45887</v>
      </c>
      <c r="C756" t="s">
        <v>93</v>
      </c>
      <c r="D756" t="s">
        <v>94</v>
      </c>
      <c r="E756" t="s">
        <v>107</v>
      </c>
      <c r="F756" s="12" t="s">
        <v>24</v>
      </c>
      <c r="G756" t="s">
        <v>25</v>
      </c>
      <c r="H756" t="s">
        <v>2059</v>
      </c>
      <c r="I756" t="s">
        <v>71</v>
      </c>
      <c r="J756" s="6">
        <v>30000</v>
      </c>
      <c r="K756" t="s">
        <v>3</v>
      </c>
      <c r="L756" t="s">
        <v>2060</v>
      </c>
      <c r="M756" t="s">
        <v>3</v>
      </c>
      <c r="N756" s="25" t="str">
        <f>TEXT(tbl_Ledger[[#This Row],[Date]],"yyyy-mm")</f>
        <v>2025-08</v>
      </c>
      <c r="O756" s="25" t="str">
        <f>TEXT(tbl_Ledger[[#This Row],[Date]],"yyyy-mm") &amp; TRIM(tbl_Ledger[[#This Row],[Currency]])</f>
        <v>2025-08NGN</v>
      </c>
      <c r="P756" s="25">
        <f>_xlfn.XLOOKUP(tbl_Ledger[[#This Row],[Key]], tbl_FX[Key], tbl_FX[Rate_to_NGN])</f>
        <v>1</v>
      </c>
      <c r="Q756" s="37">
        <f>IF(tbl_Ledger[[#This Row],[Account_Type]]="Expense",-ABS(tbl_Ledger[[#This Row],[Amount]]*tbl_Ledger[[#This Row],[Rate_to_NGN]]),tbl_Ledger[[#This Row],[Amount]]*tbl_Ledger[[#This Row],[Rate_to_NGN]])</f>
        <v>30000</v>
      </c>
      <c r="R756" s="25" t="str">
        <f>_xlfn.XLOOKUP(tbl_Ledger[[#This Row],[Account_Code]], tbl_Accounts[Account_Code], tbl_Accounts[Type])</f>
        <v>Revenue</v>
      </c>
      <c r="S756" s="25" t="str">
        <f>_xlfn.XLOOKUP(tbl_Ledger[[#This Row],[Account_Code]], tbl_Accounts[Account_Code], tbl_Accounts[PL_Bucket])</f>
        <v>Revenue</v>
      </c>
      <c r="T756" s="25">
        <f t="shared" si="11"/>
        <v>30000</v>
      </c>
    </row>
    <row r="757" spans="1:20">
      <c r="A757" t="s">
        <v>2061</v>
      </c>
      <c r="B757" s="7">
        <v>45887</v>
      </c>
      <c r="C757" t="s">
        <v>93</v>
      </c>
      <c r="D757" t="s">
        <v>111</v>
      </c>
      <c r="E757" t="s">
        <v>112</v>
      </c>
      <c r="F757" s="12" t="s">
        <v>24</v>
      </c>
      <c r="G757" t="s">
        <v>25</v>
      </c>
      <c r="H757" t="s">
        <v>2062</v>
      </c>
      <c r="I757" t="s">
        <v>71</v>
      </c>
      <c r="J757" s="6">
        <v>49400</v>
      </c>
      <c r="K757" t="s">
        <v>3</v>
      </c>
      <c r="L757" t="s">
        <v>2063</v>
      </c>
      <c r="M757" t="s">
        <v>3</v>
      </c>
      <c r="N757" s="25" t="str">
        <f>TEXT(tbl_Ledger[[#This Row],[Date]],"yyyy-mm")</f>
        <v>2025-08</v>
      </c>
      <c r="O757" s="25" t="str">
        <f>TEXT(tbl_Ledger[[#This Row],[Date]],"yyyy-mm") &amp; TRIM(tbl_Ledger[[#This Row],[Currency]])</f>
        <v>2025-08NGN</v>
      </c>
      <c r="P757" s="25">
        <f>_xlfn.XLOOKUP(tbl_Ledger[[#This Row],[Key]], tbl_FX[Key], tbl_FX[Rate_to_NGN])</f>
        <v>1</v>
      </c>
      <c r="Q757" s="37">
        <f>IF(tbl_Ledger[[#This Row],[Account_Type]]="Expense",-ABS(tbl_Ledger[[#This Row],[Amount]]*tbl_Ledger[[#This Row],[Rate_to_NGN]]),tbl_Ledger[[#This Row],[Amount]]*tbl_Ledger[[#This Row],[Rate_to_NGN]])</f>
        <v>49400</v>
      </c>
      <c r="R757" s="25" t="str">
        <f>_xlfn.XLOOKUP(tbl_Ledger[[#This Row],[Account_Code]], tbl_Accounts[Account_Code], tbl_Accounts[Type])</f>
        <v>Revenue</v>
      </c>
      <c r="S757" s="25" t="str">
        <f>_xlfn.XLOOKUP(tbl_Ledger[[#This Row],[Account_Code]], tbl_Accounts[Account_Code], tbl_Accounts[PL_Bucket])</f>
        <v>Revenue</v>
      </c>
      <c r="T757" s="25">
        <f t="shared" si="11"/>
        <v>49400</v>
      </c>
    </row>
    <row r="758" spans="1:20">
      <c r="A758" t="s">
        <v>2064</v>
      </c>
      <c r="B758" s="7">
        <v>45887</v>
      </c>
      <c r="C758" t="s">
        <v>93</v>
      </c>
      <c r="D758" t="s">
        <v>111</v>
      </c>
      <c r="E758" t="s">
        <v>116</v>
      </c>
      <c r="F758" s="12" t="s">
        <v>24</v>
      </c>
      <c r="G758" t="s">
        <v>25</v>
      </c>
      <c r="H758" t="s">
        <v>2065</v>
      </c>
      <c r="I758" t="s">
        <v>71</v>
      </c>
      <c r="J758" s="6">
        <v>50200</v>
      </c>
      <c r="K758" t="s">
        <v>3</v>
      </c>
      <c r="L758" t="s">
        <v>2063</v>
      </c>
      <c r="M758" t="s">
        <v>3</v>
      </c>
      <c r="N758" s="25" t="str">
        <f>TEXT(tbl_Ledger[[#This Row],[Date]],"yyyy-mm")</f>
        <v>2025-08</v>
      </c>
      <c r="O758" s="25" t="str">
        <f>TEXT(tbl_Ledger[[#This Row],[Date]],"yyyy-mm") &amp; TRIM(tbl_Ledger[[#This Row],[Currency]])</f>
        <v>2025-08NGN</v>
      </c>
      <c r="P758" s="25">
        <f>_xlfn.XLOOKUP(tbl_Ledger[[#This Row],[Key]], tbl_FX[Key], tbl_FX[Rate_to_NGN])</f>
        <v>1</v>
      </c>
      <c r="Q758" s="37">
        <f>IF(tbl_Ledger[[#This Row],[Account_Type]]="Expense",-ABS(tbl_Ledger[[#This Row],[Amount]]*tbl_Ledger[[#This Row],[Rate_to_NGN]]),tbl_Ledger[[#This Row],[Amount]]*tbl_Ledger[[#This Row],[Rate_to_NGN]])</f>
        <v>50200</v>
      </c>
      <c r="R758" s="25" t="str">
        <f>_xlfn.XLOOKUP(tbl_Ledger[[#This Row],[Account_Code]], tbl_Accounts[Account_Code], tbl_Accounts[Type])</f>
        <v>Revenue</v>
      </c>
      <c r="S758" s="25" t="str">
        <f>_xlfn.XLOOKUP(tbl_Ledger[[#This Row],[Account_Code]], tbl_Accounts[Account_Code], tbl_Accounts[PL_Bucket])</f>
        <v>Revenue</v>
      </c>
      <c r="T758" s="25">
        <f t="shared" si="11"/>
        <v>50200</v>
      </c>
    </row>
    <row r="759" spans="1:20">
      <c r="A759" t="s">
        <v>2066</v>
      </c>
      <c r="B759" s="7">
        <v>45887</v>
      </c>
      <c r="C759" t="s">
        <v>93</v>
      </c>
      <c r="D759" t="s">
        <v>111</v>
      </c>
      <c r="E759" t="s">
        <v>119</v>
      </c>
      <c r="F759" s="12" t="s">
        <v>24</v>
      </c>
      <c r="G759" t="s">
        <v>25</v>
      </c>
      <c r="H759" t="s">
        <v>2067</v>
      </c>
      <c r="I759" t="s">
        <v>71</v>
      </c>
      <c r="J759" s="6">
        <v>49800</v>
      </c>
      <c r="K759" t="s">
        <v>3</v>
      </c>
      <c r="L759" t="s">
        <v>2063</v>
      </c>
      <c r="M759" t="s">
        <v>3</v>
      </c>
      <c r="N759" s="25" t="str">
        <f>TEXT(tbl_Ledger[[#This Row],[Date]],"yyyy-mm")</f>
        <v>2025-08</v>
      </c>
      <c r="O759" s="25" t="str">
        <f>TEXT(tbl_Ledger[[#This Row],[Date]],"yyyy-mm") &amp; TRIM(tbl_Ledger[[#This Row],[Currency]])</f>
        <v>2025-08NGN</v>
      </c>
      <c r="P759" s="25">
        <f>_xlfn.XLOOKUP(tbl_Ledger[[#This Row],[Key]], tbl_FX[Key], tbl_FX[Rate_to_NGN])</f>
        <v>1</v>
      </c>
      <c r="Q759" s="37">
        <f>IF(tbl_Ledger[[#This Row],[Account_Type]]="Expense",-ABS(tbl_Ledger[[#This Row],[Amount]]*tbl_Ledger[[#This Row],[Rate_to_NGN]]),tbl_Ledger[[#This Row],[Amount]]*tbl_Ledger[[#This Row],[Rate_to_NGN]])</f>
        <v>49800</v>
      </c>
      <c r="R759" s="25" t="str">
        <f>_xlfn.XLOOKUP(tbl_Ledger[[#This Row],[Account_Code]], tbl_Accounts[Account_Code], tbl_Accounts[Type])</f>
        <v>Revenue</v>
      </c>
      <c r="S759" s="25" t="str">
        <f>_xlfn.XLOOKUP(tbl_Ledger[[#This Row],[Account_Code]], tbl_Accounts[Account_Code], tbl_Accounts[PL_Bucket])</f>
        <v>Revenue</v>
      </c>
      <c r="T759" s="25">
        <f t="shared" si="11"/>
        <v>49800</v>
      </c>
    </row>
    <row r="760" spans="1:20">
      <c r="A760" t="s">
        <v>2068</v>
      </c>
      <c r="B760" s="7">
        <v>45887</v>
      </c>
      <c r="C760" t="s">
        <v>93</v>
      </c>
      <c r="D760" t="s">
        <v>111</v>
      </c>
      <c r="E760" t="s">
        <v>170</v>
      </c>
      <c r="F760" s="12" t="s">
        <v>24</v>
      </c>
      <c r="G760" t="s">
        <v>25</v>
      </c>
      <c r="H760" t="s">
        <v>2069</v>
      </c>
      <c r="I760" t="s">
        <v>71</v>
      </c>
      <c r="J760" s="6">
        <v>52400</v>
      </c>
      <c r="K760" t="s">
        <v>3</v>
      </c>
      <c r="L760" t="s">
        <v>2063</v>
      </c>
      <c r="M760" t="s">
        <v>3</v>
      </c>
      <c r="N760" s="25" t="str">
        <f>TEXT(tbl_Ledger[[#This Row],[Date]],"yyyy-mm")</f>
        <v>2025-08</v>
      </c>
      <c r="O760" s="25" t="str">
        <f>TEXT(tbl_Ledger[[#This Row],[Date]],"yyyy-mm") &amp; TRIM(tbl_Ledger[[#This Row],[Currency]])</f>
        <v>2025-08NGN</v>
      </c>
      <c r="P760" s="25">
        <f>_xlfn.XLOOKUP(tbl_Ledger[[#This Row],[Key]], tbl_FX[Key], tbl_FX[Rate_to_NGN])</f>
        <v>1</v>
      </c>
      <c r="Q760" s="37">
        <f>IF(tbl_Ledger[[#This Row],[Account_Type]]="Expense",-ABS(tbl_Ledger[[#This Row],[Amount]]*tbl_Ledger[[#This Row],[Rate_to_NGN]]),tbl_Ledger[[#This Row],[Amount]]*tbl_Ledger[[#This Row],[Rate_to_NGN]])</f>
        <v>52400</v>
      </c>
      <c r="R760" s="25" t="str">
        <f>_xlfn.XLOOKUP(tbl_Ledger[[#This Row],[Account_Code]], tbl_Accounts[Account_Code], tbl_Accounts[Type])</f>
        <v>Revenue</v>
      </c>
      <c r="S760" s="25" t="str">
        <f>_xlfn.XLOOKUP(tbl_Ledger[[#This Row],[Account_Code]], tbl_Accounts[Account_Code], tbl_Accounts[PL_Bucket])</f>
        <v>Revenue</v>
      </c>
      <c r="T760" s="25">
        <f t="shared" si="11"/>
        <v>52400</v>
      </c>
    </row>
    <row r="761" spans="1:20">
      <c r="A761" t="s">
        <v>2070</v>
      </c>
      <c r="B761" s="7">
        <v>45887</v>
      </c>
      <c r="C761" t="s">
        <v>93</v>
      </c>
      <c r="D761" t="s">
        <v>111</v>
      </c>
      <c r="E761" t="s">
        <v>122</v>
      </c>
      <c r="F761" s="12" t="s">
        <v>24</v>
      </c>
      <c r="G761" t="s">
        <v>25</v>
      </c>
      <c r="H761" t="s">
        <v>2071</v>
      </c>
      <c r="I761" t="s">
        <v>71</v>
      </c>
      <c r="J761" s="6">
        <v>51700</v>
      </c>
      <c r="K761" t="s">
        <v>3</v>
      </c>
      <c r="L761" t="s">
        <v>2072</v>
      </c>
      <c r="M761" t="s">
        <v>3</v>
      </c>
      <c r="N761" s="25" t="str">
        <f>TEXT(tbl_Ledger[[#This Row],[Date]],"yyyy-mm")</f>
        <v>2025-08</v>
      </c>
      <c r="O761" s="25" t="str">
        <f>TEXT(tbl_Ledger[[#This Row],[Date]],"yyyy-mm") &amp; TRIM(tbl_Ledger[[#This Row],[Currency]])</f>
        <v>2025-08NGN</v>
      </c>
      <c r="P761" s="25">
        <f>_xlfn.XLOOKUP(tbl_Ledger[[#This Row],[Key]], tbl_FX[Key], tbl_FX[Rate_to_NGN])</f>
        <v>1</v>
      </c>
      <c r="Q761" s="37">
        <f>IF(tbl_Ledger[[#This Row],[Account_Type]]="Expense",-ABS(tbl_Ledger[[#This Row],[Amount]]*tbl_Ledger[[#This Row],[Rate_to_NGN]]),tbl_Ledger[[#This Row],[Amount]]*tbl_Ledger[[#This Row],[Rate_to_NGN]])</f>
        <v>51700</v>
      </c>
      <c r="R761" s="25" t="str">
        <f>_xlfn.XLOOKUP(tbl_Ledger[[#This Row],[Account_Code]], tbl_Accounts[Account_Code], tbl_Accounts[Type])</f>
        <v>Revenue</v>
      </c>
      <c r="S761" s="25" t="str">
        <f>_xlfn.XLOOKUP(tbl_Ledger[[#This Row],[Account_Code]], tbl_Accounts[Account_Code], tbl_Accounts[PL_Bucket])</f>
        <v>Revenue</v>
      </c>
      <c r="T761" s="25">
        <f t="shared" si="11"/>
        <v>51700</v>
      </c>
    </row>
    <row r="762" spans="1:20">
      <c r="A762" t="s">
        <v>2073</v>
      </c>
      <c r="B762" s="7">
        <v>45887</v>
      </c>
      <c r="C762" t="s">
        <v>126</v>
      </c>
      <c r="D762" t="s">
        <v>88</v>
      </c>
      <c r="E762" t="s">
        <v>127</v>
      </c>
      <c r="F762" s="12" t="s">
        <v>29</v>
      </c>
      <c r="G762" t="s">
        <v>30</v>
      </c>
      <c r="H762" t="s">
        <v>2074</v>
      </c>
      <c r="I762" t="s">
        <v>71</v>
      </c>
      <c r="J762" s="6">
        <v>53200</v>
      </c>
      <c r="K762" t="s">
        <v>129</v>
      </c>
      <c r="L762" t="s">
        <v>2075</v>
      </c>
      <c r="M762" t="s">
        <v>3</v>
      </c>
      <c r="N762" s="25" t="str">
        <f>TEXT(tbl_Ledger[[#This Row],[Date]],"yyyy-mm")</f>
        <v>2025-08</v>
      </c>
      <c r="O762" s="25" t="str">
        <f>TEXT(tbl_Ledger[[#This Row],[Date]],"yyyy-mm") &amp; TRIM(tbl_Ledger[[#This Row],[Currency]])</f>
        <v>2025-08NGN</v>
      </c>
      <c r="P762" s="25">
        <f>_xlfn.XLOOKUP(tbl_Ledger[[#This Row],[Key]], tbl_FX[Key], tbl_FX[Rate_to_NGN])</f>
        <v>1</v>
      </c>
      <c r="Q762" s="37">
        <f>IF(tbl_Ledger[[#This Row],[Account_Type]]="Expense",-ABS(tbl_Ledger[[#This Row],[Amount]]*tbl_Ledger[[#This Row],[Rate_to_NGN]]),tbl_Ledger[[#This Row],[Amount]]*tbl_Ledger[[#This Row],[Rate_to_NGN]])</f>
        <v>53200</v>
      </c>
      <c r="R762" s="25" t="str">
        <f>_xlfn.XLOOKUP(tbl_Ledger[[#This Row],[Account_Code]], tbl_Accounts[Account_Code], tbl_Accounts[Type])</f>
        <v>Revenue</v>
      </c>
      <c r="S762" s="25" t="str">
        <f>_xlfn.XLOOKUP(tbl_Ledger[[#This Row],[Account_Code]], tbl_Accounts[Account_Code], tbl_Accounts[PL_Bucket])</f>
        <v>Revenue</v>
      </c>
      <c r="T762" s="25">
        <f t="shared" si="11"/>
        <v>53200</v>
      </c>
    </row>
    <row r="763" spans="1:20">
      <c r="A763" t="s">
        <v>2076</v>
      </c>
      <c r="B763" s="7">
        <v>45887</v>
      </c>
      <c r="C763" t="s">
        <v>126</v>
      </c>
      <c r="D763" t="s">
        <v>88</v>
      </c>
      <c r="E763" t="s">
        <v>132</v>
      </c>
      <c r="F763" s="12" t="s">
        <v>29</v>
      </c>
      <c r="G763" t="s">
        <v>30</v>
      </c>
      <c r="H763" t="s">
        <v>2077</v>
      </c>
      <c r="I763" t="s">
        <v>72</v>
      </c>
      <c r="J763" s="6">
        <v>28.31</v>
      </c>
      <c r="K763" t="s">
        <v>134</v>
      </c>
      <c r="L763" t="s">
        <v>2075</v>
      </c>
      <c r="M763" t="s">
        <v>3</v>
      </c>
      <c r="N763" s="25" t="str">
        <f>TEXT(tbl_Ledger[[#This Row],[Date]],"yyyy-mm")</f>
        <v>2025-08</v>
      </c>
      <c r="O763" s="25" t="str">
        <f>TEXT(tbl_Ledger[[#This Row],[Date]],"yyyy-mm") &amp; TRIM(tbl_Ledger[[#This Row],[Currency]])</f>
        <v>2025-08USD</v>
      </c>
      <c r="P763" s="25">
        <f>_xlfn.XLOOKUP(tbl_Ledger[[#This Row],[Key]], tbl_FX[Key], tbl_FX[Rate_to_NGN])</f>
        <v>1572</v>
      </c>
      <c r="Q763" s="37">
        <f>IF(tbl_Ledger[[#This Row],[Account_Type]]="Expense",-ABS(tbl_Ledger[[#This Row],[Amount]]*tbl_Ledger[[#This Row],[Rate_to_NGN]]),tbl_Ledger[[#This Row],[Amount]]*tbl_Ledger[[#This Row],[Rate_to_NGN]])</f>
        <v>44503.32</v>
      </c>
      <c r="R763" s="25" t="str">
        <f>_xlfn.XLOOKUP(tbl_Ledger[[#This Row],[Account_Code]], tbl_Accounts[Account_Code], tbl_Accounts[Type])</f>
        <v>Revenue</v>
      </c>
      <c r="S763" s="25" t="str">
        <f>_xlfn.XLOOKUP(tbl_Ledger[[#This Row],[Account_Code]], tbl_Accounts[Account_Code], tbl_Accounts[PL_Bucket])</f>
        <v>Revenue</v>
      </c>
      <c r="T763" s="25">
        <f t="shared" si="11"/>
        <v>44503.32</v>
      </c>
    </row>
    <row r="764" spans="1:20">
      <c r="A764" t="s">
        <v>2078</v>
      </c>
      <c r="B764" s="7">
        <v>45887</v>
      </c>
      <c r="C764" t="s">
        <v>126</v>
      </c>
      <c r="D764" t="s">
        <v>88</v>
      </c>
      <c r="E764" t="s">
        <v>136</v>
      </c>
      <c r="F764" s="12" t="s">
        <v>29</v>
      </c>
      <c r="G764" t="s">
        <v>30</v>
      </c>
      <c r="H764" t="s">
        <v>2079</v>
      </c>
      <c r="I764" t="s">
        <v>71</v>
      </c>
      <c r="J764" s="6">
        <v>54500</v>
      </c>
      <c r="K764" t="s">
        <v>138</v>
      </c>
      <c r="L764" t="s">
        <v>2075</v>
      </c>
      <c r="M764" t="s">
        <v>3</v>
      </c>
      <c r="N764" s="25" t="str">
        <f>TEXT(tbl_Ledger[[#This Row],[Date]],"yyyy-mm")</f>
        <v>2025-08</v>
      </c>
      <c r="O764" s="25" t="str">
        <f>TEXT(tbl_Ledger[[#This Row],[Date]],"yyyy-mm") &amp; TRIM(tbl_Ledger[[#This Row],[Currency]])</f>
        <v>2025-08NGN</v>
      </c>
      <c r="P764" s="25">
        <f>_xlfn.XLOOKUP(tbl_Ledger[[#This Row],[Key]], tbl_FX[Key], tbl_FX[Rate_to_NGN])</f>
        <v>1</v>
      </c>
      <c r="Q764" s="37">
        <f>IF(tbl_Ledger[[#This Row],[Account_Type]]="Expense",-ABS(tbl_Ledger[[#This Row],[Amount]]*tbl_Ledger[[#This Row],[Rate_to_NGN]]),tbl_Ledger[[#This Row],[Amount]]*tbl_Ledger[[#This Row],[Rate_to_NGN]])</f>
        <v>54500</v>
      </c>
      <c r="R764" s="25" t="str">
        <f>_xlfn.XLOOKUP(tbl_Ledger[[#This Row],[Account_Code]], tbl_Accounts[Account_Code], tbl_Accounts[Type])</f>
        <v>Revenue</v>
      </c>
      <c r="S764" s="25" t="str">
        <f>_xlfn.XLOOKUP(tbl_Ledger[[#This Row],[Account_Code]], tbl_Accounts[Account_Code], tbl_Accounts[PL_Bucket])</f>
        <v>Revenue</v>
      </c>
      <c r="T764" s="25">
        <f t="shared" si="11"/>
        <v>54500</v>
      </c>
    </row>
    <row r="765" spans="1:20">
      <c r="A765" t="s">
        <v>2080</v>
      </c>
      <c r="B765" s="7">
        <v>45887</v>
      </c>
      <c r="C765" t="s">
        <v>126</v>
      </c>
      <c r="D765" t="s">
        <v>88</v>
      </c>
      <c r="E765" t="s">
        <v>140</v>
      </c>
      <c r="F765" s="12" t="s">
        <v>29</v>
      </c>
      <c r="G765" t="s">
        <v>30</v>
      </c>
      <c r="H765" t="s">
        <v>2081</v>
      </c>
      <c r="I765" t="s">
        <v>71</v>
      </c>
      <c r="J765" s="6">
        <v>44600</v>
      </c>
      <c r="K765" t="s">
        <v>3</v>
      </c>
      <c r="L765" t="s">
        <v>2082</v>
      </c>
      <c r="M765" t="s">
        <v>3</v>
      </c>
      <c r="N765" s="25" t="str">
        <f>TEXT(tbl_Ledger[[#This Row],[Date]],"yyyy-mm")</f>
        <v>2025-08</v>
      </c>
      <c r="O765" s="25" t="str">
        <f>TEXT(tbl_Ledger[[#This Row],[Date]],"yyyy-mm") &amp; TRIM(tbl_Ledger[[#This Row],[Currency]])</f>
        <v>2025-08NGN</v>
      </c>
      <c r="P765" s="25">
        <f>_xlfn.XLOOKUP(tbl_Ledger[[#This Row],[Key]], tbl_FX[Key], tbl_FX[Rate_to_NGN])</f>
        <v>1</v>
      </c>
      <c r="Q765" s="37">
        <f>IF(tbl_Ledger[[#This Row],[Account_Type]]="Expense",-ABS(tbl_Ledger[[#This Row],[Amount]]*tbl_Ledger[[#This Row],[Rate_to_NGN]]),tbl_Ledger[[#This Row],[Amount]]*tbl_Ledger[[#This Row],[Rate_to_NGN]])</f>
        <v>44600</v>
      </c>
      <c r="R765" s="25" t="str">
        <f>_xlfn.XLOOKUP(tbl_Ledger[[#This Row],[Account_Code]], tbl_Accounts[Account_Code], tbl_Accounts[Type])</f>
        <v>Revenue</v>
      </c>
      <c r="S765" s="25" t="str">
        <f>_xlfn.XLOOKUP(tbl_Ledger[[#This Row],[Account_Code]], tbl_Accounts[Account_Code], tbl_Accounts[PL_Bucket])</f>
        <v>Revenue</v>
      </c>
      <c r="T765" s="25">
        <f t="shared" si="11"/>
        <v>44600</v>
      </c>
    </row>
    <row r="766" spans="1:20">
      <c r="A766" t="s">
        <v>2083</v>
      </c>
      <c r="B766" s="7">
        <v>45887</v>
      </c>
      <c r="C766" t="s">
        <v>93</v>
      </c>
      <c r="D766" t="s">
        <v>111</v>
      </c>
      <c r="E766" t="s">
        <v>112</v>
      </c>
      <c r="F766" s="12" t="s">
        <v>31</v>
      </c>
      <c r="G766" t="s">
        <v>32</v>
      </c>
      <c r="H766" t="s">
        <v>2084</v>
      </c>
      <c r="I766" t="s">
        <v>71</v>
      </c>
      <c r="J766" s="6">
        <v>63934</v>
      </c>
      <c r="K766" t="s">
        <v>3</v>
      </c>
      <c r="L766" t="s">
        <v>2085</v>
      </c>
      <c r="M766" t="s">
        <v>237</v>
      </c>
      <c r="N766" s="25" t="str">
        <f>TEXT(tbl_Ledger[[#This Row],[Date]],"yyyy-mm")</f>
        <v>2025-08</v>
      </c>
      <c r="O766" s="25" t="str">
        <f>TEXT(tbl_Ledger[[#This Row],[Date]],"yyyy-mm") &amp; TRIM(tbl_Ledger[[#This Row],[Currency]])</f>
        <v>2025-08NGN</v>
      </c>
      <c r="P766" s="25">
        <f>_xlfn.XLOOKUP(tbl_Ledger[[#This Row],[Key]], tbl_FX[Key], tbl_FX[Rate_to_NGN])</f>
        <v>1</v>
      </c>
      <c r="Q766" s="37">
        <f>IF(tbl_Ledger[[#This Row],[Account_Type]]="Expense",-ABS(tbl_Ledger[[#This Row],[Amount]]*tbl_Ledger[[#This Row],[Rate_to_NGN]]),tbl_Ledger[[#This Row],[Amount]]*tbl_Ledger[[#This Row],[Rate_to_NGN]])</f>
        <v>63934</v>
      </c>
      <c r="R766" s="25" t="str">
        <f>_xlfn.XLOOKUP(tbl_Ledger[[#This Row],[Account_Code]], tbl_Accounts[Account_Code], tbl_Accounts[Type])</f>
        <v>Revenue</v>
      </c>
      <c r="S766" s="25" t="str">
        <f>_xlfn.XLOOKUP(tbl_Ledger[[#This Row],[Account_Code]], tbl_Accounts[Account_Code], tbl_Accounts[PL_Bucket])</f>
        <v>Revenue</v>
      </c>
      <c r="T766" s="25">
        <f t="shared" si="11"/>
        <v>63934</v>
      </c>
    </row>
    <row r="767" spans="1:20">
      <c r="A767" t="s">
        <v>2086</v>
      </c>
      <c r="B767" s="7">
        <v>45887</v>
      </c>
      <c r="C767" t="s">
        <v>87</v>
      </c>
      <c r="D767" t="s">
        <v>111</v>
      </c>
      <c r="E767" t="s">
        <v>3</v>
      </c>
      <c r="F767" s="12" t="s">
        <v>36</v>
      </c>
      <c r="G767" t="s">
        <v>37</v>
      </c>
      <c r="H767" t="s">
        <v>1879</v>
      </c>
      <c r="I767" t="s">
        <v>71</v>
      </c>
      <c r="J767" s="6">
        <v>-1677000</v>
      </c>
      <c r="K767" t="s">
        <v>145</v>
      </c>
      <c r="L767" t="s">
        <v>2087</v>
      </c>
      <c r="M767" t="s">
        <v>3</v>
      </c>
      <c r="N767" s="25" t="str">
        <f>TEXT(tbl_Ledger[[#This Row],[Date]],"yyyy-mm")</f>
        <v>2025-08</v>
      </c>
      <c r="O767" s="25" t="str">
        <f>TEXT(tbl_Ledger[[#This Row],[Date]],"yyyy-mm") &amp; TRIM(tbl_Ledger[[#This Row],[Currency]])</f>
        <v>2025-08NGN</v>
      </c>
      <c r="P767" s="25">
        <f>_xlfn.XLOOKUP(tbl_Ledger[[#This Row],[Key]], tbl_FX[Key], tbl_FX[Rate_to_NGN])</f>
        <v>1</v>
      </c>
      <c r="Q767" s="37">
        <f>IF(tbl_Ledger[[#This Row],[Account_Type]]="Expense",-ABS(tbl_Ledger[[#This Row],[Amount]]*tbl_Ledger[[#This Row],[Rate_to_NGN]]),tbl_Ledger[[#This Row],[Amount]]*tbl_Ledger[[#This Row],[Rate_to_NGN]])</f>
        <v>-1677000</v>
      </c>
      <c r="R767" s="25" t="str">
        <f>_xlfn.XLOOKUP(tbl_Ledger[[#This Row],[Account_Code]], tbl_Accounts[Account_Code], tbl_Accounts[Type])</f>
        <v>COGS</v>
      </c>
      <c r="S767" s="25" t="str">
        <f>_xlfn.XLOOKUP(tbl_Ledger[[#This Row],[Account_Code]], tbl_Accounts[Account_Code], tbl_Accounts[PL_Bucket])</f>
        <v>COGS</v>
      </c>
      <c r="T767" s="25">
        <f t="shared" si="11"/>
        <v>-1677000</v>
      </c>
    </row>
    <row r="768" spans="1:20">
      <c r="A768" t="s">
        <v>2088</v>
      </c>
      <c r="B768" s="7">
        <v>45888</v>
      </c>
      <c r="C768" t="s">
        <v>93</v>
      </c>
      <c r="D768" t="s">
        <v>94</v>
      </c>
      <c r="E768" t="s">
        <v>99</v>
      </c>
      <c r="F768" s="12" t="s">
        <v>24</v>
      </c>
      <c r="G768" t="s">
        <v>25</v>
      </c>
      <c r="H768" t="s">
        <v>2089</v>
      </c>
      <c r="I768" t="s">
        <v>71</v>
      </c>
      <c r="J768" s="6">
        <v>31800</v>
      </c>
      <c r="K768" t="s">
        <v>3</v>
      </c>
      <c r="L768" t="s">
        <v>2090</v>
      </c>
      <c r="M768" t="s">
        <v>3</v>
      </c>
      <c r="N768" s="25" t="str">
        <f>TEXT(tbl_Ledger[[#This Row],[Date]],"yyyy-mm")</f>
        <v>2025-08</v>
      </c>
      <c r="O768" s="25" t="str">
        <f>TEXT(tbl_Ledger[[#This Row],[Date]],"yyyy-mm") &amp; TRIM(tbl_Ledger[[#This Row],[Currency]])</f>
        <v>2025-08NGN</v>
      </c>
      <c r="P768" s="25">
        <f>_xlfn.XLOOKUP(tbl_Ledger[[#This Row],[Key]], tbl_FX[Key], tbl_FX[Rate_to_NGN])</f>
        <v>1</v>
      </c>
      <c r="Q768" s="37">
        <f>IF(tbl_Ledger[[#This Row],[Account_Type]]="Expense",-ABS(tbl_Ledger[[#This Row],[Amount]]*tbl_Ledger[[#This Row],[Rate_to_NGN]]),tbl_Ledger[[#This Row],[Amount]]*tbl_Ledger[[#This Row],[Rate_to_NGN]])</f>
        <v>31800</v>
      </c>
      <c r="R768" s="25" t="str">
        <f>_xlfn.XLOOKUP(tbl_Ledger[[#This Row],[Account_Code]], tbl_Accounts[Account_Code], tbl_Accounts[Type])</f>
        <v>Revenue</v>
      </c>
      <c r="S768" s="25" t="str">
        <f>_xlfn.XLOOKUP(tbl_Ledger[[#This Row],[Account_Code]], tbl_Accounts[Account_Code], tbl_Accounts[PL_Bucket])</f>
        <v>Revenue</v>
      </c>
      <c r="T768" s="25">
        <f t="shared" si="11"/>
        <v>31800</v>
      </c>
    </row>
    <row r="769" spans="1:20">
      <c r="A769" t="s">
        <v>2091</v>
      </c>
      <c r="B769" s="7">
        <v>45888</v>
      </c>
      <c r="C769" t="s">
        <v>93</v>
      </c>
      <c r="D769" t="s">
        <v>94</v>
      </c>
      <c r="E769" t="s">
        <v>103</v>
      </c>
      <c r="F769" s="12" t="s">
        <v>24</v>
      </c>
      <c r="G769" t="s">
        <v>25</v>
      </c>
      <c r="H769" t="s">
        <v>2092</v>
      </c>
      <c r="I769" t="s">
        <v>71</v>
      </c>
      <c r="J769" s="6">
        <v>28400</v>
      </c>
      <c r="K769" t="s">
        <v>3</v>
      </c>
      <c r="L769" t="s">
        <v>2093</v>
      </c>
      <c r="M769" t="s">
        <v>3</v>
      </c>
      <c r="N769" s="25" t="str">
        <f>TEXT(tbl_Ledger[[#This Row],[Date]],"yyyy-mm")</f>
        <v>2025-08</v>
      </c>
      <c r="O769" s="25" t="str">
        <f>TEXT(tbl_Ledger[[#This Row],[Date]],"yyyy-mm") &amp; TRIM(tbl_Ledger[[#This Row],[Currency]])</f>
        <v>2025-08NGN</v>
      </c>
      <c r="P769" s="25">
        <f>_xlfn.XLOOKUP(tbl_Ledger[[#This Row],[Key]], tbl_FX[Key], tbl_FX[Rate_to_NGN])</f>
        <v>1</v>
      </c>
      <c r="Q769" s="37">
        <f>IF(tbl_Ledger[[#This Row],[Account_Type]]="Expense",-ABS(tbl_Ledger[[#This Row],[Amount]]*tbl_Ledger[[#This Row],[Rate_to_NGN]]),tbl_Ledger[[#This Row],[Amount]]*tbl_Ledger[[#This Row],[Rate_to_NGN]])</f>
        <v>28400</v>
      </c>
      <c r="R769" s="25" t="str">
        <f>_xlfn.XLOOKUP(tbl_Ledger[[#This Row],[Account_Code]], tbl_Accounts[Account_Code], tbl_Accounts[Type])</f>
        <v>Revenue</v>
      </c>
      <c r="S769" s="25" t="str">
        <f>_xlfn.XLOOKUP(tbl_Ledger[[#This Row],[Account_Code]], tbl_Accounts[Account_Code], tbl_Accounts[PL_Bucket])</f>
        <v>Revenue</v>
      </c>
      <c r="T769" s="25">
        <f t="shared" si="11"/>
        <v>28400</v>
      </c>
    </row>
    <row r="770" spans="1:20">
      <c r="A770" t="s">
        <v>2094</v>
      </c>
      <c r="B770" s="7">
        <v>45888</v>
      </c>
      <c r="C770" t="s">
        <v>93</v>
      </c>
      <c r="D770" t="s">
        <v>94</v>
      </c>
      <c r="E770" t="s">
        <v>160</v>
      </c>
      <c r="F770" s="12" t="s">
        <v>24</v>
      </c>
      <c r="G770" t="s">
        <v>25</v>
      </c>
      <c r="H770" t="s">
        <v>2095</v>
      </c>
      <c r="I770" t="s">
        <v>71</v>
      </c>
      <c r="J770" s="6">
        <v>31900</v>
      </c>
      <c r="K770" t="s">
        <v>3</v>
      </c>
      <c r="L770" t="s">
        <v>2093</v>
      </c>
      <c r="M770" t="s">
        <v>3</v>
      </c>
      <c r="N770" s="25" t="str">
        <f>TEXT(tbl_Ledger[[#This Row],[Date]],"yyyy-mm")</f>
        <v>2025-08</v>
      </c>
      <c r="O770" s="25" t="str">
        <f>TEXT(tbl_Ledger[[#This Row],[Date]],"yyyy-mm") &amp; TRIM(tbl_Ledger[[#This Row],[Currency]])</f>
        <v>2025-08NGN</v>
      </c>
      <c r="P770" s="25">
        <f>_xlfn.XLOOKUP(tbl_Ledger[[#This Row],[Key]], tbl_FX[Key], tbl_FX[Rate_to_NGN])</f>
        <v>1</v>
      </c>
      <c r="Q770" s="37">
        <f>IF(tbl_Ledger[[#This Row],[Account_Type]]="Expense",-ABS(tbl_Ledger[[#This Row],[Amount]]*tbl_Ledger[[#This Row],[Rate_to_NGN]]),tbl_Ledger[[#This Row],[Amount]]*tbl_Ledger[[#This Row],[Rate_to_NGN]])</f>
        <v>31900</v>
      </c>
      <c r="R770" s="25" t="str">
        <f>_xlfn.XLOOKUP(tbl_Ledger[[#This Row],[Account_Code]], tbl_Accounts[Account_Code], tbl_Accounts[Type])</f>
        <v>Revenue</v>
      </c>
      <c r="S770" s="25" t="str">
        <f>_xlfn.XLOOKUP(tbl_Ledger[[#This Row],[Account_Code]], tbl_Accounts[Account_Code], tbl_Accounts[PL_Bucket])</f>
        <v>Revenue</v>
      </c>
      <c r="T770" s="25">
        <f t="shared" ref="T770:T833" si="12">IF(AND(S770="Revenue",F770&lt;&gt;4900),ABS(Q770),-ABS(Q770))</f>
        <v>31900</v>
      </c>
    </row>
    <row r="771" spans="1:20">
      <c r="A771" t="s">
        <v>2096</v>
      </c>
      <c r="B771" s="7">
        <v>45888</v>
      </c>
      <c r="C771" t="s">
        <v>93</v>
      </c>
      <c r="D771" t="s">
        <v>94</v>
      </c>
      <c r="E771" t="s">
        <v>107</v>
      </c>
      <c r="F771" s="12" t="s">
        <v>24</v>
      </c>
      <c r="G771" t="s">
        <v>25</v>
      </c>
      <c r="H771" t="s">
        <v>2097</v>
      </c>
      <c r="I771" t="s">
        <v>71</v>
      </c>
      <c r="J771" s="6">
        <v>30700</v>
      </c>
      <c r="K771" t="s">
        <v>3</v>
      </c>
      <c r="L771" t="s">
        <v>2098</v>
      </c>
      <c r="M771" t="s">
        <v>3</v>
      </c>
      <c r="N771" s="25" t="str">
        <f>TEXT(tbl_Ledger[[#This Row],[Date]],"yyyy-mm")</f>
        <v>2025-08</v>
      </c>
      <c r="O771" s="25" t="str">
        <f>TEXT(tbl_Ledger[[#This Row],[Date]],"yyyy-mm") &amp; TRIM(tbl_Ledger[[#This Row],[Currency]])</f>
        <v>2025-08NGN</v>
      </c>
      <c r="P771" s="25">
        <f>_xlfn.XLOOKUP(tbl_Ledger[[#This Row],[Key]], tbl_FX[Key], tbl_FX[Rate_to_NGN])</f>
        <v>1</v>
      </c>
      <c r="Q771" s="37">
        <f>IF(tbl_Ledger[[#This Row],[Account_Type]]="Expense",-ABS(tbl_Ledger[[#This Row],[Amount]]*tbl_Ledger[[#This Row],[Rate_to_NGN]]),tbl_Ledger[[#This Row],[Amount]]*tbl_Ledger[[#This Row],[Rate_to_NGN]])</f>
        <v>30700</v>
      </c>
      <c r="R771" s="25" t="str">
        <f>_xlfn.XLOOKUP(tbl_Ledger[[#This Row],[Account_Code]], tbl_Accounts[Account_Code], tbl_Accounts[Type])</f>
        <v>Revenue</v>
      </c>
      <c r="S771" s="25" t="str">
        <f>_xlfn.XLOOKUP(tbl_Ledger[[#This Row],[Account_Code]], tbl_Accounts[Account_Code], tbl_Accounts[PL_Bucket])</f>
        <v>Revenue</v>
      </c>
      <c r="T771" s="25">
        <f t="shared" si="12"/>
        <v>30700</v>
      </c>
    </row>
    <row r="772" spans="1:20">
      <c r="A772" t="s">
        <v>2099</v>
      </c>
      <c r="B772" s="7">
        <v>45888</v>
      </c>
      <c r="C772" t="s">
        <v>93</v>
      </c>
      <c r="D772" t="s">
        <v>111</v>
      </c>
      <c r="E772" t="s">
        <v>112</v>
      </c>
      <c r="F772" s="12" t="s">
        <v>24</v>
      </c>
      <c r="G772" t="s">
        <v>25</v>
      </c>
      <c r="H772" t="s">
        <v>2100</v>
      </c>
      <c r="I772" t="s">
        <v>71</v>
      </c>
      <c r="J772" s="6">
        <v>48900</v>
      </c>
      <c r="K772" t="s">
        <v>3</v>
      </c>
      <c r="L772" t="s">
        <v>2101</v>
      </c>
      <c r="M772" t="s">
        <v>3</v>
      </c>
      <c r="N772" s="25" t="str">
        <f>TEXT(tbl_Ledger[[#This Row],[Date]],"yyyy-mm")</f>
        <v>2025-08</v>
      </c>
      <c r="O772" s="25" t="str">
        <f>TEXT(tbl_Ledger[[#This Row],[Date]],"yyyy-mm") &amp; TRIM(tbl_Ledger[[#This Row],[Currency]])</f>
        <v>2025-08NGN</v>
      </c>
      <c r="P772" s="25">
        <f>_xlfn.XLOOKUP(tbl_Ledger[[#This Row],[Key]], tbl_FX[Key], tbl_FX[Rate_to_NGN])</f>
        <v>1</v>
      </c>
      <c r="Q772" s="37">
        <f>IF(tbl_Ledger[[#This Row],[Account_Type]]="Expense",-ABS(tbl_Ledger[[#This Row],[Amount]]*tbl_Ledger[[#This Row],[Rate_to_NGN]]),tbl_Ledger[[#This Row],[Amount]]*tbl_Ledger[[#This Row],[Rate_to_NGN]])</f>
        <v>48900</v>
      </c>
      <c r="R772" s="25" t="str">
        <f>_xlfn.XLOOKUP(tbl_Ledger[[#This Row],[Account_Code]], tbl_Accounts[Account_Code], tbl_Accounts[Type])</f>
        <v>Revenue</v>
      </c>
      <c r="S772" s="25" t="str">
        <f>_xlfn.XLOOKUP(tbl_Ledger[[#This Row],[Account_Code]], tbl_Accounts[Account_Code], tbl_Accounts[PL_Bucket])</f>
        <v>Revenue</v>
      </c>
      <c r="T772" s="25">
        <f t="shared" si="12"/>
        <v>48900</v>
      </c>
    </row>
    <row r="773" spans="1:20">
      <c r="A773" t="s">
        <v>2102</v>
      </c>
      <c r="B773" s="7">
        <v>45888</v>
      </c>
      <c r="C773" t="s">
        <v>93</v>
      </c>
      <c r="D773" t="s">
        <v>111</v>
      </c>
      <c r="E773" t="s">
        <v>116</v>
      </c>
      <c r="F773" s="12" t="s">
        <v>24</v>
      </c>
      <c r="G773" t="s">
        <v>25</v>
      </c>
      <c r="H773" t="s">
        <v>2103</v>
      </c>
      <c r="I773" t="s">
        <v>71</v>
      </c>
      <c r="J773" s="6">
        <v>49100</v>
      </c>
      <c r="K773" t="s">
        <v>3</v>
      </c>
      <c r="L773" t="s">
        <v>2101</v>
      </c>
      <c r="M773" t="s">
        <v>3</v>
      </c>
      <c r="N773" s="25" t="str">
        <f>TEXT(tbl_Ledger[[#This Row],[Date]],"yyyy-mm")</f>
        <v>2025-08</v>
      </c>
      <c r="O773" s="25" t="str">
        <f>TEXT(tbl_Ledger[[#This Row],[Date]],"yyyy-mm") &amp; TRIM(tbl_Ledger[[#This Row],[Currency]])</f>
        <v>2025-08NGN</v>
      </c>
      <c r="P773" s="25">
        <f>_xlfn.XLOOKUP(tbl_Ledger[[#This Row],[Key]], tbl_FX[Key], tbl_FX[Rate_to_NGN])</f>
        <v>1</v>
      </c>
      <c r="Q773" s="37">
        <f>IF(tbl_Ledger[[#This Row],[Account_Type]]="Expense",-ABS(tbl_Ledger[[#This Row],[Amount]]*tbl_Ledger[[#This Row],[Rate_to_NGN]]),tbl_Ledger[[#This Row],[Amount]]*tbl_Ledger[[#This Row],[Rate_to_NGN]])</f>
        <v>49100</v>
      </c>
      <c r="R773" s="25" t="str">
        <f>_xlfn.XLOOKUP(tbl_Ledger[[#This Row],[Account_Code]], tbl_Accounts[Account_Code], tbl_Accounts[Type])</f>
        <v>Revenue</v>
      </c>
      <c r="S773" s="25" t="str">
        <f>_xlfn.XLOOKUP(tbl_Ledger[[#This Row],[Account_Code]], tbl_Accounts[Account_Code], tbl_Accounts[PL_Bucket])</f>
        <v>Revenue</v>
      </c>
      <c r="T773" s="25">
        <f t="shared" si="12"/>
        <v>49100</v>
      </c>
    </row>
    <row r="774" spans="1:20">
      <c r="A774" t="s">
        <v>2104</v>
      </c>
      <c r="B774" s="7">
        <v>45888</v>
      </c>
      <c r="C774" t="s">
        <v>93</v>
      </c>
      <c r="D774" t="s">
        <v>111</v>
      </c>
      <c r="E774" t="s">
        <v>170</v>
      </c>
      <c r="F774" s="12" t="s">
        <v>24</v>
      </c>
      <c r="G774" t="s">
        <v>25</v>
      </c>
      <c r="H774" t="s">
        <v>2105</v>
      </c>
      <c r="I774" t="s">
        <v>71</v>
      </c>
      <c r="J774" s="6">
        <v>51400</v>
      </c>
      <c r="K774" t="s">
        <v>3</v>
      </c>
      <c r="L774" t="s">
        <v>2101</v>
      </c>
      <c r="M774" t="s">
        <v>3</v>
      </c>
      <c r="N774" s="25" t="str">
        <f>TEXT(tbl_Ledger[[#This Row],[Date]],"yyyy-mm")</f>
        <v>2025-08</v>
      </c>
      <c r="O774" s="25" t="str">
        <f>TEXT(tbl_Ledger[[#This Row],[Date]],"yyyy-mm") &amp; TRIM(tbl_Ledger[[#This Row],[Currency]])</f>
        <v>2025-08NGN</v>
      </c>
      <c r="P774" s="25">
        <f>_xlfn.XLOOKUP(tbl_Ledger[[#This Row],[Key]], tbl_FX[Key], tbl_FX[Rate_to_NGN])</f>
        <v>1</v>
      </c>
      <c r="Q774" s="37">
        <f>IF(tbl_Ledger[[#This Row],[Account_Type]]="Expense",-ABS(tbl_Ledger[[#This Row],[Amount]]*tbl_Ledger[[#This Row],[Rate_to_NGN]]),tbl_Ledger[[#This Row],[Amount]]*tbl_Ledger[[#This Row],[Rate_to_NGN]])</f>
        <v>51400</v>
      </c>
      <c r="R774" s="25" t="str">
        <f>_xlfn.XLOOKUP(tbl_Ledger[[#This Row],[Account_Code]], tbl_Accounts[Account_Code], tbl_Accounts[Type])</f>
        <v>Revenue</v>
      </c>
      <c r="S774" s="25" t="str">
        <f>_xlfn.XLOOKUP(tbl_Ledger[[#This Row],[Account_Code]], tbl_Accounts[Account_Code], tbl_Accounts[PL_Bucket])</f>
        <v>Revenue</v>
      </c>
      <c r="T774" s="25">
        <f t="shared" si="12"/>
        <v>51400</v>
      </c>
    </row>
    <row r="775" spans="1:20">
      <c r="A775" t="s">
        <v>2106</v>
      </c>
      <c r="B775" s="7">
        <v>45888</v>
      </c>
      <c r="C775" t="s">
        <v>93</v>
      </c>
      <c r="D775" t="s">
        <v>111</v>
      </c>
      <c r="E775" t="s">
        <v>122</v>
      </c>
      <c r="F775" s="12" t="s">
        <v>24</v>
      </c>
      <c r="G775" t="s">
        <v>25</v>
      </c>
      <c r="H775" t="s">
        <v>2107</v>
      </c>
      <c r="I775" t="s">
        <v>71</v>
      </c>
      <c r="J775" s="6">
        <v>48400</v>
      </c>
      <c r="K775" t="s">
        <v>3</v>
      </c>
      <c r="L775" t="s">
        <v>2108</v>
      </c>
      <c r="M775" t="s">
        <v>3</v>
      </c>
      <c r="N775" s="25" t="str">
        <f>TEXT(tbl_Ledger[[#This Row],[Date]],"yyyy-mm")</f>
        <v>2025-08</v>
      </c>
      <c r="O775" s="25" t="str">
        <f>TEXT(tbl_Ledger[[#This Row],[Date]],"yyyy-mm") &amp; TRIM(tbl_Ledger[[#This Row],[Currency]])</f>
        <v>2025-08NGN</v>
      </c>
      <c r="P775" s="25">
        <f>_xlfn.XLOOKUP(tbl_Ledger[[#This Row],[Key]], tbl_FX[Key], tbl_FX[Rate_to_NGN])</f>
        <v>1</v>
      </c>
      <c r="Q775" s="37">
        <f>IF(tbl_Ledger[[#This Row],[Account_Type]]="Expense",-ABS(tbl_Ledger[[#This Row],[Amount]]*tbl_Ledger[[#This Row],[Rate_to_NGN]]),tbl_Ledger[[#This Row],[Amount]]*tbl_Ledger[[#This Row],[Rate_to_NGN]])</f>
        <v>48400</v>
      </c>
      <c r="R775" s="25" t="str">
        <f>_xlfn.XLOOKUP(tbl_Ledger[[#This Row],[Account_Code]], tbl_Accounts[Account_Code], tbl_Accounts[Type])</f>
        <v>Revenue</v>
      </c>
      <c r="S775" s="25" t="str">
        <f>_xlfn.XLOOKUP(tbl_Ledger[[#This Row],[Account_Code]], tbl_Accounts[Account_Code], tbl_Accounts[PL_Bucket])</f>
        <v>Revenue</v>
      </c>
      <c r="T775" s="25">
        <f t="shared" si="12"/>
        <v>48400</v>
      </c>
    </row>
    <row r="776" spans="1:20">
      <c r="A776" t="s">
        <v>2109</v>
      </c>
      <c r="B776" s="7">
        <v>45888</v>
      </c>
      <c r="C776" t="s">
        <v>126</v>
      </c>
      <c r="D776" t="s">
        <v>88</v>
      </c>
      <c r="E776" t="s">
        <v>127</v>
      </c>
      <c r="F776" s="12" t="s">
        <v>29</v>
      </c>
      <c r="G776" t="s">
        <v>30</v>
      </c>
      <c r="H776" t="s">
        <v>2110</v>
      </c>
      <c r="I776" t="s">
        <v>72</v>
      </c>
      <c r="J776" s="6">
        <v>31.23</v>
      </c>
      <c r="K776" t="s">
        <v>129</v>
      </c>
      <c r="L776" t="s">
        <v>2111</v>
      </c>
      <c r="M776" t="s">
        <v>3</v>
      </c>
      <c r="N776" s="25" t="str">
        <f>TEXT(tbl_Ledger[[#This Row],[Date]],"yyyy-mm")</f>
        <v>2025-08</v>
      </c>
      <c r="O776" s="25" t="str">
        <f>TEXT(tbl_Ledger[[#This Row],[Date]],"yyyy-mm") &amp; TRIM(tbl_Ledger[[#This Row],[Currency]])</f>
        <v>2025-08USD</v>
      </c>
      <c r="P776" s="25">
        <f>_xlfn.XLOOKUP(tbl_Ledger[[#This Row],[Key]], tbl_FX[Key], tbl_FX[Rate_to_NGN])</f>
        <v>1572</v>
      </c>
      <c r="Q776" s="37">
        <f>IF(tbl_Ledger[[#This Row],[Account_Type]]="Expense",-ABS(tbl_Ledger[[#This Row],[Amount]]*tbl_Ledger[[#This Row],[Rate_to_NGN]]),tbl_Ledger[[#This Row],[Amount]]*tbl_Ledger[[#This Row],[Rate_to_NGN]])</f>
        <v>49093.56</v>
      </c>
      <c r="R776" s="25" t="str">
        <f>_xlfn.XLOOKUP(tbl_Ledger[[#This Row],[Account_Code]], tbl_Accounts[Account_Code], tbl_Accounts[Type])</f>
        <v>Revenue</v>
      </c>
      <c r="S776" s="25" t="str">
        <f>_xlfn.XLOOKUP(tbl_Ledger[[#This Row],[Account_Code]], tbl_Accounts[Account_Code], tbl_Accounts[PL_Bucket])</f>
        <v>Revenue</v>
      </c>
      <c r="T776" s="25">
        <f t="shared" si="12"/>
        <v>49093.56</v>
      </c>
    </row>
    <row r="777" spans="1:20">
      <c r="A777" t="s">
        <v>2112</v>
      </c>
      <c r="B777" s="7">
        <v>45888</v>
      </c>
      <c r="C777" t="s">
        <v>126</v>
      </c>
      <c r="D777" t="s">
        <v>88</v>
      </c>
      <c r="E777" t="s">
        <v>132</v>
      </c>
      <c r="F777" s="12" t="s">
        <v>29</v>
      </c>
      <c r="G777" t="s">
        <v>30</v>
      </c>
      <c r="H777" t="s">
        <v>2113</v>
      </c>
      <c r="I777" t="s">
        <v>71</v>
      </c>
      <c r="J777" s="6">
        <v>54400</v>
      </c>
      <c r="K777" t="s">
        <v>134</v>
      </c>
      <c r="L777" t="s">
        <v>2111</v>
      </c>
      <c r="M777" t="s">
        <v>3</v>
      </c>
      <c r="N777" s="25" t="str">
        <f>TEXT(tbl_Ledger[[#This Row],[Date]],"yyyy-mm")</f>
        <v>2025-08</v>
      </c>
      <c r="O777" s="25" t="str">
        <f>TEXT(tbl_Ledger[[#This Row],[Date]],"yyyy-mm") &amp; TRIM(tbl_Ledger[[#This Row],[Currency]])</f>
        <v>2025-08NGN</v>
      </c>
      <c r="P777" s="25">
        <f>_xlfn.XLOOKUP(tbl_Ledger[[#This Row],[Key]], tbl_FX[Key], tbl_FX[Rate_to_NGN])</f>
        <v>1</v>
      </c>
      <c r="Q777" s="37">
        <f>IF(tbl_Ledger[[#This Row],[Account_Type]]="Expense",-ABS(tbl_Ledger[[#This Row],[Amount]]*tbl_Ledger[[#This Row],[Rate_to_NGN]]),tbl_Ledger[[#This Row],[Amount]]*tbl_Ledger[[#This Row],[Rate_to_NGN]])</f>
        <v>54400</v>
      </c>
      <c r="R777" s="25" t="str">
        <f>_xlfn.XLOOKUP(tbl_Ledger[[#This Row],[Account_Code]], tbl_Accounts[Account_Code], tbl_Accounts[Type])</f>
        <v>Revenue</v>
      </c>
      <c r="S777" s="25" t="str">
        <f>_xlfn.XLOOKUP(tbl_Ledger[[#This Row],[Account_Code]], tbl_Accounts[Account_Code], tbl_Accounts[PL_Bucket])</f>
        <v>Revenue</v>
      </c>
      <c r="T777" s="25">
        <f t="shared" si="12"/>
        <v>54400</v>
      </c>
    </row>
    <row r="778" spans="1:20">
      <c r="A778" t="s">
        <v>2114</v>
      </c>
      <c r="B778" s="7">
        <v>45888</v>
      </c>
      <c r="C778" t="s">
        <v>126</v>
      </c>
      <c r="D778" t="s">
        <v>88</v>
      </c>
      <c r="E778" t="s">
        <v>136</v>
      </c>
      <c r="F778" s="12" t="s">
        <v>29</v>
      </c>
      <c r="G778" t="s">
        <v>30</v>
      </c>
      <c r="H778" t="s">
        <v>2115</v>
      </c>
      <c r="I778" t="s">
        <v>71</v>
      </c>
      <c r="J778" s="6">
        <v>44400</v>
      </c>
      <c r="K778" t="s">
        <v>138</v>
      </c>
      <c r="L778" t="s">
        <v>2111</v>
      </c>
      <c r="M778" t="s">
        <v>3</v>
      </c>
      <c r="N778" s="25" t="str">
        <f>TEXT(tbl_Ledger[[#This Row],[Date]],"yyyy-mm")</f>
        <v>2025-08</v>
      </c>
      <c r="O778" s="25" t="str">
        <f>TEXT(tbl_Ledger[[#This Row],[Date]],"yyyy-mm") &amp; TRIM(tbl_Ledger[[#This Row],[Currency]])</f>
        <v>2025-08NGN</v>
      </c>
      <c r="P778" s="25">
        <f>_xlfn.XLOOKUP(tbl_Ledger[[#This Row],[Key]], tbl_FX[Key], tbl_FX[Rate_to_NGN])</f>
        <v>1</v>
      </c>
      <c r="Q778" s="37">
        <f>IF(tbl_Ledger[[#This Row],[Account_Type]]="Expense",-ABS(tbl_Ledger[[#This Row],[Amount]]*tbl_Ledger[[#This Row],[Rate_to_NGN]]),tbl_Ledger[[#This Row],[Amount]]*tbl_Ledger[[#This Row],[Rate_to_NGN]])</f>
        <v>44400</v>
      </c>
      <c r="R778" s="25" t="str">
        <f>_xlfn.XLOOKUP(tbl_Ledger[[#This Row],[Account_Code]], tbl_Accounts[Account_Code], tbl_Accounts[Type])</f>
        <v>Revenue</v>
      </c>
      <c r="S778" s="25" t="str">
        <f>_xlfn.XLOOKUP(tbl_Ledger[[#This Row],[Account_Code]], tbl_Accounts[Account_Code], tbl_Accounts[PL_Bucket])</f>
        <v>Revenue</v>
      </c>
      <c r="T778" s="25">
        <f t="shared" si="12"/>
        <v>44400</v>
      </c>
    </row>
    <row r="779" spans="1:20">
      <c r="A779" t="s">
        <v>2116</v>
      </c>
      <c r="B779" s="7">
        <v>45888</v>
      </c>
      <c r="C779" t="s">
        <v>126</v>
      </c>
      <c r="D779" t="s">
        <v>88</v>
      </c>
      <c r="E779" t="s">
        <v>140</v>
      </c>
      <c r="F779" s="12" t="s">
        <v>29</v>
      </c>
      <c r="G779" t="s">
        <v>30</v>
      </c>
      <c r="H779" t="s">
        <v>2117</v>
      </c>
      <c r="I779" t="s">
        <v>71</v>
      </c>
      <c r="J779" s="6">
        <v>46000</v>
      </c>
      <c r="K779" t="s">
        <v>3</v>
      </c>
      <c r="L779" t="s">
        <v>2118</v>
      </c>
      <c r="M779" t="s">
        <v>3</v>
      </c>
      <c r="N779" s="25" t="str">
        <f>TEXT(tbl_Ledger[[#This Row],[Date]],"yyyy-mm")</f>
        <v>2025-08</v>
      </c>
      <c r="O779" s="25" t="str">
        <f>TEXT(tbl_Ledger[[#This Row],[Date]],"yyyy-mm") &amp; TRIM(tbl_Ledger[[#This Row],[Currency]])</f>
        <v>2025-08NGN</v>
      </c>
      <c r="P779" s="25">
        <f>_xlfn.XLOOKUP(tbl_Ledger[[#This Row],[Key]], tbl_FX[Key], tbl_FX[Rate_to_NGN])</f>
        <v>1</v>
      </c>
      <c r="Q779" s="37">
        <f>IF(tbl_Ledger[[#This Row],[Account_Type]]="Expense",-ABS(tbl_Ledger[[#This Row],[Amount]]*tbl_Ledger[[#This Row],[Rate_to_NGN]]),tbl_Ledger[[#This Row],[Amount]]*tbl_Ledger[[#This Row],[Rate_to_NGN]])</f>
        <v>46000</v>
      </c>
      <c r="R779" s="25" t="str">
        <f>_xlfn.XLOOKUP(tbl_Ledger[[#This Row],[Account_Code]], tbl_Accounts[Account_Code], tbl_Accounts[Type])</f>
        <v>Revenue</v>
      </c>
      <c r="S779" s="25" t="str">
        <f>_xlfn.XLOOKUP(tbl_Ledger[[#This Row],[Account_Code]], tbl_Accounts[Account_Code], tbl_Accounts[PL_Bucket])</f>
        <v>Revenue</v>
      </c>
      <c r="T779" s="25">
        <f t="shared" si="12"/>
        <v>46000</v>
      </c>
    </row>
    <row r="780" spans="1:20">
      <c r="A780" t="s">
        <v>2119</v>
      </c>
      <c r="B780" s="7">
        <v>45888</v>
      </c>
      <c r="C780" t="s">
        <v>87</v>
      </c>
      <c r="D780" t="s">
        <v>111</v>
      </c>
      <c r="E780" t="s">
        <v>3</v>
      </c>
      <c r="F780" s="12" t="s">
        <v>53</v>
      </c>
      <c r="G780" t="s">
        <v>54</v>
      </c>
      <c r="H780" t="s">
        <v>2120</v>
      </c>
      <c r="I780" t="s">
        <v>71</v>
      </c>
      <c r="J780" s="6">
        <v>-522879</v>
      </c>
      <c r="K780" t="s">
        <v>870</v>
      </c>
      <c r="L780" t="s">
        <v>2121</v>
      </c>
      <c r="M780" t="s">
        <v>3</v>
      </c>
      <c r="N780" s="25" t="str">
        <f>TEXT(tbl_Ledger[[#This Row],[Date]],"yyyy-mm")</f>
        <v>2025-08</v>
      </c>
      <c r="O780" s="25" t="str">
        <f>TEXT(tbl_Ledger[[#This Row],[Date]],"yyyy-mm") &amp; TRIM(tbl_Ledger[[#This Row],[Currency]])</f>
        <v>2025-08NGN</v>
      </c>
      <c r="P780" s="25">
        <f>_xlfn.XLOOKUP(tbl_Ledger[[#This Row],[Key]], tbl_FX[Key], tbl_FX[Rate_to_NGN])</f>
        <v>1</v>
      </c>
      <c r="Q780" s="37">
        <f>IF(tbl_Ledger[[#This Row],[Account_Type]]="Expense",-ABS(tbl_Ledger[[#This Row],[Amount]]*tbl_Ledger[[#This Row],[Rate_to_NGN]]),tbl_Ledger[[#This Row],[Amount]]*tbl_Ledger[[#This Row],[Rate_to_NGN]])</f>
        <v>-522879</v>
      </c>
      <c r="R780" s="25" t="str">
        <f>_xlfn.XLOOKUP(tbl_Ledger[[#This Row],[Account_Code]], tbl_Accounts[Account_Code], tbl_Accounts[Type])</f>
        <v>Opex</v>
      </c>
      <c r="S780" s="25" t="str">
        <f>_xlfn.XLOOKUP(tbl_Ledger[[#This Row],[Account_Code]], tbl_Accounts[Account_Code], tbl_Accounts[PL_Bucket])</f>
        <v>Opex</v>
      </c>
      <c r="T780" s="25">
        <f t="shared" si="12"/>
        <v>-522879</v>
      </c>
    </row>
    <row r="781" spans="1:20">
      <c r="A781" t="s">
        <v>2122</v>
      </c>
      <c r="B781" s="7">
        <v>45889</v>
      </c>
      <c r="C781" t="s">
        <v>93</v>
      </c>
      <c r="D781" t="s">
        <v>94</v>
      </c>
      <c r="E781" t="s">
        <v>95</v>
      </c>
      <c r="F781" s="12" t="s">
        <v>24</v>
      </c>
      <c r="G781" t="s">
        <v>25</v>
      </c>
      <c r="H781" t="s">
        <v>2123</v>
      </c>
      <c r="I781" t="s">
        <v>71</v>
      </c>
      <c r="J781" s="6">
        <v>29400</v>
      </c>
      <c r="K781" t="s">
        <v>3</v>
      </c>
      <c r="L781" t="s">
        <v>2124</v>
      </c>
      <c r="M781" t="s">
        <v>3</v>
      </c>
      <c r="N781" s="25" t="str">
        <f>TEXT(tbl_Ledger[[#This Row],[Date]],"yyyy-mm")</f>
        <v>2025-08</v>
      </c>
      <c r="O781" s="25" t="str">
        <f>TEXT(tbl_Ledger[[#This Row],[Date]],"yyyy-mm") &amp; TRIM(tbl_Ledger[[#This Row],[Currency]])</f>
        <v>2025-08NGN</v>
      </c>
      <c r="P781" s="25">
        <f>_xlfn.XLOOKUP(tbl_Ledger[[#This Row],[Key]], tbl_FX[Key], tbl_FX[Rate_to_NGN])</f>
        <v>1</v>
      </c>
      <c r="Q781" s="37">
        <f>IF(tbl_Ledger[[#This Row],[Account_Type]]="Expense",-ABS(tbl_Ledger[[#This Row],[Amount]]*tbl_Ledger[[#This Row],[Rate_to_NGN]]),tbl_Ledger[[#This Row],[Amount]]*tbl_Ledger[[#This Row],[Rate_to_NGN]])</f>
        <v>29400</v>
      </c>
      <c r="R781" s="25" t="str">
        <f>_xlfn.XLOOKUP(tbl_Ledger[[#This Row],[Account_Code]], tbl_Accounts[Account_Code], tbl_Accounts[Type])</f>
        <v>Revenue</v>
      </c>
      <c r="S781" s="25" t="str">
        <f>_xlfn.XLOOKUP(tbl_Ledger[[#This Row],[Account_Code]], tbl_Accounts[Account_Code], tbl_Accounts[PL_Bucket])</f>
        <v>Revenue</v>
      </c>
      <c r="T781" s="25">
        <f t="shared" si="12"/>
        <v>29400</v>
      </c>
    </row>
    <row r="782" spans="1:20">
      <c r="A782" t="s">
        <v>2125</v>
      </c>
      <c r="B782" s="7">
        <v>45889</v>
      </c>
      <c r="C782" t="s">
        <v>93</v>
      </c>
      <c r="D782" t="s">
        <v>94</v>
      </c>
      <c r="E782" t="s">
        <v>103</v>
      </c>
      <c r="F782" s="12" t="s">
        <v>24</v>
      </c>
      <c r="G782" t="s">
        <v>25</v>
      </c>
      <c r="H782" t="s">
        <v>2126</v>
      </c>
      <c r="I782" t="s">
        <v>71</v>
      </c>
      <c r="J782" s="6">
        <v>32800</v>
      </c>
      <c r="K782" t="s">
        <v>3</v>
      </c>
      <c r="L782" t="s">
        <v>2127</v>
      </c>
      <c r="M782" t="s">
        <v>3</v>
      </c>
      <c r="N782" s="25" t="str">
        <f>TEXT(tbl_Ledger[[#This Row],[Date]],"yyyy-mm")</f>
        <v>2025-08</v>
      </c>
      <c r="O782" s="25" t="str">
        <f>TEXT(tbl_Ledger[[#This Row],[Date]],"yyyy-mm") &amp; TRIM(tbl_Ledger[[#This Row],[Currency]])</f>
        <v>2025-08NGN</v>
      </c>
      <c r="P782" s="25">
        <f>_xlfn.XLOOKUP(tbl_Ledger[[#This Row],[Key]], tbl_FX[Key], tbl_FX[Rate_to_NGN])</f>
        <v>1</v>
      </c>
      <c r="Q782" s="37">
        <f>IF(tbl_Ledger[[#This Row],[Account_Type]]="Expense",-ABS(tbl_Ledger[[#This Row],[Amount]]*tbl_Ledger[[#This Row],[Rate_to_NGN]]),tbl_Ledger[[#This Row],[Amount]]*tbl_Ledger[[#This Row],[Rate_to_NGN]])</f>
        <v>32800</v>
      </c>
      <c r="R782" s="25" t="str">
        <f>_xlfn.XLOOKUP(tbl_Ledger[[#This Row],[Account_Code]], tbl_Accounts[Account_Code], tbl_Accounts[Type])</f>
        <v>Revenue</v>
      </c>
      <c r="S782" s="25" t="str">
        <f>_xlfn.XLOOKUP(tbl_Ledger[[#This Row],[Account_Code]], tbl_Accounts[Account_Code], tbl_Accounts[PL_Bucket])</f>
        <v>Revenue</v>
      </c>
      <c r="T782" s="25">
        <f t="shared" si="12"/>
        <v>32800</v>
      </c>
    </row>
    <row r="783" spans="1:20">
      <c r="A783" t="s">
        <v>2128</v>
      </c>
      <c r="B783" s="7">
        <v>45889</v>
      </c>
      <c r="C783" t="s">
        <v>93</v>
      </c>
      <c r="D783" t="s">
        <v>94</v>
      </c>
      <c r="E783" t="s">
        <v>160</v>
      </c>
      <c r="F783" s="12" t="s">
        <v>24</v>
      </c>
      <c r="G783" t="s">
        <v>25</v>
      </c>
      <c r="H783" t="s">
        <v>2129</v>
      </c>
      <c r="I783" t="s">
        <v>71</v>
      </c>
      <c r="J783" s="6">
        <v>29800</v>
      </c>
      <c r="K783" t="s">
        <v>3</v>
      </c>
      <c r="L783" t="s">
        <v>2127</v>
      </c>
      <c r="M783" t="s">
        <v>3</v>
      </c>
      <c r="N783" s="25" t="str">
        <f>TEXT(tbl_Ledger[[#This Row],[Date]],"yyyy-mm")</f>
        <v>2025-08</v>
      </c>
      <c r="O783" s="25" t="str">
        <f>TEXT(tbl_Ledger[[#This Row],[Date]],"yyyy-mm") &amp; TRIM(tbl_Ledger[[#This Row],[Currency]])</f>
        <v>2025-08NGN</v>
      </c>
      <c r="P783" s="25">
        <f>_xlfn.XLOOKUP(tbl_Ledger[[#This Row],[Key]], tbl_FX[Key], tbl_FX[Rate_to_NGN])</f>
        <v>1</v>
      </c>
      <c r="Q783" s="37">
        <f>IF(tbl_Ledger[[#This Row],[Account_Type]]="Expense",-ABS(tbl_Ledger[[#This Row],[Amount]]*tbl_Ledger[[#This Row],[Rate_to_NGN]]),tbl_Ledger[[#This Row],[Amount]]*tbl_Ledger[[#This Row],[Rate_to_NGN]])</f>
        <v>29800</v>
      </c>
      <c r="R783" s="25" t="str">
        <f>_xlfn.XLOOKUP(tbl_Ledger[[#This Row],[Account_Code]], tbl_Accounts[Account_Code], tbl_Accounts[Type])</f>
        <v>Revenue</v>
      </c>
      <c r="S783" s="25" t="str">
        <f>_xlfn.XLOOKUP(tbl_Ledger[[#This Row],[Account_Code]], tbl_Accounts[Account_Code], tbl_Accounts[PL_Bucket])</f>
        <v>Revenue</v>
      </c>
      <c r="T783" s="25">
        <f t="shared" si="12"/>
        <v>29800</v>
      </c>
    </row>
    <row r="784" spans="1:20">
      <c r="A784" t="s">
        <v>2130</v>
      </c>
      <c r="B784" s="7">
        <v>45889</v>
      </c>
      <c r="C784" t="s">
        <v>93</v>
      </c>
      <c r="D784" t="s">
        <v>94</v>
      </c>
      <c r="E784" t="s">
        <v>107</v>
      </c>
      <c r="F784" s="12" t="s">
        <v>24</v>
      </c>
      <c r="G784" t="s">
        <v>25</v>
      </c>
      <c r="H784" t="s">
        <v>2131</v>
      </c>
      <c r="I784" t="s">
        <v>71</v>
      </c>
      <c r="J784" s="6">
        <v>31200</v>
      </c>
      <c r="K784" t="s">
        <v>3</v>
      </c>
      <c r="L784" t="s">
        <v>2132</v>
      </c>
      <c r="M784" t="s">
        <v>3</v>
      </c>
      <c r="N784" s="25" t="str">
        <f>TEXT(tbl_Ledger[[#This Row],[Date]],"yyyy-mm")</f>
        <v>2025-08</v>
      </c>
      <c r="O784" s="25" t="str">
        <f>TEXT(tbl_Ledger[[#This Row],[Date]],"yyyy-mm") &amp; TRIM(tbl_Ledger[[#This Row],[Currency]])</f>
        <v>2025-08NGN</v>
      </c>
      <c r="P784" s="25">
        <f>_xlfn.XLOOKUP(tbl_Ledger[[#This Row],[Key]], tbl_FX[Key], tbl_FX[Rate_to_NGN])</f>
        <v>1</v>
      </c>
      <c r="Q784" s="37">
        <f>IF(tbl_Ledger[[#This Row],[Account_Type]]="Expense",-ABS(tbl_Ledger[[#This Row],[Amount]]*tbl_Ledger[[#This Row],[Rate_to_NGN]]),tbl_Ledger[[#This Row],[Amount]]*tbl_Ledger[[#This Row],[Rate_to_NGN]])</f>
        <v>31200</v>
      </c>
      <c r="R784" s="25" t="str">
        <f>_xlfn.XLOOKUP(tbl_Ledger[[#This Row],[Account_Code]], tbl_Accounts[Account_Code], tbl_Accounts[Type])</f>
        <v>Revenue</v>
      </c>
      <c r="S784" s="25" t="str">
        <f>_xlfn.XLOOKUP(tbl_Ledger[[#This Row],[Account_Code]], tbl_Accounts[Account_Code], tbl_Accounts[PL_Bucket])</f>
        <v>Revenue</v>
      </c>
      <c r="T784" s="25">
        <f t="shared" si="12"/>
        <v>31200</v>
      </c>
    </row>
    <row r="785" spans="1:20">
      <c r="A785" t="s">
        <v>2133</v>
      </c>
      <c r="B785" s="7">
        <v>45889</v>
      </c>
      <c r="C785" t="s">
        <v>93</v>
      </c>
      <c r="D785" t="s">
        <v>111</v>
      </c>
      <c r="E785" t="s">
        <v>112</v>
      </c>
      <c r="F785" s="12" t="s">
        <v>24</v>
      </c>
      <c r="G785" t="s">
        <v>25</v>
      </c>
      <c r="H785" t="s">
        <v>2134</v>
      </c>
      <c r="I785" t="s">
        <v>71</v>
      </c>
      <c r="J785" s="6">
        <v>50800</v>
      </c>
      <c r="K785" t="s">
        <v>3</v>
      </c>
      <c r="L785" t="s">
        <v>2135</v>
      </c>
      <c r="M785" t="s">
        <v>3</v>
      </c>
      <c r="N785" s="25" t="str">
        <f>TEXT(tbl_Ledger[[#This Row],[Date]],"yyyy-mm")</f>
        <v>2025-08</v>
      </c>
      <c r="O785" s="25" t="str">
        <f>TEXT(tbl_Ledger[[#This Row],[Date]],"yyyy-mm") &amp; TRIM(tbl_Ledger[[#This Row],[Currency]])</f>
        <v>2025-08NGN</v>
      </c>
      <c r="P785" s="25">
        <f>_xlfn.XLOOKUP(tbl_Ledger[[#This Row],[Key]], tbl_FX[Key], tbl_FX[Rate_to_NGN])</f>
        <v>1</v>
      </c>
      <c r="Q785" s="37">
        <f>IF(tbl_Ledger[[#This Row],[Account_Type]]="Expense",-ABS(tbl_Ledger[[#This Row],[Amount]]*tbl_Ledger[[#This Row],[Rate_to_NGN]]),tbl_Ledger[[#This Row],[Amount]]*tbl_Ledger[[#This Row],[Rate_to_NGN]])</f>
        <v>50800</v>
      </c>
      <c r="R785" s="25" t="str">
        <f>_xlfn.XLOOKUP(tbl_Ledger[[#This Row],[Account_Code]], tbl_Accounts[Account_Code], tbl_Accounts[Type])</f>
        <v>Revenue</v>
      </c>
      <c r="S785" s="25" t="str">
        <f>_xlfn.XLOOKUP(tbl_Ledger[[#This Row],[Account_Code]], tbl_Accounts[Account_Code], tbl_Accounts[PL_Bucket])</f>
        <v>Revenue</v>
      </c>
      <c r="T785" s="25">
        <f t="shared" si="12"/>
        <v>50800</v>
      </c>
    </row>
    <row r="786" spans="1:20">
      <c r="A786" t="s">
        <v>2136</v>
      </c>
      <c r="B786" s="7">
        <v>45889</v>
      </c>
      <c r="C786" t="s">
        <v>93</v>
      </c>
      <c r="D786" t="s">
        <v>111</v>
      </c>
      <c r="E786" t="s">
        <v>116</v>
      </c>
      <c r="F786" s="12" t="s">
        <v>24</v>
      </c>
      <c r="G786" t="s">
        <v>25</v>
      </c>
      <c r="H786" t="s">
        <v>2137</v>
      </c>
      <c r="I786" t="s">
        <v>71</v>
      </c>
      <c r="J786" s="6">
        <v>49600</v>
      </c>
      <c r="K786" t="s">
        <v>3</v>
      </c>
      <c r="L786" t="s">
        <v>2135</v>
      </c>
      <c r="M786" t="s">
        <v>3</v>
      </c>
      <c r="N786" s="25" t="str">
        <f>TEXT(tbl_Ledger[[#This Row],[Date]],"yyyy-mm")</f>
        <v>2025-08</v>
      </c>
      <c r="O786" s="25" t="str">
        <f>TEXT(tbl_Ledger[[#This Row],[Date]],"yyyy-mm") &amp; TRIM(tbl_Ledger[[#This Row],[Currency]])</f>
        <v>2025-08NGN</v>
      </c>
      <c r="P786" s="25">
        <f>_xlfn.XLOOKUP(tbl_Ledger[[#This Row],[Key]], tbl_FX[Key], tbl_FX[Rate_to_NGN])</f>
        <v>1</v>
      </c>
      <c r="Q786" s="37">
        <f>IF(tbl_Ledger[[#This Row],[Account_Type]]="Expense",-ABS(tbl_Ledger[[#This Row],[Amount]]*tbl_Ledger[[#This Row],[Rate_to_NGN]]),tbl_Ledger[[#This Row],[Amount]]*tbl_Ledger[[#This Row],[Rate_to_NGN]])</f>
        <v>49600</v>
      </c>
      <c r="R786" s="25" t="str">
        <f>_xlfn.XLOOKUP(tbl_Ledger[[#This Row],[Account_Code]], tbl_Accounts[Account_Code], tbl_Accounts[Type])</f>
        <v>Revenue</v>
      </c>
      <c r="S786" s="25" t="str">
        <f>_xlfn.XLOOKUP(tbl_Ledger[[#This Row],[Account_Code]], tbl_Accounts[Account_Code], tbl_Accounts[PL_Bucket])</f>
        <v>Revenue</v>
      </c>
      <c r="T786" s="25">
        <f t="shared" si="12"/>
        <v>49600</v>
      </c>
    </row>
    <row r="787" spans="1:20">
      <c r="A787" t="s">
        <v>2138</v>
      </c>
      <c r="B787" s="7">
        <v>45889</v>
      </c>
      <c r="C787" t="s">
        <v>93</v>
      </c>
      <c r="D787" t="s">
        <v>111</v>
      </c>
      <c r="E787" t="s">
        <v>119</v>
      </c>
      <c r="F787" s="12" t="s">
        <v>24</v>
      </c>
      <c r="G787" t="s">
        <v>25</v>
      </c>
      <c r="H787" t="s">
        <v>2139</v>
      </c>
      <c r="I787" t="s">
        <v>71</v>
      </c>
      <c r="J787" s="6">
        <v>51000</v>
      </c>
      <c r="K787" t="s">
        <v>3</v>
      </c>
      <c r="L787" t="s">
        <v>2135</v>
      </c>
      <c r="M787" t="s">
        <v>3</v>
      </c>
      <c r="N787" s="25" t="str">
        <f>TEXT(tbl_Ledger[[#This Row],[Date]],"yyyy-mm")</f>
        <v>2025-08</v>
      </c>
      <c r="O787" s="25" t="str">
        <f>TEXT(tbl_Ledger[[#This Row],[Date]],"yyyy-mm") &amp; TRIM(tbl_Ledger[[#This Row],[Currency]])</f>
        <v>2025-08NGN</v>
      </c>
      <c r="P787" s="25">
        <f>_xlfn.XLOOKUP(tbl_Ledger[[#This Row],[Key]], tbl_FX[Key], tbl_FX[Rate_to_NGN])</f>
        <v>1</v>
      </c>
      <c r="Q787" s="37">
        <f>IF(tbl_Ledger[[#This Row],[Account_Type]]="Expense",-ABS(tbl_Ledger[[#This Row],[Amount]]*tbl_Ledger[[#This Row],[Rate_to_NGN]]),tbl_Ledger[[#This Row],[Amount]]*tbl_Ledger[[#This Row],[Rate_to_NGN]])</f>
        <v>51000</v>
      </c>
      <c r="R787" s="25" t="str">
        <f>_xlfn.XLOOKUP(tbl_Ledger[[#This Row],[Account_Code]], tbl_Accounts[Account_Code], tbl_Accounts[Type])</f>
        <v>Revenue</v>
      </c>
      <c r="S787" s="25" t="str">
        <f>_xlfn.XLOOKUP(tbl_Ledger[[#This Row],[Account_Code]], tbl_Accounts[Account_Code], tbl_Accounts[PL_Bucket])</f>
        <v>Revenue</v>
      </c>
      <c r="T787" s="25">
        <f t="shared" si="12"/>
        <v>51000</v>
      </c>
    </row>
    <row r="788" spans="1:20">
      <c r="A788" t="s">
        <v>2140</v>
      </c>
      <c r="B788" s="7">
        <v>45889</v>
      </c>
      <c r="C788" t="s">
        <v>93</v>
      </c>
      <c r="D788" t="s">
        <v>111</v>
      </c>
      <c r="E788" t="s">
        <v>170</v>
      </c>
      <c r="F788" s="12" t="s">
        <v>24</v>
      </c>
      <c r="G788" t="s">
        <v>25</v>
      </c>
      <c r="H788" t="s">
        <v>2141</v>
      </c>
      <c r="I788" t="s">
        <v>71</v>
      </c>
      <c r="J788" s="6">
        <v>50100</v>
      </c>
      <c r="K788" t="s">
        <v>3</v>
      </c>
      <c r="L788" t="s">
        <v>2135</v>
      </c>
      <c r="M788" t="s">
        <v>3</v>
      </c>
      <c r="N788" s="25" t="str">
        <f>TEXT(tbl_Ledger[[#This Row],[Date]],"yyyy-mm")</f>
        <v>2025-08</v>
      </c>
      <c r="O788" s="25" t="str">
        <f>TEXT(tbl_Ledger[[#This Row],[Date]],"yyyy-mm") &amp; TRIM(tbl_Ledger[[#This Row],[Currency]])</f>
        <v>2025-08NGN</v>
      </c>
      <c r="P788" s="25">
        <f>_xlfn.XLOOKUP(tbl_Ledger[[#This Row],[Key]], tbl_FX[Key], tbl_FX[Rate_to_NGN])</f>
        <v>1</v>
      </c>
      <c r="Q788" s="37">
        <f>IF(tbl_Ledger[[#This Row],[Account_Type]]="Expense",-ABS(tbl_Ledger[[#This Row],[Amount]]*tbl_Ledger[[#This Row],[Rate_to_NGN]]),tbl_Ledger[[#This Row],[Amount]]*tbl_Ledger[[#This Row],[Rate_to_NGN]])</f>
        <v>50100</v>
      </c>
      <c r="R788" s="25" t="str">
        <f>_xlfn.XLOOKUP(tbl_Ledger[[#This Row],[Account_Code]], tbl_Accounts[Account_Code], tbl_Accounts[Type])</f>
        <v>Revenue</v>
      </c>
      <c r="S788" s="25" t="str">
        <f>_xlfn.XLOOKUP(tbl_Ledger[[#This Row],[Account_Code]], tbl_Accounts[Account_Code], tbl_Accounts[PL_Bucket])</f>
        <v>Revenue</v>
      </c>
      <c r="T788" s="25">
        <f t="shared" si="12"/>
        <v>50100</v>
      </c>
    </row>
    <row r="789" spans="1:20">
      <c r="A789" t="s">
        <v>2142</v>
      </c>
      <c r="B789" s="7">
        <v>45889</v>
      </c>
      <c r="C789" t="s">
        <v>93</v>
      </c>
      <c r="D789" t="s">
        <v>111</v>
      </c>
      <c r="E789" t="s">
        <v>122</v>
      </c>
      <c r="F789" s="12" t="s">
        <v>24</v>
      </c>
      <c r="G789" t="s">
        <v>25</v>
      </c>
      <c r="H789" t="s">
        <v>2143</v>
      </c>
      <c r="I789" t="s">
        <v>71</v>
      </c>
      <c r="J789" s="6">
        <v>52000</v>
      </c>
      <c r="K789" t="s">
        <v>3</v>
      </c>
      <c r="L789" t="s">
        <v>2144</v>
      </c>
      <c r="M789" t="s">
        <v>3</v>
      </c>
      <c r="N789" s="25" t="str">
        <f>TEXT(tbl_Ledger[[#This Row],[Date]],"yyyy-mm")</f>
        <v>2025-08</v>
      </c>
      <c r="O789" s="25" t="str">
        <f>TEXT(tbl_Ledger[[#This Row],[Date]],"yyyy-mm") &amp; TRIM(tbl_Ledger[[#This Row],[Currency]])</f>
        <v>2025-08NGN</v>
      </c>
      <c r="P789" s="25">
        <f>_xlfn.XLOOKUP(tbl_Ledger[[#This Row],[Key]], tbl_FX[Key], tbl_FX[Rate_to_NGN])</f>
        <v>1</v>
      </c>
      <c r="Q789" s="37">
        <f>IF(tbl_Ledger[[#This Row],[Account_Type]]="Expense",-ABS(tbl_Ledger[[#This Row],[Amount]]*tbl_Ledger[[#This Row],[Rate_to_NGN]]),tbl_Ledger[[#This Row],[Amount]]*tbl_Ledger[[#This Row],[Rate_to_NGN]])</f>
        <v>52000</v>
      </c>
      <c r="R789" s="25" t="str">
        <f>_xlfn.XLOOKUP(tbl_Ledger[[#This Row],[Account_Code]], tbl_Accounts[Account_Code], tbl_Accounts[Type])</f>
        <v>Revenue</v>
      </c>
      <c r="S789" s="25" t="str">
        <f>_xlfn.XLOOKUP(tbl_Ledger[[#This Row],[Account_Code]], tbl_Accounts[Account_Code], tbl_Accounts[PL_Bucket])</f>
        <v>Revenue</v>
      </c>
      <c r="T789" s="25">
        <f t="shared" si="12"/>
        <v>52000</v>
      </c>
    </row>
    <row r="790" spans="1:20">
      <c r="A790" t="s">
        <v>2145</v>
      </c>
      <c r="B790" s="7">
        <v>45889</v>
      </c>
      <c r="C790" t="s">
        <v>126</v>
      </c>
      <c r="D790" t="s">
        <v>88</v>
      </c>
      <c r="E790" t="s">
        <v>127</v>
      </c>
      <c r="F790" s="12" t="s">
        <v>29</v>
      </c>
      <c r="G790" t="s">
        <v>30</v>
      </c>
      <c r="H790" t="s">
        <v>2146</v>
      </c>
      <c r="I790" t="s">
        <v>71</v>
      </c>
      <c r="J790" s="6">
        <v>49100</v>
      </c>
      <c r="K790" t="s">
        <v>129</v>
      </c>
      <c r="L790" t="s">
        <v>2147</v>
      </c>
      <c r="M790" t="s">
        <v>3</v>
      </c>
      <c r="N790" s="25" t="str">
        <f>TEXT(tbl_Ledger[[#This Row],[Date]],"yyyy-mm")</f>
        <v>2025-08</v>
      </c>
      <c r="O790" s="25" t="str">
        <f>TEXT(tbl_Ledger[[#This Row],[Date]],"yyyy-mm") &amp; TRIM(tbl_Ledger[[#This Row],[Currency]])</f>
        <v>2025-08NGN</v>
      </c>
      <c r="P790" s="25">
        <f>_xlfn.XLOOKUP(tbl_Ledger[[#This Row],[Key]], tbl_FX[Key], tbl_FX[Rate_to_NGN])</f>
        <v>1</v>
      </c>
      <c r="Q790" s="37">
        <f>IF(tbl_Ledger[[#This Row],[Account_Type]]="Expense",-ABS(tbl_Ledger[[#This Row],[Amount]]*tbl_Ledger[[#This Row],[Rate_to_NGN]]),tbl_Ledger[[#This Row],[Amount]]*tbl_Ledger[[#This Row],[Rate_to_NGN]])</f>
        <v>49100</v>
      </c>
      <c r="R790" s="25" t="str">
        <f>_xlfn.XLOOKUP(tbl_Ledger[[#This Row],[Account_Code]], tbl_Accounts[Account_Code], tbl_Accounts[Type])</f>
        <v>Revenue</v>
      </c>
      <c r="S790" s="25" t="str">
        <f>_xlfn.XLOOKUP(tbl_Ledger[[#This Row],[Account_Code]], tbl_Accounts[Account_Code], tbl_Accounts[PL_Bucket])</f>
        <v>Revenue</v>
      </c>
      <c r="T790" s="25">
        <f t="shared" si="12"/>
        <v>49100</v>
      </c>
    </row>
    <row r="791" spans="1:20">
      <c r="A791" t="s">
        <v>2148</v>
      </c>
      <c r="B791" s="7">
        <v>45889</v>
      </c>
      <c r="C791" t="s">
        <v>126</v>
      </c>
      <c r="D791" t="s">
        <v>88</v>
      </c>
      <c r="E791" t="s">
        <v>132</v>
      </c>
      <c r="F791" s="12" t="s">
        <v>29</v>
      </c>
      <c r="G791" t="s">
        <v>30</v>
      </c>
      <c r="H791" t="s">
        <v>2149</v>
      </c>
      <c r="I791" t="s">
        <v>71</v>
      </c>
      <c r="J791" s="6">
        <v>48400</v>
      </c>
      <c r="K791" t="s">
        <v>134</v>
      </c>
      <c r="L791" t="s">
        <v>2147</v>
      </c>
      <c r="M791" t="s">
        <v>3</v>
      </c>
      <c r="N791" s="25" t="str">
        <f>TEXT(tbl_Ledger[[#This Row],[Date]],"yyyy-mm")</f>
        <v>2025-08</v>
      </c>
      <c r="O791" s="25" t="str">
        <f>TEXT(tbl_Ledger[[#This Row],[Date]],"yyyy-mm") &amp; TRIM(tbl_Ledger[[#This Row],[Currency]])</f>
        <v>2025-08NGN</v>
      </c>
      <c r="P791" s="25">
        <f>_xlfn.XLOOKUP(tbl_Ledger[[#This Row],[Key]], tbl_FX[Key], tbl_FX[Rate_to_NGN])</f>
        <v>1</v>
      </c>
      <c r="Q791" s="37">
        <f>IF(tbl_Ledger[[#This Row],[Account_Type]]="Expense",-ABS(tbl_Ledger[[#This Row],[Amount]]*tbl_Ledger[[#This Row],[Rate_to_NGN]]),tbl_Ledger[[#This Row],[Amount]]*tbl_Ledger[[#This Row],[Rate_to_NGN]])</f>
        <v>48400</v>
      </c>
      <c r="R791" s="25" t="str">
        <f>_xlfn.XLOOKUP(tbl_Ledger[[#This Row],[Account_Code]], tbl_Accounts[Account_Code], tbl_Accounts[Type])</f>
        <v>Revenue</v>
      </c>
      <c r="S791" s="25" t="str">
        <f>_xlfn.XLOOKUP(tbl_Ledger[[#This Row],[Account_Code]], tbl_Accounts[Account_Code], tbl_Accounts[PL_Bucket])</f>
        <v>Revenue</v>
      </c>
      <c r="T791" s="25">
        <f t="shared" si="12"/>
        <v>48400</v>
      </c>
    </row>
    <row r="792" spans="1:20">
      <c r="A792" t="s">
        <v>2150</v>
      </c>
      <c r="B792" s="7">
        <v>45889</v>
      </c>
      <c r="C792" t="s">
        <v>126</v>
      </c>
      <c r="D792" t="s">
        <v>88</v>
      </c>
      <c r="E792" t="s">
        <v>140</v>
      </c>
      <c r="F792" s="12" t="s">
        <v>29</v>
      </c>
      <c r="G792" t="s">
        <v>30</v>
      </c>
      <c r="H792" t="s">
        <v>2151</v>
      </c>
      <c r="I792" t="s">
        <v>71</v>
      </c>
      <c r="J792" s="6">
        <v>45500</v>
      </c>
      <c r="K792" t="s">
        <v>3</v>
      </c>
      <c r="L792" t="s">
        <v>2152</v>
      </c>
      <c r="M792" t="s">
        <v>3</v>
      </c>
      <c r="N792" s="25" t="str">
        <f>TEXT(tbl_Ledger[[#This Row],[Date]],"yyyy-mm")</f>
        <v>2025-08</v>
      </c>
      <c r="O792" s="25" t="str">
        <f>TEXT(tbl_Ledger[[#This Row],[Date]],"yyyy-mm") &amp; TRIM(tbl_Ledger[[#This Row],[Currency]])</f>
        <v>2025-08NGN</v>
      </c>
      <c r="P792" s="25">
        <f>_xlfn.XLOOKUP(tbl_Ledger[[#This Row],[Key]], tbl_FX[Key], tbl_FX[Rate_to_NGN])</f>
        <v>1</v>
      </c>
      <c r="Q792" s="37">
        <f>IF(tbl_Ledger[[#This Row],[Account_Type]]="Expense",-ABS(tbl_Ledger[[#This Row],[Amount]]*tbl_Ledger[[#This Row],[Rate_to_NGN]]),tbl_Ledger[[#This Row],[Amount]]*tbl_Ledger[[#This Row],[Rate_to_NGN]])</f>
        <v>45500</v>
      </c>
      <c r="R792" s="25" t="str">
        <f>_xlfn.XLOOKUP(tbl_Ledger[[#This Row],[Account_Code]], tbl_Accounts[Account_Code], tbl_Accounts[Type])</f>
        <v>Revenue</v>
      </c>
      <c r="S792" s="25" t="str">
        <f>_xlfn.XLOOKUP(tbl_Ledger[[#This Row],[Account_Code]], tbl_Accounts[Account_Code], tbl_Accounts[PL_Bucket])</f>
        <v>Revenue</v>
      </c>
      <c r="T792" s="25">
        <f t="shared" si="12"/>
        <v>45500</v>
      </c>
    </row>
    <row r="793" spans="1:20">
      <c r="A793" t="s">
        <v>2153</v>
      </c>
      <c r="B793" s="7">
        <v>45889</v>
      </c>
      <c r="C793" t="s">
        <v>93</v>
      </c>
      <c r="D793" t="s">
        <v>111</v>
      </c>
      <c r="E793" t="s">
        <v>112</v>
      </c>
      <c r="F793" s="12" t="s">
        <v>31</v>
      </c>
      <c r="G793" t="s">
        <v>32</v>
      </c>
      <c r="H793" t="s">
        <v>2154</v>
      </c>
      <c r="I793" t="s">
        <v>71</v>
      </c>
      <c r="J793" s="6">
        <v>-34607</v>
      </c>
      <c r="K793" t="s">
        <v>3</v>
      </c>
      <c r="L793" t="s">
        <v>2155</v>
      </c>
      <c r="M793" t="s">
        <v>3</v>
      </c>
      <c r="N793" s="25" t="str">
        <f>TEXT(tbl_Ledger[[#This Row],[Date]],"yyyy-mm")</f>
        <v>2025-08</v>
      </c>
      <c r="O793" s="25" t="str">
        <f>TEXT(tbl_Ledger[[#This Row],[Date]],"yyyy-mm") &amp; TRIM(tbl_Ledger[[#This Row],[Currency]])</f>
        <v>2025-08NGN</v>
      </c>
      <c r="P793" s="25">
        <f>_xlfn.XLOOKUP(tbl_Ledger[[#This Row],[Key]], tbl_FX[Key], tbl_FX[Rate_to_NGN])</f>
        <v>1</v>
      </c>
      <c r="Q793" s="37">
        <f>IF(tbl_Ledger[[#This Row],[Account_Type]]="Expense",-ABS(tbl_Ledger[[#This Row],[Amount]]*tbl_Ledger[[#This Row],[Rate_to_NGN]]),tbl_Ledger[[#This Row],[Amount]]*tbl_Ledger[[#This Row],[Rate_to_NGN]])</f>
        <v>-34607</v>
      </c>
      <c r="R793" s="25" t="str">
        <f>_xlfn.XLOOKUP(tbl_Ledger[[#This Row],[Account_Code]], tbl_Accounts[Account_Code], tbl_Accounts[Type])</f>
        <v>Revenue</v>
      </c>
      <c r="S793" s="25" t="str">
        <f>_xlfn.XLOOKUP(tbl_Ledger[[#This Row],[Account_Code]], tbl_Accounts[Account_Code], tbl_Accounts[PL_Bucket])</f>
        <v>Revenue</v>
      </c>
      <c r="T793" s="25">
        <f t="shared" si="12"/>
        <v>34607</v>
      </c>
    </row>
    <row r="794" spans="1:20">
      <c r="A794" t="s">
        <v>2156</v>
      </c>
      <c r="B794" s="7">
        <v>45889</v>
      </c>
      <c r="C794" t="s">
        <v>87</v>
      </c>
      <c r="D794" t="s">
        <v>94</v>
      </c>
      <c r="E794" t="s">
        <v>3</v>
      </c>
      <c r="F794" s="12" t="s">
        <v>44</v>
      </c>
      <c r="G794" t="s">
        <v>45</v>
      </c>
      <c r="H794" t="s">
        <v>2157</v>
      </c>
      <c r="I794" t="s">
        <v>71</v>
      </c>
      <c r="J794" s="6">
        <v>-245000</v>
      </c>
      <c r="K794" t="s">
        <v>668</v>
      </c>
      <c r="L794" t="s">
        <v>2158</v>
      </c>
      <c r="M794" t="s">
        <v>3</v>
      </c>
      <c r="N794" s="25" t="str">
        <f>TEXT(tbl_Ledger[[#This Row],[Date]],"yyyy-mm")</f>
        <v>2025-08</v>
      </c>
      <c r="O794" s="25" t="str">
        <f>TEXT(tbl_Ledger[[#This Row],[Date]],"yyyy-mm") &amp; TRIM(tbl_Ledger[[#This Row],[Currency]])</f>
        <v>2025-08NGN</v>
      </c>
      <c r="P794" s="25">
        <f>_xlfn.XLOOKUP(tbl_Ledger[[#This Row],[Key]], tbl_FX[Key], tbl_FX[Rate_to_NGN])</f>
        <v>1</v>
      </c>
      <c r="Q794" s="37">
        <f>IF(tbl_Ledger[[#This Row],[Account_Type]]="Expense",-ABS(tbl_Ledger[[#This Row],[Amount]]*tbl_Ledger[[#This Row],[Rate_to_NGN]]),tbl_Ledger[[#This Row],[Amount]]*tbl_Ledger[[#This Row],[Rate_to_NGN]])</f>
        <v>-245000</v>
      </c>
      <c r="R794" s="25" t="str">
        <f>_xlfn.XLOOKUP(tbl_Ledger[[#This Row],[Account_Code]], tbl_Accounts[Account_Code], tbl_Accounts[Type])</f>
        <v>COGS</v>
      </c>
      <c r="S794" s="25" t="str">
        <f>_xlfn.XLOOKUP(tbl_Ledger[[#This Row],[Account_Code]], tbl_Accounts[Account_Code], tbl_Accounts[PL_Bucket])</f>
        <v>COGS</v>
      </c>
      <c r="T794" s="25">
        <f t="shared" si="12"/>
        <v>-245000</v>
      </c>
    </row>
    <row r="795" spans="1:20">
      <c r="A795" t="s">
        <v>2159</v>
      </c>
      <c r="B795" s="7">
        <v>45890</v>
      </c>
      <c r="C795" t="s">
        <v>93</v>
      </c>
      <c r="D795" t="s">
        <v>94</v>
      </c>
      <c r="E795" t="s">
        <v>95</v>
      </c>
      <c r="F795" s="12" t="s">
        <v>24</v>
      </c>
      <c r="G795" t="s">
        <v>25</v>
      </c>
      <c r="H795" t="s">
        <v>2160</v>
      </c>
      <c r="I795" t="s">
        <v>71</v>
      </c>
      <c r="J795" s="6">
        <v>32700</v>
      </c>
      <c r="K795" t="s">
        <v>3</v>
      </c>
      <c r="L795" t="s">
        <v>2161</v>
      </c>
      <c r="M795" t="s">
        <v>3</v>
      </c>
      <c r="N795" s="25" t="str">
        <f>TEXT(tbl_Ledger[[#This Row],[Date]],"yyyy-mm")</f>
        <v>2025-08</v>
      </c>
      <c r="O795" s="25" t="str">
        <f>TEXT(tbl_Ledger[[#This Row],[Date]],"yyyy-mm") &amp; TRIM(tbl_Ledger[[#This Row],[Currency]])</f>
        <v>2025-08NGN</v>
      </c>
      <c r="P795" s="25">
        <f>_xlfn.XLOOKUP(tbl_Ledger[[#This Row],[Key]], tbl_FX[Key], tbl_FX[Rate_to_NGN])</f>
        <v>1</v>
      </c>
      <c r="Q795" s="37">
        <f>IF(tbl_Ledger[[#This Row],[Account_Type]]="Expense",-ABS(tbl_Ledger[[#This Row],[Amount]]*tbl_Ledger[[#This Row],[Rate_to_NGN]]),tbl_Ledger[[#This Row],[Amount]]*tbl_Ledger[[#This Row],[Rate_to_NGN]])</f>
        <v>32700</v>
      </c>
      <c r="R795" s="25" t="str">
        <f>_xlfn.XLOOKUP(tbl_Ledger[[#This Row],[Account_Code]], tbl_Accounts[Account_Code], tbl_Accounts[Type])</f>
        <v>Revenue</v>
      </c>
      <c r="S795" s="25" t="str">
        <f>_xlfn.XLOOKUP(tbl_Ledger[[#This Row],[Account_Code]], tbl_Accounts[Account_Code], tbl_Accounts[PL_Bucket])</f>
        <v>Revenue</v>
      </c>
      <c r="T795" s="25">
        <f t="shared" si="12"/>
        <v>32700</v>
      </c>
    </row>
    <row r="796" spans="1:20">
      <c r="A796" t="s">
        <v>2162</v>
      </c>
      <c r="B796" s="7">
        <v>45890</v>
      </c>
      <c r="C796" t="s">
        <v>93</v>
      </c>
      <c r="D796" t="s">
        <v>94</v>
      </c>
      <c r="E796" t="s">
        <v>99</v>
      </c>
      <c r="F796" s="12" t="s">
        <v>24</v>
      </c>
      <c r="G796" t="s">
        <v>25</v>
      </c>
      <c r="H796" t="s">
        <v>2163</v>
      </c>
      <c r="I796" t="s">
        <v>71</v>
      </c>
      <c r="J796" s="6">
        <v>31400</v>
      </c>
      <c r="K796" t="s">
        <v>3</v>
      </c>
      <c r="L796" t="s">
        <v>2164</v>
      </c>
      <c r="M796" t="s">
        <v>3</v>
      </c>
      <c r="N796" s="25" t="str">
        <f>TEXT(tbl_Ledger[[#This Row],[Date]],"yyyy-mm")</f>
        <v>2025-08</v>
      </c>
      <c r="O796" s="25" t="str">
        <f>TEXT(tbl_Ledger[[#This Row],[Date]],"yyyy-mm") &amp; TRIM(tbl_Ledger[[#This Row],[Currency]])</f>
        <v>2025-08NGN</v>
      </c>
      <c r="P796" s="25">
        <f>_xlfn.XLOOKUP(tbl_Ledger[[#This Row],[Key]], tbl_FX[Key], tbl_FX[Rate_to_NGN])</f>
        <v>1</v>
      </c>
      <c r="Q796" s="37">
        <f>IF(tbl_Ledger[[#This Row],[Account_Type]]="Expense",-ABS(tbl_Ledger[[#This Row],[Amount]]*tbl_Ledger[[#This Row],[Rate_to_NGN]]),tbl_Ledger[[#This Row],[Amount]]*tbl_Ledger[[#This Row],[Rate_to_NGN]])</f>
        <v>31400</v>
      </c>
      <c r="R796" s="25" t="str">
        <f>_xlfn.XLOOKUP(tbl_Ledger[[#This Row],[Account_Code]], tbl_Accounts[Account_Code], tbl_Accounts[Type])</f>
        <v>Revenue</v>
      </c>
      <c r="S796" s="25" t="str">
        <f>_xlfn.XLOOKUP(tbl_Ledger[[#This Row],[Account_Code]], tbl_Accounts[Account_Code], tbl_Accounts[PL_Bucket])</f>
        <v>Revenue</v>
      </c>
      <c r="T796" s="25">
        <f t="shared" si="12"/>
        <v>31400</v>
      </c>
    </row>
    <row r="797" spans="1:20">
      <c r="A797" t="s">
        <v>2165</v>
      </c>
      <c r="B797" s="7">
        <v>45890</v>
      </c>
      <c r="C797" t="s">
        <v>93</v>
      </c>
      <c r="D797" t="s">
        <v>94</v>
      </c>
      <c r="E797" t="s">
        <v>103</v>
      </c>
      <c r="F797" s="12" t="s">
        <v>24</v>
      </c>
      <c r="G797" t="s">
        <v>25</v>
      </c>
      <c r="H797" t="s">
        <v>2166</v>
      </c>
      <c r="I797" t="s">
        <v>71</v>
      </c>
      <c r="J797" s="6">
        <v>32700</v>
      </c>
      <c r="K797" t="s">
        <v>3</v>
      </c>
      <c r="L797" t="s">
        <v>2167</v>
      </c>
      <c r="M797" t="s">
        <v>3</v>
      </c>
      <c r="N797" s="25" t="str">
        <f>TEXT(tbl_Ledger[[#This Row],[Date]],"yyyy-mm")</f>
        <v>2025-08</v>
      </c>
      <c r="O797" s="25" t="str">
        <f>TEXT(tbl_Ledger[[#This Row],[Date]],"yyyy-mm") &amp; TRIM(tbl_Ledger[[#This Row],[Currency]])</f>
        <v>2025-08NGN</v>
      </c>
      <c r="P797" s="25">
        <f>_xlfn.XLOOKUP(tbl_Ledger[[#This Row],[Key]], tbl_FX[Key], tbl_FX[Rate_to_NGN])</f>
        <v>1</v>
      </c>
      <c r="Q797" s="37">
        <f>IF(tbl_Ledger[[#This Row],[Account_Type]]="Expense",-ABS(tbl_Ledger[[#This Row],[Amount]]*tbl_Ledger[[#This Row],[Rate_to_NGN]]),tbl_Ledger[[#This Row],[Amount]]*tbl_Ledger[[#This Row],[Rate_to_NGN]])</f>
        <v>32700</v>
      </c>
      <c r="R797" s="25" t="str">
        <f>_xlfn.XLOOKUP(tbl_Ledger[[#This Row],[Account_Code]], tbl_Accounts[Account_Code], tbl_Accounts[Type])</f>
        <v>Revenue</v>
      </c>
      <c r="S797" s="25" t="str">
        <f>_xlfn.XLOOKUP(tbl_Ledger[[#This Row],[Account_Code]], tbl_Accounts[Account_Code], tbl_Accounts[PL_Bucket])</f>
        <v>Revenue</v>
      </c>
      <c r="T797" s="25">
        <f t="shared" si="12"/>
        <v>32700</v>
      </c>
    </row>
    <row r="798" spans="1:20">
      <c r="A798" t="s">
        <v>2168</v>
      </c>
      <c r="B798" s="7">
        <v>45890</v>
      </c>
      <c r="C798" t="s">
        <v>93</v>
      </c>
      <c r="D798" t="s">
        <v>94</v>
      </c>
      <c r="E798" t="s">
        <v>160</v>
      </c>
      <c r="F798" s="12" t="s">
        <v>24</v>
      </c>
      <c r="G798" t="s">
        <v>25</v>
      </c>
      <c r="H798" t="s">
        <v>2169</v>
      </c>
      <c r="I798" t="s">
        <v>71</v>
      </c>
      <c r="J798" s="6">
        <v>30000</v>
      </c>
      <c r="K798" t="s">
        <v>3</v>
      </c>
      <c r="L798" t="s">
        <v>2167</v>
      </c>
      <c r="M798" t="s">
        <v>3</v>
      </c>
      <c r="N798" s="25" t="str">
        <f>TEXT(tbl_Ledger[[#This Row],[Date]],"yyyy-mm")</f>
        <v>2025-08</v>
      </c>
      <c r="O798" s="25" t="str">
        <f>TEXT(tbl_Ledger[[#This Row],[Date]],"yyyy-mm") &amp; TRIM(tbl_Ledger[[#This Row],[Currency]])</f>
        <v>2025-08NGN</v>
      </c>
      <c r="P798" s="25">
        <f>_xlfn.XLOOKUP(tbl_Ledger[[#This Row],[Key]], tbl_FX[Key], tbl_FX[Rate_to_NGN])</f>
        <v>1</v>
      </c>
      <c r="Q798" s="37">
        <f>IF(tbl_Ledger[[#This Row],[Account_Type]]="Expense",-ABS(tbl_Ledger[[#This Row],[Amount]]*tbl_Ledger[[#This Row],[Rate_to_NGN]]),tbl_Ledger[[#This Row],[Amount]]*tbl_Ledger[[#This Row],[Rate_to_NGN]])</f>
        <v>30000</v>
      </c>
      <c r="R798" s="25" t="str">
        <f>_xlfn.XLOOKUP(tbl_Ledger[[#This Row],[Account_Code]], tbl_Accounts[Account_Code], tbl_Accounts[Type])</f>
        <v>Revenue</v>
      </c>
      <c r="S798" s="25" t="str">
        <f>_xlfn.XLOOKUP(tbl_Ledger[[#This Row],[Account_Code]], tbl_Accounts[Account_Code], tbl_Accounts[PL_Bucket])</f>
        <v>Revenue</v>
      </c>
      <c r="T798" s="25">
        <f t="shared" si="12"/>
        <v>30000</v>
      </c>
    </row>
    <row r="799" spans="1:20">
      <c r="A799" t="s">
        <v>2170</v>
      </c>
      <c r="B799" s="7">
        <v>45890</v>
      </c>
      <c r="C799" t="s">
        <v>93</v>
      </c>
      <c r="D799" t="s">
        <v>94</v>
      </c>
      <c r="E799" t="s">
        <v>107</v>
      </c>
      <c r="F799" s="12" t="s">
        <v>24</v>
      </c>
      <c r="G799" t="s">
        <v>25</v>
      </c>
      <c r="H799" t="s">
        <v>2171</v>
      </c>
      <c r="I799" t="s">
        <v>71</v>
      </c>
      <c r="J799" s="6">
        <v>30100</v>
      </c>
      <c r="K799" t="s">
        <v>3</v>
      </c>
      <c r="L799" t="s">
        <v>2172</v>
      </c>
      <c r="M799" t="s">
        <v>3</v>
      </c>
      <c r="N799" s="25" t="str">
        <f>TEXT(tbl_Ledger[[#This Row],[Date]],"yyyy-mm")</f>
        <v>2025-08</v>
      </c>
      <c r="O799" s="25" t="str">
        <f>TEXT(tbl_Ledger[[#This Row],[Date]],"yyyy-mm") &amp; TRIM(tbl_Ledger[[#This Row],[Currency]])</f>
        <v>2025-08NGN</v>
      </c>
      <c r="P799" s="25">
        <f>_xlfn.XLOOKUP(tbl_Ledger[[#This Row],[Key]], tbl_FX[Key], tbl_FX[Rate_to_NGN])</f>
        <v>1</v>
      </c>
      <c r="Q799" s="37">
        <f>IF(tbl_Ledger[[#This Row],[Account_Type]]="Expense",-ABS(tbl_Ledger[[#This Row],[Amount]]*tbl_Ledger[[#This Row],[Rate_to_NGN]]),tbl_Ledger[[#This Row],[Amount]]*tbl_Ledger[[#This Row],[Rate_to_NGN]])</f>
        <v>30100</v>
      </c>
      <c r="R799" s="25" t="str">
        <f>_xlfn.XLOOKUP(tbl_Ledger[[#This Row],[Account_Code]], tbl_Accounts[Account_Code], tbl_Accounts[Type])</f>
        <v>Revenue</v>
      </c>
      <c r="S799" s="25" t="str">
        <f>_xlfn.XLOOKUP(tbl_Ledger[[#This Row],[Account_Code]], tbl_Accounts[Account_Code], tbl_Accounts[PL_Bucket])</f>
        <v>Revenue</v>
      </c>
      <c r="T799" s="25">
        <f t="shared" si="12"/>
        <v>30100</v>
      </c>
    </row>
    <row r="800" spans="1:20">
      <c r="A800" t="s">
        <v>2173</v>
      </c>
      <c r="B800" s="7">
        <v>45890</v>
      </c>
      <c r="C800" t="s">
        <v>93</v>
      </c>
      <c r="D800" t="s">
        <v>111</v>
      </c>
      <c r="E800" t="s">
        <v>112</v>
      </c>
      <c r="F800" s="12" t="s">
        <v>24</v>
      </c>
      <c r="G800" t="s">
        <v>25</v>
      </c>
      <c r="H800" t="s">
        <v>2174</v>
      </c>
      <c r="I800" t="s">
        <v>71</v>
      </c>
      <c r="J800" s="6">
        <v>49700</v>
      </c>
      <c r="K800" t="s">
        <v>3</v>
      </c>
      <c r="L800" t="s">
        <v>2175</v>
      </c>
      <c r="M800" t="s">
        <v>3</v>
      </c>
      <c r="N800" s="25" t="str">
        <f>TEXT(tbl_Ledger[[#This Row],[Date]],"yyyy-mm")</f>
        <v>2025-08</v>
      </c>
      <c r="O800" s="25" t="str">
        <f>TEXT(tbl_Ledger[[#This Row],[Date]],"yyyy-mm") &amp; TRIM(tbl_Ledger[[#This Row],[Currency]])</f>
        <v>2025-08NGN</v>
      </c>
      <c r="P800" s="25">
        <f>_xlfn.XLOOKUP(tbl_Ledger[[#This Row],[Key]], tbl_FX[Key], tbl_FX[Rate_to_NGN])</f>
        <v>1</v>
      </c>
      <c r="Q800" s="37">
        <f>IF(tbl_Ledger[[#This Row],[Account_Type]]="Expense",-ABS(tbl_Ledger[[#This Row],[Amount]]*tbl_Ledger[[#This Row],[Rate_to_NGN]]),tbl_Ledger[[#This Row],[Amount]]*tbl_Ledger[[#This Row],[Rate_to_NGN]])</f>
        <v>49700</v>
      </c>
      <c r="R800" s="25" t="str">
        <f>_xlfn.XLOOKUP(tbl_Ledger[[#This Row],[Account_Code]], tbl_Accounts[Account_Code], tbl_Accounts[Type])</f>
        <v>Revenue</v>
      </c>
      <c r="S800" s="25" t="str">
        <f>_xlfn.XLOOKUP(tbl_Ledger[[#This Row],[Account_Code]], tbl_Accounts[Account_Code], tbl_Accounts[PL_Bucket])</f>
        <v>Revenue</v>
      </c>
      <c r="T800" s="25">
        <f t="shared" si="12"/>
        <v>49700</v>
      </c>
    </row>
    <row r="801" spans="1:20">
      <c r="A801" t="s">
        <v>2176</v>
      </c>
      <c r="B801" s="7">
        <v>45890</v>
      </c>
      <c r="C801" t="s">
        <v>93</v>
      </c>
      <c r="D801" t="s">
        <v>111</v>
      </c>
      <c r="E801" t="s">
        <v>116</v>
      </c>
      <c r="F801" s="12" t="s">
        <v>24</v>
      </c>
      <c r="G801" t="s">
        <v>25</v>
      </c>
      <c r="H801" t="s">
        <v>2177</v>
      </c>
      <c r="I801" t="s">
        <v>71</v>
      </c>
      <c r="J801" s="6">
        <v>49200</v>
      </c>
      <c r="K801" t="s">
        <v>3</v>
      </c>
      <c r="L801" t="s">
        <v>2175</v>
      </c>
      <c r="M801" t="s">
        <v>3</v>
      </c>
      <c r="N801" s="25" t="str">
        <f>TEXT(tbl_Ledger[[#This Row],[Date]],"yyyy-mm")</f>
        <v>2025-08</v>
      </c>
      <c r="O801" s="25" t="str">
        <f>TEXT(tbl_Ledger[[#This Row],[Date]],"yyyy-mm") &amp; TRIM(tbl_Ledger[[#This Row],[Currency]])</f>
        <v>2025-08NGN</v>
      </c>
      <c r="P801" s="25">
        <f>_xlfn.XLOOKUP(tbl_Ledger[[#This Row],[Key]], tbl_FX[Key], tbl_FX[Rate_to_NGN])</f>
        <v>1</v>
      </c>
      <c r="Q801" s="37">
        <f>IF(tbl_Ledger[[#This Row],[Account_Type]]="Expense",-ABS(tbl_Ledger[[#This Row],[Amount]]*tbl_Ledger[[#This Row],[Rate_to_NGN]]),tbl_Ledger[[#This Row],[Amount]]*tbl_Ledger[[#This Row],[Rate_to_NGN]])</f>
        <v>49200</v>
      </c>
      <c r="R801" s="25" t="str">
        <f>_xlfn.XLOOKUP(tbl_Ledger[[#This Row],[Account_Code]], tbl_Accounts[Account_Code], tbl_Accounts[Type])</f>
        <v>Revenue</v>
      </c>
      <c r="S801" s="25" t="str">
        <f>_xlfn.XLOOKUP(tbl_Ledger[[#This Row],[Account_Code]], tbl_Accounts[Account_Code], tbl_Accounts[PL_Bucket])</f>
        <v>Revenue</v>
      </c>
      <c r="T801" s="25">
        <f t="shared" si="12"/>
        <v>49200</v>
      </c>
    </row>
    <row r="802" spans="1:20">
      <c r="A802" t="s">
        <v>2178</v>
      </c>
      <c r="B802" s="7">
        <v>45890</v>
      </c>
      <c r="C802" t="s">
        <v>93</v>
      </c>
      <c r="D802" t="s">
        <v>111</v>
      </c>
      <c r="E802" t="s">
        <v>119</v>
      </c>
      <c r="F802" s="12" t="s">
        <v>24</v>
      </c>
      <c r="G802" t="s">
        <v>25</v>
      </c>
      <c r="H802" t="s">
        <v>2179</v>
      </c>
      <c r="I802" t="s">
        <v>71</v>
      </c>
      <c r="J802" s="6">
        <v>49300</v>
      </c>
      <c r="K802" t="s">
        <v>3</v>
      </c>
      <c r="L802" t="s">
        <v>2175</v>
      </c>
      <c r="M802" t="s">
        <v>3</v>
      </c>
      <c r="N802" s="25" t="str">
        <f>TEXT(tbl_Ledger[[#This Row],[Date]],"yyyy-mm")</f>
        <v>2025-08</v>
      </c>
      <c r="O802" s="25" t="str">
        <f>TEXT(tbl_Ledger[[#This Row],[Date]],"yyyy-mm") &amp; TRIM(tbl_Ledger[[#This Row],[Currency]])</f>
        <v>2025-08NGN</v>
      </c>
      <c r="P802" s="25">
        <f>_xlfn.XLOOKUP(tbl_Ledger[[#This Row],[Key]], tbl_FX[Key], tbl_FX[Rate_to_NGN])</f>
        <v>1</v>
      </c>
      <c r="Q802" s="37">
        <f>IF(tbl_Ledger[[#This Row],[Account_Type]]="Expense",-ABS(tbl_Ledger[[#This Row],[Amount]]*tbl_Ledger[[#This Row],[Rate_to_NGN]]),tbl_Ledger[[#This Row],[Amount]]*tbl_Ledger[[#This Row],[Rate_to_NGN]])</f>
        <v>49300</v>
      </c>
      <c r="R802" s="25" t="str">
        <f>_xlfn.XLOOKUP(tbl_Ledger[[#This Row],[Account_Code]], tbl_Accounts[Account_Code], tbl_Accounts[Type])</f>
        <v>Revenue</v>
      </c>
      <c r="S802" s="25" t="str">
        <f>_xlfn.XLOOKUP(tbl_Ledger[[#This Row],[Account_Code]], tbl_Accounts[Account_Code], tbl_Accounts[PL_Bucket])</f>
        <v>Revenue</v>
      </c>
      <c r="T802" s="25">
        <f t="shared" si="12"/>
        <v>49300</v>
      </c>
    </row>
    <row r="803" spans="1:20">
      <c r="A803" t="s">
        <v>2180</v>
      </c>
      <c r="B803" s="7">
        <v>45890</v>
      </c>
      <c r="C803" t="s">
        <v>93</v>
      </c>
      <c r="D803" t="s">
        <v>111</v>
      </c>
      <c r="E803" t="s">
        <v>170</v>
      </c>
      <c r="F803" s="12" t="s">
        <v>24</v>
      </c>
      <c r="G803" t="s">
        <v>25</v>
      </c>
      <c r="H803" t="s">
        <v>2181</v>
      </c>
      <c r="I803" t="s">
        <v>71</v>
      </c>
      <c r="J803" s="6">
        <v>48900</v>
      </c>
      <c r="K803" t="s">
        <v>3</v>
      </c>
      <c r="L803" t="s">
        <v>2175</v>
      </c>
      <c r="M803" t="s">
        <v>3</v>
      </c>
      <c r="N803" s="25" t="str">
        <f>TEXT(tbl_Ledger[[#This Row],[Date]],"yyyy-mm")</f>
        <v>2025-08</v>
      </c>
      <c r="O803" s="25" t="str">
        <f>TEXT(tbl_Ledger[[#This Row],[Date]],"yyyy-mm") &amp; TRIM(tbl_Ledger[[#This Row],[Currency]])</f>
        <v>2025-08NGN</v>
      </c>
      <c r="P803" s="25">
        <f>_xlfn.XLOOKUP(tbl_Ledger[[#This Row],[Key]], tbl_FX[Key], tbl_FX[Rate_to_NGN])</f>
        <v>1</v>
      </c>
      <c r="Q803" s="37">
        <f>IF(tbl_Ledger[[#This Row],[Account_Type]]="Expense",-ABS(tbl_Ledger[[#This Row],[Amount]]*tbl_Ledger[[#This Row],[Rate_to_NGN]]),tbl_Ledger[[#This Row],[Amount]]*tbl_Ledger[[#This Row],[Rate_to_NGN]])</f>
        <v>48900</v>
      </c>
      <c r="R803" s="25" t="str">
        <f>_xlfn.XLOOKUP(tbl_Ledger[[#This Row],[Account_Code]], tbl_Accounts[Account_Code], tbl_Accounts[Type])</f>
        <v>Revenue</v>
      </c>
      <c r="S803" s="25" t="str">
        <f>_xlfn.XLOOKUP(tbl_Ledger[[#This Row],[Account_Code]], tbl_Accounts[Account_Code], tbl_Accounts[PL_Bucket])</f>
        <v>Revenue</v>
      </c>
      <c r="T803" s="25">
        <f t="shared" si="12"/>
        <v>48900</v>
      </c>
    </row>
    <row r="804" spans="1:20">
      <c r="A804" t="s">
        <v>2182</v>
      </c>
      <c r="B804" s="7">
        <v>45890</v>
      </c>
      <c r="C804" t="s">
        <v>93</v>
      </c>
      <c r="D804" t="s">
        <v>111</v>
      </c>
      <c r="E804" t="s">
        <v>122</v>
      </c>
      <c r="F804" s="12" t="s">
        <v>24</v>
      </c>
      <c r="G804" t="s">
        <v>25</v>
      </c>
      <c r="H804" t="s">
        <v>2183</v>
      </c>
      <c r="I804" t="s">
        <v>71</v>
      </c>
      <c r="J804" s="6">
        <v>49100</v>
      </c>
      <c r="K804" t="s">
        <v>3</v>
      </c>
      <c r="L804" t="s">
        <v>2184</v>
      </c>
      <c r="M804" t="s">
        <v>3</v>
      </c>
      <c r="N804" s="25" t="str">
        <f>TEXT(tbl_Ledger[[#This Row],[Date]],"yyyy-mm")</f>
        <v>2025-08</v>
      </c>
      <c r="O804" s="25" t="str">
        <f>TEXT(tbl_Ledger[[#This Row],[Date]],"yyyy-mm") &amp; TRIM(tbl_Ledger[[#This Row],[Currency]])</f>
        <v>2025-08NGN</v>
      </c>
      <c r="P804" s="25">
        <f>_xlfn.XLOOKUP(tbl_Ledger[[#This Row],[Key]], tbl_FX[Key], tbl_FX[Rate_to_NGN])</f>
        <v>1</v>
      </c>
      <c r="Q804" s="37">
        <f>IF(tbl_Ledger[[#This Row],[Account_Type]]="Expense",-ABS(tbl_Ledger[[#This Row],[Amount]]*tbl_Ledger[[#This Row],[Rate_to_NGN]]),tbl_Ledger[[#This Row],[Amount]]*tbl_Ledger[[#This Row],[Rate_to_NGN]])</f>
        <v>49100</v>
      </c>
      <c r="R804" s="25" t="str">
        <f>_xlfn.XLOOKUP(tbl_Ledger[[#This Row],[Account_Code]], tbl_Accounts[Account_Code], tbl_Accounts[Type])</f>
        <v>Revenue</v>
      </c>
      <c r="S804" s="25" t="str">
        <f>_xlfn.XLOOKUP(tbl_Ledger[[#This Row],[Account_Code]], tbl_Accounts[Account_Code], tbl_Accounts[PL_Bucket])</f>
        <v>Revenue</v>
      </c>
      <c r="T804" s="25">
        <f t="shared" si="12"/>
        <v>49100</v>
      </c>
    </row>
    <row r="805" spans="1:20">
      <c r="A805" t="s">
        <v>2185</v>
      </c>
      <c r="B805" s="7">
        <v>45890</v>
      </c>
      <c r="C805" t="s">
        <v>126</v>
      </c>
      <c r="D805" t="s">
        <v>88</v>
      </c>
      <c r="E805" t="s">
        <v>127</v>
      </c>
      <c r="F805" s="12" t="s">
        <v>29</v>
      </c>
      <c r="G805" t="s">
        <v>30</v>
      </c>
      <c r="H805" t="s">
        <v>2186</v>
      </c>
      <c r="I805" t="s">
        <v>72</v>
      </c>
      <c r="J805" s="6">
        <v>31.17</v>
      </c>
      <c r="K805" t="s">
        <v>129</v>
      </c>
      <c r="L805" t="s">
        <v>2187</v>
      </c>
      <c r="M805" t="s">
        <v>3</v>
      </c>
      <c r="N805" s="25" t="str">
        <f>TEXT(tbl_Ledger[[#This Row],[Date]],"yyyy-mm")</f>
        <v>2025-08</v>
      </c>
      <c r="O805" s="25" t="str">
        <f>TEXT(tbl_Ledger[[#This Row],[Date]],"yyyy-mm") &amp; TRIM(tbl_Ledger[[#This Row],[Currency]])</f>
        <v>2025-08USD</v>
      </c>
      <c r="P805" s="25">
        <f>_xlfn.XLOOKUP(tbl_Ledger[[#This Row],[Key]], tbl_FX[Key], tbl_FX[Rate_to_NGN])</f>
        <v>1572</v>
      </c>
      <c r="Q805" s="37">
        <f>IF(tbl_Ledger[[#This Row],[Account_Type]]="Expense",-ABS(tbl_Ledger[[#This Row],[Amount]]*tbl_Ledger[[#This Row],[Rate_to_NGN]]),tbl_Ledger[[#This Row],[Amount]]*tbl_Ledger[[#This Row],[Rate_to_NGN]])</f>
        <v>48999.240000000005</v>
      </c>
      <c r="R805" s="25" t="str">
        <f>_xlfn.XLOOKUP(tbl_Ledger[[#This Row],[Account_Code]], tbl_Accounts[Account_Code], tbl_Accounts[Type])</f>
        <v>Revenue</v>
      </c>
      <c r="S805" s="25" t="str">
        <f>_xlfn.XLOOKUP(tbl_Ledger[[#This Row],[Account_Code]], tbl_Accounts[Account_Code], tbl_Accounts[PL_Bucket])</f>
        <v>Revenue</v>
      </c>
      <c r="T805" s="25">
        <f t="shared" si="12"/>
        <v>48999.240000000005</v>
      </c>
    </row>
    <row r="806" spans="1:20">
      <c r="A806" t="s">
        <v>2188</v>
      </c>
      <c r="B806" s="7">
        <v>45890</v>
      </c>
      <c r="C806" t="s">
        <v>126</v>
      </c>
      <c r="D806" t="s">
        <v>88</v>
      </c>
      <c r="E806" t="s">
        <v>132</v>
      </c>
      <c r="F806" s="12" t="s">
        <v>29</v>
      </c>
      <c r="G806" t="s">
        <v>30</v>
      </c>
      <c r="H806" t="s">
        <v>2189</v>
      </c>
      <c r="I806" t="s">
        <v>71</v>
      </c>
      <c r="J806" s="6">
        <v>49000</v>
      </c>
      <c r="K806" t="s">
        <v>134</v>
      </c>
      <c r="L806" t="s">
        <v>2187</v>
      </c>
      <c r="M806" t="s">
        <v>3</v>
      </c>
      <c r="N806" s="25" t="str">
        <f>TEXT(tbl_Ledger[[#This Row],[Date]],"yyyy-mm")</f>
        <v>2025-08</v>
      </c>
      <c r="O806" s="25" t="str">
        <f>TEXT(tbl_Ledger[[#This Row],[Date]],"yyyy-mm") &amp; TRIM(tbl_Ledger[[#This Row],[Currency]])</f>
        <v>2025-08NGN</v>
      </c>
      <c r="P806" s="25">
        <f>_xlfn.XLOOKUP(tbl_Ledger[[#This Row],[Key]], tbl_FX[Key], tbl_FX[Rate_to_NGN])</f>
        <v>1</v>
      </c>
      <c r="Q806" s="37">
        <f>IF(tbl_Ledger[[#This Row],[Account_Type]]="Expense",-ABS(tbl_Ledger[[#This Row],[Amount]]*tbl_Ledger[[#This Row],[Rate_to_NGN]]),tbl_Ledger[[#This Row],[Amount]]*tbl_Ledger[[#This Row],[Rate_to_NGN]])</f>
        <v>49000</v>
      </c>
      <c r="R806" s="25" t="str">
        <f>_xlfn.XLOOKUP(tbl_Ledger[[#This Row],[Account_Code]], tbl_Accounts[Account_Code], tbl_Accounts[Type])</f>
        <v>Revenue</v>
      </c>
      <c r="S806" s="25" t="str">
        <f>_xlfn.XLOOKUP(tbl_Ledger[[#This Row],[Account_Code]], tbl_Accounts[Account_Code], tbl_Accounts[PL_Bucket])</f>
        <v>Revenue</v>
      </c>
      <c r="T806" s="25">
        <f t="shared" si="12"/>
        <v>49000</v>
      </c>
    </row>
    <row r="807" spans="1:20">
      <c r="A807" t="s">
        <v>2190</v>
      </c>
      <c r="B807" s="7">
        <v>45890</v>
      </c>
      <c r="C807" t="s">
        <v>126</v>
      </c>
      <c r="D807" t="s">
        <v>88</v>
      </c>
      <c r="E807" t="s">
        <v>136</v>
      </c>
      <c r="F807" s="12" t="s">
        <v>29</v>
      </c>
      <c r="G807" t="s">
        <v>30</v>
      </c>
      <c r="H807" t="s">
        <v>2191</v>
      </c>
      <c r="I807" t="s">
        <v>71</v>
      </c>
      <c r="J807" s="6">
        <v>52700</v>
      </c>
      <c r="K807" t="s">
        <v>138</v>
      </c>
      <c r="L807" t="s">
        <v>2187</v>
      </c>
      <c r="M807" t="s">
        <v>3</v>
      </c>
      <c r="N807" s="25" t="str">
        <f>TEXT(tbl_Ledger[[#This Row],[Date]],"yyyy-mm")</f>
        <v>2025-08</v>
      </c>
      <c r="O807" s="25" t="str">
        <f>TEXT(tbl_Ledger[[#This Row],[Date]],"yyyy-mm") &amp; TRIM(tbl_Ledger[[#This Row],[Currency]])</f>
        <v>2025-08NGN</v>
      </c>
      <c r="P807" s="25">
        <f>_xlfn.XLOOKUP(tbl_Ledger[[#This Row],[Key]], tbl_FX[Key], tbl_FX[Rate_to_NGN])</f>
        <v>1</v>
      </c>
      <c r="Q807" s="37">
        <f>IF(tbl_Ledger[[#This Row],[Account_Type]]="Expense",-ABS(tbl_Ledger[[#This Row],[Amount]]*tbl_Ledger[[#This Row],[Rate_to_NGN]]),tbl_Ledger[[#This Row],[Amount]]*tbl_Ledger[[#This Row],[Rate_to_NGN]])</f>
        <v>52700</v>
      </c>
      <c r="R807" s="25" t="str">
        <f>_xlfn.XLOOKUP(tbl_Ledger[[#This Row],[Account_Code]], tbl_Accounts[Account_Code], tbl_Accounts[Type])</f>
        <v>Revenue</v>
      </c>
      <c r="S807" s="25" t="str">
        <f>_xlfn.XLOOKUP(tbl_Ledger[[#This Row],[Account_Code]], tbl_Accounts[Account_Code], tbl_Accounts[PL_Bucket])</f>
        <v>Revenue</v>
      </c>
      <c r="T807" s="25">
        <f t="shared" si="12"/>
        <v>52700</v>
      </c>
    </row>
    <row r="808" spans="1:20">
      <c r="A808" t="s">
        <v>2192</v>
      </c>
      <c r="B808" s="7">
        <v>45890</v>
      </c>
      <c r="C808" t="s">
        <v>126</v>
      </c>
      <c r="D808" t="s">
        <v>88</v>
      </c>
      <c r="E808" t="s">
        <v>140</v>
      </c>
      <c r="F808" s="12" t="s">
        <v>29</v>
      </c>
      <c r="G808" t="s">
        <v>30</v>
      </c>
      <c r="H808" t="s">
        <v>2193</v>
      </c>
      <c r="I808" t="s">
        <v>71</v>
      </c>
      <c r="J808" s="6">
        <v>43500</v>
      </c>
      <c r="K808" t="s">
        <v>3</v>
      </c>
      <c r="L808" t="s">
        <v>2194</v>
      </c>
      <c r="M808" t="s">
        <v>3</v>
      </c>
      <c r="N808" s="25" t="str">
        <f>TEXT(tbl_Ledger[[#This Row],[Date]],"yyyy-mm")</f>
        <v>2025-08</v>
      </c>
      <c r="O808" s="25" t="str">
        <f>TEXT(tbl_Ledger[[#This Row],[Date]],"yyyy-mm") &amp; TRIM(tbl_Ledger[[#This Row],[Currency]])</f>
        <v>2025-08NGN</v>
      </c>
      <c r="P808" s="25">
        <f>_xlfn.XLOOKUP(tbl_Ledger[[#This Row],[Key]], tbl_FX[Key], tbl_FX[Rate_to_NGN])</f>
        <v>1</v>
      </c>
      <c r="Q808" s="37">
        <f>IF(tbl_Ledger[[#This Row],[Account_Type]]="Expense",-ABS(tbl_Ledger[[#This Row],[Amount]]*tbl_Ledger[[#This Row],[Rate_to_NGN]]),tbl_Ledger[[#This Row],[Amount]]*tbl_Ledger[[#This Row],[Rate_to_NGN]])</f>
        <v>43500</v>
      </c>
      <c r="R808" s="25" t="str">
        <f>_xlfn.XLOOKUP(tbl_Ledger[[#This Row],[Account_Code]], tbl_Accounts[Account_Code], tbl_Accounts[Type])</f>
        <v>Revenue</v>
      </c>
      <c r="S808" s="25" t="str">
        <f>_xlfn.XLOOKUP(tbl_Ledger[[#This Row],[Account_Code]], tbl_Accounts[Account_Code], tbl_Accounts[PL_Bucket])</f>
        <v>Revenue</v>
      </c>
      <c r="T808" s="25">
        <f t="shared" si="12"/>
        <v>43500</v>
      </c>
    </row>
    <row r="809" spans="1:20">
      <c r="A809" t="s">
        <v>2195</v>
      </c>
      <c r="B809" s="7">
        <v>45890</v>
      </c>
      <c r="C809" t="s">
        <v>87</v>
      </c>
      <c r="D809" t="s">
        <v>94</v>
      </c>
      <c r="E809" t="s">
        <v>3</v>
      </c>
      <c r="F809" s="12" t="s">
        <v>42</v>
      </c>
      <c r="G809" t="s">
        <v>43</v>
      </c>
      <c r="H809" t="s">
        <v>1387</v>
      </c>
      <c r="I809" t="s">
        <v>71</v>
      </c>
      <c r="J809" s="6">
        <v>-631000</v>
      </c>
      <c r="K809" t="s">
        <v>187</v>
      </c>
      <c r="L809" t="s">
        <v>2196</v>
      </c>
      <c r="M809" t="s">
        <v>3</v>
      </c>
      <c r="N809" s="25" t="str">
        <f>TEXT(tbl_Ledger[[#This Row],[Date]],"yyyy-mm")</f>
        <v>2025-08</v>
      </c>
      <c r="O809" s="25" t="str">
        <f>TEXT(tbl_Ledger[[#This Row],[Date]],"yyyy-mm") &amp; TRIM(tbl_Ledger[[#This Row],[Currency]])</f>
        <v>2025-08NGN</v>
      </c>
      <c r="P809" s="25">
        <f>_xlfn.XLOOKUP(tbl_Ledger[[#This Row],[Key]], tbl_FX[Key], tbl_FX[Rate_to_NGN])</f>
        <v>1</v>
      </c>
      <c r="Q809" s="37">
        <f>IF(tbl_Ledger[[#This Row],[Account_Type]]="Expense",-ABS(tbl_Ledger[[#This Row],[Amount]]*tbl_Ledger[[#This Row],[Rate_to_NGN]]),tbl_Ledger[[#This Row],[Amount]]*tbl_Ledger[[#This Row],[Rate_to_NGN]])</f>
        <v>-631000</v>
      </c>
      <c r="R809" s="25" t="str">
        <f>_xlfn.XLOOKUP(tbl_Ledger[[#This Row],[Account_Code]], tbl_Accounts[Account_Code], tbl_Accounts[Type])</f>
        <v>COGS</v>
      </c>
      <c r="S809" s="25" t="str">
        <f>_xlfn.XLOOKUP(tbl_Ledger[[#This Row],[Account_Code]], tbl_Accounts[Account_Code], tbl_Accounts[PL_Bucket])</f>
        <v>COGS</v>
      </c>
      <c r="T809" s="25">
        <f t="shared" si="12"/>
        <v>-631000</v>
      </c>
    </row>
    <row r="810" spans="1:20">
      <c r="A810" t="s">
        <v>2197</v>
      </c>
      <c r="B810" s="7">
        <v>45890</v>
      </c>
      <c r="C810" t="s">
        <v>87</v>
      </c>
      <c r="D810" t="s">
        <v>88</v>
      </c>
      <c r="E810" t="s">
        <v>3</v>
      </c>
      <c r="F810" s="12" t="s">
        <v>42</v>
      </c>
      <c r="G810" t="s">
        <v>43</v>
      </c>
      <c r="H810" t="s">
        <v>1431</v>
      </c>
      <c r="I810" t="s">
        <v>71</v>
      </c>
      <c r="J810" s="6">
        <v>-713000</v>
      </c>
      <c r="K810" t="s">
        <v>398</v>
      </c>
      <c r="L810" t="s">
        <v>2198</v>
      </c>
      <c r="M810" t="s">
        <v>3</v>
      </c>
      <c r="N810" s="25" t="str">
        <f>TEXT(tbl_Ledger[[#This Row],[Date]],"yyyy-mm")</f>
        <v>2025-08</v>
      </c>
      <c r="O810" s="25" t="str">
        <f>TEXT(tbl_Ledger[[#This Row],[Date]],"yyyy-mm") &amp; TRIM(tbl_Ledger[[#This Row],[Currency]])</f>
        <v>2025-08NGN</v>
      </c>
      <c r="P810" s="25">
        <f>_xlfn.XLOOKUP(tbl_Ledger[[#This Row],[Key]], tbl_FX[Key], tbl_FX[Rate_to_NGN])</f>
        <v>1</v>
      </c>
      <c r="Q810" s="37">
        <f>IF(tbl_Ledger[[#This Row],[Account_Type]]="Expense",-ABS(tbl_Ledger[[#This Row],[Amount]]*tbl_Ledger[[#This Row],[Rate_to_NGN]]),tbl_Ledger[[#This Row],[Amount]]*tbl_Ledger[[#This Row],[Rate_to_NGN]])</f>
        <v>-713000</v>
      </c>
      <c r="R810" s="25" t="str">
        <f>_xlfn.XLOOKUP(tbl_Ledger[[#This Row],[Account_Code]], tbl_Accounts[Account_Code], tbl_Accounts[Type])</f>
        <v>COGS</v>
      </c>
      <c r="S810" s="25" t="str">
        <f>_xlfn.XLOOKUP(tbl_Ledger[[#This Row],[Account_Code]], tbl_Accounts[Account_Code], tbl_Accounts[PL_Bucket])</f>
        <v>COGS</v>
      </c>
      <c r="T810" s="25">
        <f t="shared" si="12"/>
        <v>-713000</v>
      </c>
    </row>
    <row r="811" spans="1:20">
      <c r="A811" t="s">
        <v>2199</v>
      </c>
      <c r="B811" s="7">
        <v>45891</v>
      </c>
      <c r="C811" t="s">
        <v>93</v>
      </c>
      <c r="D811" t="s">
        <v>94</v>
      </c>
      <c r="E811" t="s">
        <v>95</v>
      </c>
      <c r="F811" s="12" t="s">
        <v>24</v>
      </c>
      <c r="G811" t="s">
        <v>25</v>
      </c>
      <c r="H811" t="s">
        <v>2200</v>
      </c>
      <c r="I811" t="s">
        <v>71</v>
      </c>
      <c r="J811" s="6">
        <v>31600</v>
      </c>
      <c r="K811" t="s">
        <v>3</v>
      </c>
      <c r="L811" t="s">
        <v>2201</v>
      </c>
      <c r="M811" t="s">
        <v>3</v>
      </c>
      <c r="N811" s="25" t="str">
        <f>TEXT(tbl_Ledger[[#This Row],[Date]],"yyyy-mm")</f>
        <v>2025-08</v>
      </c>
      <c r="O811" s="25" t="str">
        <f>TEXT(tbl_Ledger[[#This Row],[Date]],"yyyy-mm") &amp; TRIM(tbl_Ledger[[#This Row],[Currency]])</f>
        <v>2025-08NGN</v>
      </c>
      <c r="P811" s="25">
        <f>_xlfn.XLOOKUP(tbl_Ledger[[#This Row],[Key]], tbl_FX[Key], tbl_FX[Rate_to_NGN])</f>
        <v>1</v>
      </c>
      <c r="Q811" s="37">
        <f>IF(tbl_Ledger[[#This Row],[Account_Type]]="Expense",-ABS(tbl_Ledger[[#This Row],[Amount]]*tbl_Ledger[[#This Row],[Rate_to_NGN]]),tbl_Ledger[[#This Row],[Amount]]*tbl_Ledger[[#This Row],[Rate_to_NGN]])</f>
        <v>31600</v>
      </c>
      <c r="R811" s="25" t="str">
        <f>_xlfn.XLOOKUP(tbl_Ledger[[#This Row],[Account_Code]], tbl_Accounts[Account_Code], tbl_Accounts[Type])</f>
        <v>Revenue</v>
      </c>
      <c r="S811" s="25" t="str">
        <f>_xlfn.XLOOKUP(tbl_Ledger[[#This Row],[Account_Code]], tbl_Accounts[Account_Code], tbl_Accounts[PL_Bucket])</f>
        <v>Revenue</v>
      </c>
      <c r="T811" s="25">
        <f t="shared" si="12"/>
        <v>31600</v>
      </c>
    </row>
    <row r="812" spans="1:20">
      <c r="A812" t="s">
        <v>2202</v>
      </c>
      <c r="B812" s="7">
        <v>45891</v>
      </c>
      <c r="C812" t="s">
        <v>93</v>
      </c>
      <c r="D812" t="s">
        <v>94</v>
      </c>
      <c r="E812" t="s">
        <v>99</v>
      </c>
      <c r="F812" s="12" t="s">
        <v>24</v>
      </c>
      <c r="G812" t="s">
        <v>25</v>
      </c>
      <c r="H812" t="s">
        <v>2203</v>
      </c>
      <c r="I812" t="s">
        <v>71</v>
      </c>
      <c r="J812" s="6">
        <v>29900</v>
      </c>
      <c r="K812" t="s">
        <v>3</v>
      </c>
      <c r="L812" t="s">
        <v>2204</v>
      </c>
      <c r="M812" t="s">
        <v>3</v>
      </c>
      <c r="N812" s="25" t="str">
        <f>TEXT(tbl_Ledger[[#This Row],[Date]],"yyyy-mm")</f>
        <v>2025-08</v>
      </c>
      <c r="O812" s="25" t="str">
        <f>TEXT(tbl_Ledger[[#This Row],[Date]],"yyyy-mm") &amp; TRIM(tbl_Ledger[[#This Row],[Currency]])</f>
        <v>2025-08NGN</v>
      </c>
      <c r="P812" s="25">
        <f>_xlfn.XLOOKUP(tbl_Ledger[[#This Row],[Key]], tbl_FX[Key], tbl_FX[Rate_to_NGN])</f>
        <v>1</v>
      </c>
      <c r="Q812" s="37">
        <f>IF(tbl_Ledger[[#This Row],[Account_Type]]="Expense",-ABS(tbl_Ledger[[#This Row],[Amount]]*tbl_Ledger[[#This Row],[Rate_to_NGN]]),tbl_Ledger[[#This Row],[Amount]]*tbl_Ledger[[#This Row],[Rate_to_NGN]])</f>
        <v>29900</v>
      </c>
      <c r="R812" s="25" t="str">
        <f>_xlfn.XLOOKUP(tbl_Ledger[[#This Row],[Account_Code]], tbl_Accounts[Account_Code], tbl_Accounts[Type])</f>
        <v>Revenue</v>
      </c>
      <c r="S812" s="25" t="str">
        <f>_xlfn.XLOOKUP(tbl_Ledger[[#This Row],[Account_Code]], tbl_Accounts[Account_Code], tbl_Accounts[PL_Bucket])</f>
        <v>Revenue</v>
      </c>
      <c r="T812" s="25">
        <f t="shared" si="12"/>
        <v>29900</v>
      </c>
    </row>
    <row r="813" spans="1:20">
      <c r="A813" t="s">
        <v>2205</v>
      </c>
      <c r="B813" s="7">
        <v>45891</v>
      </c>
      <c r="C813" t="s">
        <v>93</v>
      </c>
      <c r="D813" t="s">
        <v>94</v>
      </c>
      <c r="E813" t="s">
        <v>103</v>
      </c>
      <c r="F813" s="12" t="s">
        <v>24</v>
      </c>
      <c r="G813" t="s">
        <v>25</v>
      </c>
      <c r="H813" t="s">
        <v>2206</v>
      </c>
      <c r="I813" t="s">
        <v>71</v>
      </c>
      <c r="J813" s="6">
        <v>30000</v>
      </c>
      <c r="K813" t="s">
        <v>3</v>
      </c>
      <c r="L813" t="s">
        <v>2207</v>
      </c>
      <c r="M813" t="s">
        <v>3</v>
      </c>
      <c r="N813" s="25" t="str">
        <f>TEXT(tbl_Ledger[[#This Row],[Date]],"yyyy-mm")</f>
        <v>2025-08</v>
      </c>
      <c r="O813" s="25" t="str">
        <f>TEXT(tbl_Ledger[[#This Row],[Date]],"yyyy-mm") &amp; TRIM(tbl_Ledger[[#This Row],[Currency]])</f>
        <v>2025-08NGN</v>
      </c>
      <c r="P813" s="25">
        <f>_xlfn.XLOOKUP(tbl_Ledger[[#This Row],[Key]], tbl_FX[Key], tbl_FX[Rate_to_NGN])</f>
        <v>1</v>
      </c>
      <c r="Q813" s="37">
        <f>IF(tbl_Ledger[[#This Row],[Account_Type]]="Expense",-ABS(tbl_Ledger[[#This Row],[Amount]]*tbl_Ledger[[#This Row],[Rate_to_NGN]]),tbl_Ledger[[#This Row],[Amount]]*tbl_Ledger[[#This Row],[Rate_to_NGN]])</f>
        <v>30000</v>
      </c>
      <c r="R813" s="25" t="str">
        <f>_xlfn.XLOOKUP(tbl_Ledger[[#This Row],[Account_Code]], tbl_Accounts[Account_Code], tbl_Accounts[Type])</f>
        <v>Revenue</v>
      </c>
      <c r="S813" s="25" t="str">
        <f>_xlfn.XLOOKUP(tbl_Ledger[[#This Row],[Account_Code]], tbl_Accounts[Account_Code], tbl_Accounts[PL_Bucket])</f>
        <v>Revenue</v>
      </c>
      <c r="T813" s="25">
        <f t="shared" si="12"/>
        <v>30000</v>
      </c>
    </row>
    <row r="814" spans="1:20">
      <c r="A814" t="s">
        <v>2208</v>
      </c>
      <c r="B814" s="7">
        <v>45891</v>
      </c>
      <c r="C814" t="s">
        <v>93</v>
      </c>
      <c r="D814" t="s">
        <v>94</v>
      </c>
      <c r="E814" t="s">
        <v>107</v>
      </c>
      <c r="F814" s="12" t="s">
        <v>24</v>
      </c>
      <c r="G814" t="s">
        <v>25</v>
      </c>
      <c r="H814" t="s">
        <v>2209</v>
      </c>
      <c r="I814" t="s">
        <v>71</v>
      </c>
      <c r="J814" s="6">
        <v>29300</v>
      </c>
      <c r="K814" t="s">
        <v>3</v>
      </c>
      <c r="L814" t="s">
        <v>2210</v>
      </c>
      <c r="M814" t="s">
        <v>3</v>
      </c>
      <c r="N814" s="25" t="str">
        <f>TEXT(tbl_Ledger[[#This Row],[Date]],"yyyy-mm")</f>
        <v>2025-08</v>
      </c>
      <c r="O814" s="25" t="str">
        <f>TEXT(tbl_Ledger[[#This Row],[Date]],"yyyy-mm") &amp; TRIM(tbl_Ledger[[#This Row],[Currency]])</f>
        <v>2025-08NGN</v>
      </c>
      <c r="P814" s="25">
        <f>_xlfn.XLOOKUP(tbl_Ledger[[#This Row],[Key]], tbl_FX[Key], tbl_FX[Rate_to_NGN])</f>
        <v>1</v>
      </c>
      <c r="Q814" s="37">
        <f>IF(tbl_Ledger[[#This Row],[Account_Type]]="Expense",-ABS(tbl_Ledger[[#This Row],[Amount]]*tbl_Ledger[[#This Row],[Rate_to_NGN]]),tbl_Ledger[[#This Row],[Amount]]*tbl_Ledger[[#This Row],[Rate_to_NGN]])</f>
        <v>29300</v>
      </c>
      <c r="R814" s="25" t="str">
        <f>_xlfn.XLOOKUP(tbl_Ledger[[#This Row],[Account_Code]], tbl_Accounts[Account_Code], tbl_Accounts[Type])</f>
        <v>Revenue</v>
      </c>
      <c r="S814" s="25" t="str">
        <f>_xlfn.XLOOKUP(tbl_Ledger[[#This Row],[Account_Code]], tbl_Accounts[Account_Code], tbl_Accounts[PL_Bucket])</f>
        <v>Revenue</v>
      </c>
      <c r="T814" s="25">
        <f t="shared" si="12"/>
        <v>29300</v>
      </c>
    </row>
    <row r="815" spans="1:20">
      <c r="A815" t="s">
        <v>2211</v>
      </c>
      <c r="B815" s="7">
        <v>45891</v>
      </c>
      <c r="C815" t="s">
        <v>93</v>
      </c>
      <c r="D815" t="s">
        <v>111</v>
      </c>
      <c r="E815" t="s">
        <v>112</v>
      </c>
      <c r="F815" s="12" t="s">
        <v>24</v>
      </c>
      <c r="G815" t="s">
        <v>25</v>
      </c>
      <c r="H815" t="s">
        <v>2212</v>
      </c>
      <c r="I815" t="s">
        <v>71</v>
      </c>
      <c r="J815" s="6">
        <v>52500</v>
      </c>
      <c r="K815" t="s">
        <v>3</v>
      </c>
      <c r="L815" t="s">
        <v>2213</v>
      </c>
      <c r="M815" t="s">
        <v>3</v>
      </c>
      <c r="N815" s="25" t="str">
        <f>TEXT(tbl_Ledger[[#This Row],[Date]],"yyyy-mm")</f>
        <v>2025-08</v>
      </c>
      <c r="O815" s="25" t="str">
        <f>TEXT(tbl_Ledger[[#This Row],[Date]],"yyyy-mm") &amp; TRIM(tbl_Ledger[[#This Row],[Currency]])</f>
        <v>2025-08NGN</v>
      </c>
      <c r="P815" s="25">
        <f>_xlfn.XLOOKUP(tbl_Ledger[[#This Row],[Key]], tbl_FX[Key], tbl_FX[Rate_to_NGN])</f>
        <v>1</v>
      </c>
      <c r="Q815" s="37">
        <f>IF(tbl_Ledger[[#This Row],[Account_Type]]="Expense",-ABS(tbl_Ledger[[#This Row],[Amount]]*tbl_Ledger[[#This Row],[Rate_to_NGN]]),tbl_Ledger[[#This Row],[Amount]]*tbl_Ledger[[#This Row],[Rate_to_NGN]])</f>
        <v>52500</v>
      </c>
      <c r="R815" s="25" t="str">
        <f>_xlfn.XLOOKUP(tbl_Ledger[[#This Row],[Account_Code]], tbl_Accounts[Account_Code], tbl_Accounts[Type])</f>
        <v>Revenue</v>
      </c>
      <c r="S815" s="25" t="str">
        <f>_xlfn.XLOOKUP(tbl_Ledger[[#This Row],[Account_Code]], tbl_Accounts[Account_Code], tbl_Accounts[PL_Bucket])</f>
        <v>Revenue</v>
      </c>
      <c r="T815" s="25">
        <f t="shared" si="12"/>
        <v>52500</v>
      </c>
    </row>
    <row r="816" spans="1:20">
      <c r="A816" t="s">
        <v>2214</v>
      </c>
      <c r="B816" s="7">
        <v>45891</v>
      </c>
      <c r="C816" t="s">
        <v>93</v>
      </c>
      <c r="D816" t="s">
        <v>111</v>
      </c>
      <c r="E816" t="s">
        <v>116</v>
      </c>
      <c r="F816" s="12" t="s">
        <v>24</v>
      </c>
      <c r="G816" t="s">
        <v>25</v>
      </c>
      <c r="H816" t="s">
        <v>2215</v>
      </c>
      <c r="I816" t="s">
        <v>71</v>
      </c>
      <c r="J816" s="6">
        <v>47800</v>
      </c>
      <c r="K816" t="s">
        <v>3</v>
      </c>
      <c r="L816" t="s">
        <v>2213</v>
      </c>
      <c r="M816" t="s">
        <v>3</v>
      </c>
      <c r="N816" s="25" t="str">
        <f>TEXT(tbl_Ledger[[#This Row],[Date]],"yyyy-mm")</f>
        <v>2025-08</v>
      </c>
      <c r="O816" s="25" t="str">
        <f>TEXT(tbl_Ledger[[#This Row],[Date]],"yyyy-mm") &amp; TRIM(tbl_Ledger[[#This Row],[Currency]])</f>
        <v>2025-08NGN</v>
      </c>
      <c r="P816" s="25">
        <f>_xlfn.XLOOKUP(tbl_Ledger[[#This Row],[Key]], tbl_FX[Key], tbl_FX[Rate_to_NGN])</f>
        <v>1</v>
      </c>
      <c r="Q816" s="37">
        <f>IF(tbl_Ledger[[#This Row],[Account_Type]]="Expense",-ABS(tbl_Ledger[[#This Row],[Amount]]*tbl_Ledger[[#This Row],[Rate_to_NGN]]),tbl_Ledger[[#This Row],[Amount]]*tbl_Ledger[[#This Row],[Rate_to_NGN]])</f>
        <v>47800</v>
      </c>
      <c r="R816" s="25" t="str">
        <f>_xlfn.XLOOKUP(tbl_Ledger[[#This Row],[Account_Code]], tbl_Accounts[Account_Code], tbl_Accounts[Type])</f>
        <v>Revenue</v>
      </c>
      <c r="S816" s="25" t="str">
        <f>_xlfn.XLOOKUP(tbl_Ledger[[#This Row],[Account_Code]], tbl_Accounts[Account_Code], tbl_Accounts[PL_Bucket])</f>
        <v>Revenue</v>
      </c>
      <c r="T816" s="25">
        <f t="shared" si="12"/>
        <v>47800</v>
      </c>
    </row>
    <row r="817" spans="1:20">
      <c r="A817" t="s">
        <v>2216</v>
      </c>
      <c r="B817" s="7">
        <v>45891</v>
      </c>
      <c r="C817" t="s">
        <v>93</v>
      </c>
      <c r="D817" t="s">
        <v>111</v>
      </c>
      <c r="E817" t="s">
        <v>119</v>
      </c>
      <c r="F817" s="12" t="s">
        <v>24</v>
      </c>
      <c r="G817" t="s">
        <v>25</v>
      </c>
      <c r="H817" t="s">
        <v>2217</v>
      </c>
      <c r="I817" t="s">
        <v>71</v>
      </c>
      <c r="J817" s="6">
        <v>50000</v>
      </c>
      <c r="K817" t="s">
        <v>3</v>
      </c>
      <c r="L817" t="s">
        <v>2213</v>
      </c>
      <c r="M817" t="s">
        <v>3</v>
      </c>
      <c r="N817" s="25" t="str">
        <f>TEXT(tbl_Ledger[[#This Row],[Date]],"yyyy-mm")</f>
        <v>2025-08</v>
      </c>
      <c r="O817" s="25" t="str">
        <f>TEXT(tbl_Ledger[[#This Row],[Date]],"yyyy-mm") &amp; TRIM(tbl_Ledger[[#This Row],[Currency]])</f>
        <v>2025-08NGN</v>
      </c>
      <c r="P817" s="25">
        <f>_xlfn.XLOOKUP(tbl_Ledger[[#This Row],[Key]], tbl_FX[Key], tbl_FX[Rate_to_NGN])</f>
        <v>1</v>
      </c>
      <c r="Q817" s="37">
        <f>IF(tbl_Ledger[[#This Row],[Account_Type]]="Expense",-ABS(tbl_Ledger[[#This Row],[Amount]]*tbl_Ledger[[#This Row],[Rate_to_NGN]]),tbl_Ledger[[#This Row],[Amount]]*tbl_Ledger[[#This Row],[Rate_to_NGN]])</f>
        <v>50000</v>
      </c>
      <c r="R817" s="25" t="str">
        <f>_xlfn.XLOOKUP(tbl_Ledger[[#This Row],[Account_Code]], tbl_Accounts[Account_Code], tbl_Accounts[Type])</f>
        <v>Revenue</v>
      </c>
      <c r="S817" s="25" t="str">
        <f>_xlfn.XLOOKUP(tbl_Ledger[[#This Row],[Account_Code]], tbl_Accounts[Account_Code], tbl_Accounts[PL_Bucket])</f>
        <v>Revenue</v>
      </c>
      <c r="T817" s="25">
        <f t="shared" si="12"/>
        <v>50000</v>
      </c>
    </row>
    <row r="818" spans="1:20">
      <c r="A818" t="s">
        <v>2218</v>
      </c>
      <c r="B818" s="7">
        <v>45891</v>
      </c>
      <c r="C818" t="s">
        <v>93</v>
      </c>
      <c r="D818" t="s">
        <v>111</v>
      </c>
      <c r="E818" t="s">
        <v>122</v>
      </c>
      <c r="F818" s="12" t="s">
        <v>24</v>
      </c>
      <c r="G818" t="s">
        <v>25</v>
      </c>
      <c r="H818" t="s">
        <v>2219</v>
      </c>
      <c r="I818" t="s">
        <v>71</v>
      </c>
      <c r="J818" s="6">
        <v>53000</v>
      </c>
      <c r="K818" t="s">
        <v>3</v>
      </c>
      <c r="L818" t="s">
        <v>2220</v>
      </c>
      <c r="M818" t="s">
        <v>3</v>
      </c>
      <c r="N818" s="25" t="str">
        <f>TEXT(tbl_Ledger[[#This Row],[Date]],"yyyy-mm")</f>
        <v>2025-08</v>
      </c>
      <c r="O818" s="25" t="str">
        <f>TEXT(tbl_Ledger[[#This Row],[Date]],"yyyy-mm") &amp; TRIM(tbl_Ledger[[#This Row],[Currency]])</f>
        <v>2025-08NGN</v>
      </c>
      <c r="P818" s="25">
        <f>_xlfn.XLOOKUP(tbl_Ledger[[#This Row],[Key]], tbl_FX[Key], tbl_FX[Rate_to_NGN])</f>
        <v>1</v>
      </c>
      <c r="Q818" s="37">
        <f>IF(tbl_Ledger[[#This Row],[Account_Type]]="Expense",-ABS(tbl_Ledger[[#This Row],[Amount]]*tbl_Ledger[[#This Row],[Rate_to_NGN]]),tbl_Ledger[[#This Row],[Amount]]*tbl_Ledger[[#This Row],[Rate_to_NGN]])</f>
        <v>53000</v>
      </c>
      <c r="R818" s="25" t="str">
        <f>_xlfn.XLOOKUP(tbl_Ledger[[#This Row],[Account_Code]], tbl_Accounts[Account_Code], tbl_Accounts[Type])</f>
        <v>Revenue</v>
      </c>
      <c r="S818" s="25" t="str">
        <f>_xlfn.XLOOKUP(tbl_Ledger[[#This Row],[Account_Code]], tbl_Accounts[Account_Code], tbl_Accounts[PL_Bucket])</f>
        <v>Revenue</v>
      </c>
      <c r="T818" s="25">
        <f t="shared" si="12"/>
        <v>53000</v>
      </c>
    </row>
    <row r="819" spans="1:20">
      <c r="A819" t="s">
        <v>2221</v>
      </c>
      <c r="B819" s="7">
        <v>45891</v>
      </c>
      <c r="C819" t="s">
        <v>126</v>
      </c>
      <c r="D819" t="s">
        <v>88</v>
      </c>
      <c r="E819" t="s">
        <v>127</v>
      </c>
      <c r="F819" s="12" t="s">
        <v>29</v>
      </c>
      <c r="G819" t="s">
        <v>30</v>
      </c>
      <c r="H819" t="s">
        <v>2222</v>
      </c>
      <c r="I819" t="s">
        <v>71</v>
      </c>
      <c r="J819" s="6">
        <v>46600</v>
      </c>
      <c r="K819" t="s">
        <v>129</v>
      </c>
      <c r="L819" t="s">
        <v>2223</v>
      </c>
      <c r="M819" t="s">
        <v>3</v>
      </c>
      <c r="N819" s="25" t="str">
        <f>TEXT(tbl_Ledger[[#This Row],[Date]],"yyyy-mm")</f>
        <v>2025-08</v>
      </c>
      <c r="O819" s="25" t="str">
        <f>TEXT(tbl_Ledger[[#This Row],[Date]],"yyyy-mm") &amp; TRIM(tbl_Ledger[[#This Row],[Currency]])</f>
        <v>2025-08NGN</v>
      </c>
      <c r="P819" s="25">
        <f>_xlfn.XLOOKUP(tbl_Ledger[[#This Row],[Key]], tbl_FX[Key], tbl_FX[Rate_to_NGN])</f>
        <v>1</v>
      </c>
      <c r="Q819" s="37">
        <f>IF(tbl_Ledger[[#This Row],[Account_Type]]="Expense",-ABS(tbl_Ledger[[#This Row],[Amount]]*tbl_Ledger[[#This Row],[Rate_to_NGN]]),tbl_Ledger[[#This Row],[Amount]]*tbl_Ledger[[#This Row],[Rate_to_NGN]])</f>
        <v>46600</v>
      </c>
      <c r="R819" s="25" t="str">
        <f>_xlfn.XLOOKUP(tbl_Ledger[[#This Row],[Account_Code]], tbl_Accounts[Account_Code], tbl_Accounts[Type])</f>
        <v>Revenue</v>
      </c>
      <c r="S819" s="25" t="str">
        <f>_xlfn.XLOOKUP(tbl_Ledger[[#This Row],[Account_Code]], tbl_Accounts[Account_Code], tbl_Accounts[PL_Bucket])</f>
        <v>Revenue</v>
      </c>
      <c r="T819" s="25">
        <f t="shared" si="12"/>
        <v>46600</v>
      </c>
    </row>
    <row r="820" spans="1:20">
      <c r="A820" t="s">
        <v>2224</v>
      </c>
      <c r="B820" s="7">
        <v>45891</v>
      </c>
      <c r="C820" t="s">
        <v>126</v>
      </c>
      <c r="D820" t="s">
        <v>88</v>
      </c>
      <c r="E820" t="s">
        <v>132</v>
      </c>
      <c r="F820" s="12" t="s">
        <v>29</v>
      </c>
      <c r="G820" t="s">
        <v>30</v>
      </c>
      <c r="H820" t="s">
        <v>2225</v>
      </c>
      <c r="I820" t="s">
        <v>71</v>
      </c>
      <c r="J820" s="6">
        <v>48600</v>
      </c>
      <c r="K820" t="s">
        <v>134</v>
      </c>
      <c r="L820" t="s">
        <v>2223</v>
      </c>
      <c r="M820" t="s">
        <v>3</v>
      </c>
      <c r="N820" s="25" t="str">
        <f>TEXT(tbl_Ledger[[#This Row],[Date]],"yyyy-mm")</f>
        <v>2025-08</v>
      </c>
      <c r="O820" s="25" t="str">
        <f>TEXT(tbl_Ledger[[#This Row],[Date]],"yyyy-mm") &amp; TRIM(tbl_Ledger[[#This Row],[Currency]])</f>
        <v>2025-08NGN</v>
      </c>
      <c r="P820" s="25">
        <f>_xlfn.XLOOKUP(tbl_Ledger[[#This Row],[Key]], tbl_FX[Key], tbl_FX[Rate_to_NGN])</f>
        <v>1</v>
      </c>
      <c r="Q820" s="37">
        <f>IF(tbl_Ledger[[#This Row],[Account_Type]]="Expense",-ABS(tbl_Ledger[[#This Row],[Amount]]*tbl_Ledger[[#This Row],[Rate_to_NGN]]),tbl_Ledger[[#This Row],[Amount]]*tbl_Ledger[[#This Row],[Rate_to_NGN]])</f>
        <v>48600</v>
      </c>
      <c r="R820" s="25" t="str">
        <f>_xlfn.XLOOKUP(tbl_Ledger[[#This Row],[Account_Code]], tbl_Accounts[Account_Code], tbl_Accounts[Type])</f>
        <v>Revenue</v>
      </c>
      <c r="S820" s="25" t="str">
        <f>_xlfn.XLOOKUP(tbl_Ledger[[#This Row],[Account_Code]], tbl_Accounts[Account_Code], tbl_Accounts[PL_Bucket])</f>
        <v>Revenue</v>
      </c>
      <c r="T820" s="25">
        <f t="shared" si="12"/>
        <v>48600</v>
      </c>
    </row>
    <row r="821" spans="1:20">
      <c r="A821" t="s">
        <v>2226</v>
      </c>
      <c r="B821" s="7">
        <v>45891</v>
      </c>
      <c r="C821" t="s">
        <v>126</v>
      </c>
      <c r="D821" t="s">
        <v>88</v>
      </c>
      <c r="E821" t="s">
        <v>136</v>
      </c>
      <c r="F821" s="12" t="s">
        <v>29</v>
      </c>
      <c r="G821" t="s">
        <v>30</v>
      </c>
      <c r="H821" t="s">
        <v>2227</v>
      </c>
      <c r="I821" t="s">
        <v>71</v>
      </c>
      <c r="J821" s="6">
        <v>54500</v>
      </c>
      <c r="K821" t="s">
        <v>138</v>
      </c>
      <c r="L821" t="s">
        <v>2223</v>
      </c>
      <c r="M821" t="s">
        <v>3</v>
      </c>
      <c r="N821" s="25" t="str">
        <f>TEXT(tbl_Ledger[[#This Row],[Date]],"yyyy-mm")</f>
        <v>2025-08</v>
      </c>
      <c r="O821" s="25" t="str">
        <f>TEXT(tbl_Ledger[[#This Row],[Date]],"yyyy-mm") &amp; TRIM(tbl_Ledger[[#This Row],[Currency]])</f>
        <v>2025-08NGN</v>
      </c>
      <c r="P821" s="25">
        <f>_xlfn.XLOOKUP(tbl_Ledger[[#This Row],[Key]], tbl_FX[Key], tbl_FX[Rate_to_NGN])</f>
        <v>1</v>
      </c>
      <c r="Q821" s="37">
        <f>IF(tbl_Ledger[[#This Row],[Account_Type]]="Expense",-ABS(tbl_Ledger[[#This Row],[Amount]]*tbl_Ledger[[#This Row],[Rate_to_NGN]]),tbl_Ledger[[#This Row],[Amount]]*tbl_Ledger[[#This Row],[Rate_to_NGN]])</f>
        <v>54500</v>
      </c>
      <c r="R821" s="25" t="str">
        <f>_xlfn.XLOOKUP(tbl_Ledger[[#This Row],[Account_Code]], tbl_Accounts[Account_Code], tbl_Accounts[Type])</f>
        <v>Revenue</v>
      </c>
      <c r="S821" s="25" t="str">
        <f>_xlfn.XLOOKUP(tbl_Ledger[[#This Row],[Account_Code]], tbl_Accounts[Account_Code], tbl_Accounts[PL_Bucket])</f>
        <v>Revenue</v>
      </c>
      <c r="T821" s="25">
        <f t="shared" si="12"/>
        <v>54500</v>
      </c>
    </row>
    <row r="822" spans="1:20">
      <c r="A822" t="s">
        <v>2228</v>
      </c>
      <c r="B822" s="7">
        <v>45891</v>
      </c>
      <c r="C822" t="s">
        <v>126</v>
      </c>
      <c r="D822" t="s">
        <v>88</v>
      </c>
      <c r="E822" t="s">
        <v>140</v>
      </c>
      <c r="F822" s="12" t="s">
        <v>29</v>
      </c>
      <c r="G822" t="s">
        <v>30</v>
      </c>
      <c r="H822" t="s">
        <v>2229</v>
      </c>
      <c r="I822" t="s">
        <v>71</v>
      </c>
      <c r="J822" s="6">
        <v>52000</v>
      </c>
      <c r="K822" t="s">
        <v>3</v>
      </c>
      <c r="L822" t="s">
        <v>2230</v>
      </c>
      <c r="M822" t="s">
        <v>3</v>
      </c>
      <c r="N822" s="25" t="str">
        <f>TEXT(tbl_Ledger[[#This Row],[Date]],"yyyy-mm")</f>
        <v>2025-08</v>
      </c>
      <c r="O822" s="25" t="str">
        <f>TEXT(tbl_Ledger[[#This Row],[Date]],"yyyy-mm") &amp; TRIM(tbl_Ledger[[#This Row],[Currency]])</f>
        <v>2025-08NGN</v>
      </c>
      <c r="P822" s="25">
        <f>_xlfn.XLOOKUP(tbl_Ledger[[#This Row],[Key]], tbl_FX[Key], tbl_FX[Rate_to_NGN])</f>
        <v>1</v>
      </c>
      <c r="Q822" s="37">
        <f>IF(tbl_Ledger[[#This Row],[Account_Type]]="Expense",-ABS(tbl_Ledger[[#This Row],[Amount]]*tbl_Ledger[[#This Row],[Rate_to_NGN]]),tbl_Ledger[[#This Row],[Amount]]*tbl_Ledger[[#This Row],[Rate_to_NGN]])</f>
        <v>52000</v>
      </c>
      <c r="R822" s="25" t="str">
        <f>_xlfn.XLOOKUP(tbl_Ledger[[#This Row],[Account_Code]], tbl_Accounts[Account_Code], tbl_Accounts[Type])</f>
        <v>Revenue</v>
      </c>
      <c r="S822" s="25" t="str">
        <f>_xlfn.XLOOKUP(tbl_Ledger[[#This Row],[Account_Code]], tbl_Accounts[Account_Code], tbl_Accounts[PL_Bucket])</f>
        <v>Revenue</v>
      </c>
      <c r="T822" s="25">
        <f t="shared" si="12"/>
        <v>52000</v>
      </c>
    </row>
    <row r="823" spans="1:20">
      <c r="A823" t="s">
        <v>2231</v>
      </c>
      <c r="B823" s="7">
        <v>45891</v>
      </c>
      <c r="C823" t="s">
        <v>87</v>
      </c>
      <c r="D823" t="s">
        <v>94</v>
      </c>
      <c r="E823" t="s">
        <v>3</v>
      </c>
      <c r="F823" s="12" t="s">
        <v>44</v>
      </c>
      <c r="G823" t="s">
        <v>45</v>
      </c>
      <c r="H823" t="s">
        <v>2157</v>
      </c>
      <c r="I823" t="s">
        <v>71</v>
      </c>
      <c r="J823" s="6">
        <v>-245000</v>
      </c>
      <c r="K823" t="s">
        <v>668</v>
      </c>
      <c r="L823" t="s">
        <v>2232</v>
      </c>
      <c r="M823" t="s">
        <v>3</v>
      </c>
      <c r="N823" s="25" t="str">
        <f>TEXT(tbl_Ledger[[#This Row],[Date]],"yyyy-mm")</f>
        <v>2025-08</v>
      </c>
      <c r="O823" s="25" t="str">
        <f>TEXT(tbl_Ledger[[#This Row],[Date]],"yyyy-mm") &amp; TRIM(tbl_Ledger[[#This Row],[Currency]])</f>
        <v>2025-08NGN</v>
      </c>
      <c r="P823" s="25">
        <f>_xlfn.XLOOKUP(tbl_Ledger[[#This Row],[Key]], tbl_FX[Key], tbl_FX[Rate_to_NGN])</f>
        <v>1</v>
      </c>
      <c r="Q823" s="37">
        <f>IF(tbl_Ledger[[#This Row],[Account_Type]]="Expense",-ABS(tbl_Ledger[[#This Row],[Amount]]*tbl_Ledger[[#This Row],[Rate_to_NGN]]),tbl_Ledger[[#This Row],[Amount]]*tbl_Ledger[[#This Row],[Rate_to_NGN]])</f>
        <v>-245000</v>
      </c>
      <c r="R823" s="25" t="str">
        <f>_xlfn.XLOOKUP(tbl_Ledger[[#This Row],[Account_Code]], tbl_Accounts[Account_Code], tbl_Accounts[Type])</f>
        <v>COGS</v>
      </c>
      <c r="S823" s="25" t="str">
        <f>_xlfn.XLOOKUP(tbl_Ledger[[#This Row],[Account_Code]], tbl_Accounts[Account_Code], tbl_Accounts[PL_Bucket])</f>
        <v>COGS</v>
      </c>
      <c r="T823" s="25">
        <f t="shared" si="12"/>
        <v>-245000</v>
      </c>
    </row>
    <row r="824" spans="1:20">
      <c r="A824" t="s">
        <v>2233</v>
      </c>
      <c r="B824" s="7">
        <v>45891</v>
      </c>
      <c r="C824" t="s">
        <v>87</v>
      </c>
      <c r="D824" t="s">
        <v>111</v>
      </c>
      <c r="E824" t="s">
        <v>3</v>
      </c>
      <c r="F824" s="12" t="s">
        <v>36</v>
      </c>
      <c r="G824" t="s">
        <v>37</v>
      </c>
      <c r="H824" t="s">
        <v>1792</v>
      </c>
      <c r="I824" t="s">
        <v>71</v>
      </c>
      <c r="J824" s="6">
        <v>-1016000</v>
      </c>
      <c r="K824" t="s">
        <v>195</v>
      </c>
      <c r="L824" t="s">
        <v>2234</v>
      </c>
      <c r="M824" t="s">
        <v>3</v>
      </c>
      <c r="N824" s="25" t="str">
        <f>TEXT(tbl_Ledger[[#This Row],[Date]],"yyyy-mm")</f>
        <v>2025-08</v>
      </c>
      <c r="O824" s="25" t="str">
        <f>TEXT(tbl_Ledger[[#This Row],[Date]],"yyyy-mm") &amp; TRIM(tbl_Ledger[[#This Row],[Currency]])</f>
        <v>2025-08NGN</v>
      </c>
      <c r="P824" s="25">
        <f>_xlfn.XLOOKUP(tbl_Ledger[[#This Row],[Key]], tbl_FX[Key], tbl_FX[Rate_to_NGN])</f>
        <v>1</v>
      </c>
      <c r="Q824" s="37">
        <f>IF(tbl_Ledger[[#This Row],[Account_Type]]="Expense",-ABS(tbl_Ledger[[#This Row],[Amount]]*tbl_Ledger[[#This Row],[Rate_to_NGN]]),tbl_Ledger[[#This Row],[Amount]]*tbl_Ledger[[#This Row],[Rate_to_NGN]])</f>
        <v>-1016000</v>
      </c>
      <c r="R824" s="25" t="str">
        <f>_xlfn.XLOOKUP(tbl_Ledger[[#This Row],[Account_Code]], tbl_Accounts[Account_Code], tbl_Accounts[Type])</f>
        <v>COGS</v>
      </c>
      <c r="S824" s="25" t="str">
        <f>_xlfn.XLOOKUP(tbl_Ledger[[#This Row],[Account_Code]], tbl_Accounts[Account_Code], tbl_Accounts[PL_Bucket])</f>
        <v>COGS</v>
      </c>
      <c r="T824" s="25">
        <f t="shared" si="12"/>
        <v>-1016000</v>
      </c>
    </row>
    <row r="825" spans="1:20">
      <c r="A825" t="s">
        <v>2235</v>
      </c>
      <c r="B825" s="7">
        <v>45891</v>
      </c>
      <c r="C825" t="s">
        <v>87</v>
      </c>
      <c r="D825" t="s">
        <v>88</v>
      </c>
      <c r="E825" t="s">
        <v>3</v>
      </c>
      <c r="F825" s="12" t="s">
        <v>40</v>
      </c>
      <c r="G825" t="s">
        <v>41</v>
      </c>
      <c r="H825" t="s">
        <v>1428</v>
      </c>
      <c r="I825" t="s">
        <v>71</v>
      </c>
      <c r="J825" s="6">
        <v>-522000</v>
      </c>
      <c r="K825" t="s">
        <v>90</v>
      </c>
      <c r="L825" t="s">
        <v>2236</v>
      </c>
      <c r="M825" t="s">
        <v>3</v>
      </c>
      <c r="N825" s="25" t="str">
        <f>TEXT(tbl_Ledger[[#This Row],[Date]],"yyyy-mm")</f>
        <v>2025-08</v>
      </c>
      <c r="O825" s="25" t="str">
        <f>TEXT(tbl_Ledger[[#This Row],[Date]],"yyyy-mm") &amp; TRIM(tbl_Ledger[[#This Row],[Currency]])</f>
        <v>2025-08NGN</v>
      </c>
      <c r="P825" s="25">
        <f>_xlfn.XLOOKUP(tbl_Ledger[[#This Row],[Key]], tbl_FX[Key], tbl_FX[Rate_to_NGN])</f>
        <v>1</v>
      </c>
      <c r="Q825" s="37">
        <f>IF(tbl_Ledger[[#This Row],[Account_Type]]="Expense",-ABS(tbl_Ledger[[#This Row],[Amount]]*tbl_Ledger[[#This Row],[Rate_to_NGN]]),tbl_Ledger[[#This Row],[Amount]]*tbl_Ledger[[#This Row],[Rate_to_NGN]])</f>
        <v>-522000</v>
      </c>
      <c r="R825" s="25" t="str">
        <f>_xlfn.XLOOKUP(tbl_Ledger[[#This Row],[Account_Code]], tbl_Accounts[Account_Code], tbl_Accounts[Type])</f>
        <v>COGS</v>
      </c>
      <c r="S825" s="25" t="str">
        <f>_xlfn.XLOOKUP(tbl_Ledger[[#This Row],[Account_Code]], tbl_Accounts[Account_Code], tbl_Accounts[PL_Bucket])</f>
        <v>COGS</v>
      </c>
      <c r="T825" s="25">
        <f t="shared" si="12"/>
        <v>-522000</v>
      </c>
    </row>
    <row r="826" spans="1:20">
      <c r="A826" t="s">
        <v>2237</v>
      </c>
      <c r="B826" s="7">
        <v>45892</v>
      </c>
      <c r="C826" t="s">
        <v>93</v>
      </c>
      <c r="D826" t="s">
        <v>94</v>
      </c>
      <c r="E826" t="s">
        <v>95</v>
      </c>
      <c r="F826" s="12" t="s">
        <v>24</v>
      </c>
      <c r="G826" t="s">
        <v>25</v>
      </c>
      <c r="H826" t="s">
        <v>2238</v>
      </c>
      <c r="I826" t="s">
        <v>71</v>
      </c>
      <c r="J826" s="6">
        <v>38400</v>
      </c>
      <c r="K826" t="s">
        <v>3</v>
      </c>
      <c r="L826" t="s">
        <v>2239</v>
      </c>
      <c r="M826" t="s">
        <v>3</v>
      </c>
      <c r="N826" s="25" t="str">
        <f>TEXT(tbl_Ledger[[#This Row],[Date]],"yyyy-mm")</f>
        <v>2025-08</v>
      </c>
      <c r="O826" s="25" t="str">
        <f>TEXT(tbl_Ledger[[#This Row],[Date]],"yyyy-mm") &amp; TRIM(tbl_Ledger[[#This Row],[Currency]])</f>
        <v>2025-08NGN</v>
      </c>
      <c r="P826" s="25">
        <f>_xlfn.XLOOKUP(tbl_Ledger[[#This Row],[Key]], tbl_FX[Key], tbl_FX[Rate_to_NGN])</f>
        <v>1</v>
      </c>
      <c r="Q826" s="37">
        <f>IF(tbl_Ledger[[#This Row],[Account_Type]]="Expense",-ABS(tbl_Ledger[[#This Row],[Amount]]*tbl_Ledger[[#This Row],[Rate_to_NGN]]),tbl_Ledger[[#This Row],[Amount]]*tbl_Ledger[[#This Row],[Rate_to_NGN]])</f>
        <v>38400</v>
      </c>
      <c r="R826" s="25" t="str">
        <f>_xlfn.XLOOKUP(tbl_Ledger[[#This Row],[Account_Code]], tbl_Accounts[Account_Code], tbl_Accounts[Type])</f>
        <v>Revenue</v>
      </c>
      <c r="S826" s="25" t="str">
        <f>_xlfn.XLOOKUP(tbl_Ledger[[#This Row],[Account_Code]], tbl_Accounts[Account_Code], tbl_Accounts[PL_Bucket])</f>
        <v>Revenue</v>
      </c>
      <c r="T826" s="25">
        <f t="shared" si="12"/>
        <v>38400</v>
      </c>
    </row>
    <row r="827" spans="1:20">
      <c r="A827" t="s">
        <v>2240</v>
      </c>
      <c r="B827" s="7">
        <v>45892</v>
      </c>
      <c r="C827" t="s">
        <v>93</v>
      </c>
      <c r="D827" t="s">
        <v>94</v>
      </c>
      <c r="E827" t="s">
        <v>99</v>
      </c>
      <c r="F827" s="12" t="s">
        <v>24</v>
      </c>
      <c r="G827" t="s">
        <v>25</v>
      </c>
      <c r="H827" t="s">
        <v>2241</v>
      </c>
      <c r="I827" t="s">
        <v>71</v>
      </c>
      <c r="J827" s="6">
        <v>37000</v>
      </c>
      <c r="K827" t="s">
        <v>3</v>
      </c>
      <c r="L827" t="s">
        <v>2242</v>
      </c>
      <c r="M827" t="s">
        <v>3</v>
      </c>
      <c r="N827" s="25" t="str">
        <f>TEXT(tbl_Ledger[[#This Row],[Date]],"yyyy-mm")</f>
        <v>2025-08</v>
      </c>
      <c r="O827" s="25" t="str">
        <f>TEXT(tbl_Ledger[[#This Row],[Date]],"yyyy-mm") &amp; TRIM(tbl_Ledger[[#This Row],[Currency]])</f>
        <v>2025-08NGN</v>
      </c>
      <c r="P827" s="25">
        <f>_xlfn.XLOOKUP(tbl_Ledger[[#This Row],[Key]], tbl_FX[Key], tbl_FX[Rate_to_NGN])</f>
        <v>1</v>
      </c>
      <c r="Q827" s="37">
        <f>IF(tbl_Ledger[[#This Row],[Account_Type]]="Expense",-ABS(tbl_Ledger[[#This Row],[Amount]]*tbl_Ledger[[#This Row],[Rate_to_NGN]]),tbl_Ledger[[#This Row],[Amount]]*tbl_Ledger[[#This Row],[Rate_to_NGN]])</f>
        <v>37000</v>
      </c>
      <c r="R827" s="25" t="str">
        <f>_xlfn.XLOOKUP(tbl_Ledger[[#This Row],[Account_Code]], tbl_Accounts[Account_Code], tbl_Accounts[Type])</f>
        <v>Revenue</v>
      </c>
      <c r="S827" s="25" t="str">
        <f>_xlfn.XLOOKUP(tbl_Ledger[[#This Row],[Account_Code]], tbl_Accounts[Account_Code], tbl_Accounts[PL_Bucket])</f>
        <v>Revenue</v>
      </c>
      <c r="T827" s="25">
        <f t="shared" si="12"/>
        <v>37000</v>
      </c>
    </row>
    <row r="828" spans="1:20">
      <c r="A828" t="s">
        <v>2243</v>
      </c>
      <c r="B828" s="7">
        <v>45892</v>
      </c>
      <c r="C828" t="s">
        <v>93</v>
      </c>
      <c r="D828" t="s">
        <v>94</v>
      </c>
      <c r="E828" t="s">
        <v>103</v>
      </c>
      <c r="F828" s="12" t="s">
        <v>24</v>
      </c>
      <c r="G828" t="s">
        <v>25</v>
      </c>
      <c r="H828" t="s">
        <v>2244</v>
      </c>
      <c r="I828" t="s">
        <v>71</v>
      </c>
      <c r="J828" s="6">
        <v>40300</v>
      </c>
      <c r="K828" t="s">
        <v>3</v>
      </c>
      <c r="L828" t="s">
        <v>2245</v>
      </c>
      <c r="M828" t="s">
        <v>3</v>
      </c>
      <c r="N828" s="25" t="str">
        <f>TEXT(tbl_Ledger[[#This Row],[Date]],"yyyy-mm")</f>
        <v>2025-08</v>
      </c>
      <c r="O828" s="25" t="str">
        <f>TEXT(tbl_Ledger[[#This Row],[Date]],"yyyy-mm") &amp; TRIM(tbl_Ledger[[#This Row],[Currency]])</f>
        <v>2025-08NGN</v>
      </c>
      <c r="P828" s="25">
        <f>_xlfn.XLOOKUP(tbl_Ledger[[#This Row],[Key]], tbl_FX[Key], tbl_FX[Rate_to_NGN])</f>
        <v>1</v>
      </c>
      <c r="Q828" s="37">
        <f>IF(tbl_Ledger[[#This Row],[Account_Type]]="Expense",-ABS(tbl_Ledger[[#This Row],[Amount]]*tbl_Ledger[[#This Row],[Rate_to_NGN]]),tbl_Ledger[[#This Row],[Amount]]*tbl_Ledger[[#This Row],[Rate_to_NGN]])</f>
        <v>40300</v>
      </c>
      <c r="R828" s="25" t="str">
        <f>_xlfn.XLOOKUP(tbl_Ledger[[#This Row],[Account_Code]], tbl_Accounts[Account_Code], tbl_Accounts[Type])</f>
        <v>Revenue</v>
      </c>
      <c r="S828" s="25" t="str">
        <f>_xlfn.XLOOKUP(tbl_Ledger[[#This Row],[Account_Code]], tbl_Accounts[Account_Code], tbl_Accounts[PL_Bucket])</f>
        <v>Revenue</v>
      </c>
      <c r="T828" s="25">
        <f t="shared" si="12"/>
        <v>40300</v>
      </c>
    </row>
    <row r="829" spans="1:20">
      <c r="A829" t="s">
        <v>2246</v>
      </c>
      <c r="B829" s="7">
        <v>45892</v>
      </c>
      <c r="C829" t="s">
        <v>93</v>
      </c>
      <c r="D829" t="s">
        <v>94</v>
      </c>
      <c r="E829" t="s">
        <v>160</v>
      </c>
      <c r="F829" s="12" t="s">
        <v>24</v>
      </c>
      <c r="G829" t="s">
        <v>25</v>
      </c>
      <c r="H829" t="s">
        <v>2247</v>
      </c>
      <c r="I829" t="s">
        <v>71</v>
      </c>
      <c r="J829" s="6">
        <v>35800</v>
      </c>
      <c r="K829" t="s">
        <v>3</v>
      </c>
      <c r="L829" t="s">
        <v>2245</v>
      </c>
      <c r="M829" t="s">
        <v>3</v>
      </c>
      <c r="N829" s="25" t="str">
        <f>TEXT(tbl_Ledger[[#This Row],[Date]],"yyyy-mm")</f>
        <v>2025-08</v>
      </c>
      <c r="O829" s="25" t="str">
        <f>TEXT(tbl_Ledger[[#This Row],[Date]],"yyyy-mm") &amp; TRIM(tbl_Ledger[[#This Row],[Currency]])</f>
        <v>2025-08NGN</v>
      </c>
      <c r="P829" s="25">
        <f>_xlfn.XLOOKUP(tbl_Ledger[[#This Row],[Key]], tbl_FX[Key], tbl_FX[Rate_to_NGN])</f>
        <v>1</v>
      </c>
      <c r="Q829" s="37">
        <f>IF(tbl_Ledger[[#This Row],[Account_Type]]="Expense",-ABS(tbl_Ledger[[#This Row],[Amount]]*tbl_Ledger[[#This Row],[Rate_to_NGN]]),tbl_Ledger[[#This Row],[Amount]]*tbl_Ledger[[#This Row],[Rate_to_NGN]])</f>
        <v>35800</v>
      </c>
      <c r="R829" s="25" t="str">
        <f>_xlfn.XLOOKUP(tbl_Ledger[[#This Row],[Account_Code]], tbl_Accounts[Account_Code], tbl_Accounts[Type])</f>
        <v>Revenue</v>
      </c>
      <c r="S829" s="25" t="str">
        <f>_xlfn.XLOOKUP(tbl_Ledger[[#This Row],[Account_Code]], tbl_Accounts[Account_Code], tbl_Accounts[PL_Bucket])</f>
        <v>Revenue</v>
      </c>
      <c r="T829" s="25">
        <f t="shared" si="12"/>
        <v>35800</v>
      </c>
    </row>
    <row r="830" spans="1:20">
      <c r="A830" t="s">
        <v>2248</v>
      </c>
      <c r="B830" s="7">
        <v>45892</v>
      </c>
      <c r="C830" t="s">
        <v>93</v>
      </c>
      <c r="D830" t="s">
        <v>94</v>
      </c>
      <c r="E830" t="s">
        <v>107</v>
      </c>
      <c r="F830" s="12" t="s">
        <v>24</v>
      </c>
      <c r="G830" t="s">
        <v>25</v>
      </c>
      <c r="H830" t="s">
        <v>2249</v>
      </c>
      <c r="I830" t="s">
        <v>71</v>
      </c>
      <c r="J830" s="6">
        <v>38200</v>
      </c>
      <c r="K830" t="s">
        <v>3</v>
      </c>
      <c r="L830" t="s">
        <v>2250</v>
      </c>
      <c r="M830" t="s">
        <v>3</v>
      </c>
      <c r="N830" s="25" t="str">
        <f>TEXT(tbl_Ledger[[#This Row],[Date]],"yyyy-mm")</f>
        <v>2025-08</v>
      </c>
      <c r="O830" s="25" t="str">
        <f>TEXT(tbl_Ledger[[#This Row],[Date]],"yyyy-mm") &amp; TRIM(tbl_Ledger[[#This Row],[Currency]])</f>
        <v>2025-08NGN</v>
      </c>
      <c r="P830" s="25">
        <f>_xlfn.XLOOKUP(tbl_Ledger[[#This Row],[Key]], tbl_FX[Key], tbl_FX[Rate_to_NGN])</f>
        <v>1</v>
      </c>
      <c r="Q830" s="37">
        <f>IF(tbl_Ledger[[#This Row],[Account_Type]]="Expense",-ABS(tbl_Ledger[[#This Row],[Amount]]*tbl_Ledger[[#This Row],[Rate_to_NGN]]),tbl_Ledger[[#This Row],[Amount]]*tbl_Ledger[[#This Row],[Rate_to_NGN]])</f>
        <v>38200</v>
      </c>
      <c r="R830" s="25" t="str">
        <f>_xlfn.XLOOKUP(tbl_Ledger[[#This Row],[Account_Code]], tbl_Accounts[Account_Code], tbl_Accounts[Type])</f>
        <v>Revenue</v>
      </c>
      <c r="S830" s="25" t="str">
        <f>_xlfn.XLOOKUP(tbl_Ledger[[#This Row],[Account_Code]], tbl_Accounts[Account_Code], tbl_Accounts[PL_Bucket])</f>
        <v>Revenue</v>
      </c>
      <c r="T830" s="25">
        <f t="shared" si="12"/>
        <v>38200</v>
      </c>
    </row>
    <row r="831" spans="1:20">
      <c r="A831" t="s">
        <v>2251</v>
      </c>
      <c r="B831" s="7">
        <v>45892</v>
      </c>
      <c r="C831" t="s">
        <v>93</v>
      </c>
      <c r="D831" t="s">
        <v>111</v>
      </c>
      <c r="E831" t="s">
        <v>116</v>
      </c>
      <c r="F831" s="12" t="s">
        <v>24</v>
      </c>
      <c r="G831" t="s">
        <v>25</v>
      </c>
      <c r="H831" t="s">
        <v>2252</v>
      </c>
      <c r="I831" t="s">
        <v>71</v>
      </c>
      <c r="J831" s="6">
        <v>60100</v>
      </c>
      <c r="K831" t="s">
        <v>3</v>
      </c>
      <c r="L831" t="s">
        <v>2253</v>
      </c>
      <c r="M831" t="s">
        <v>3</v>
      </c>
      <c r="N831" s="25" t="str">
        <f>TEXT(tbl_Ledger[[#This Row],[Date]],"yyyy-mm")</f>
        <v>2025-08</v>
      </c>
      <c r="O831" s="25" t="str">
        <f>TEXT(tbl_Ledger[[#This Row],[Date]],"yyyy-mm") &amp; TRIM(tbl_Ledger[[#This Row],[Currency]])</f>
        <v>2025-08NGN</v>
      </c>
      <c r="P831" s="25">
        <f>_xlfn.XLOOKUP(tbl_Ledger[[#This Row],[Key]], tbl_FX[Key], tbl_FX[Rate_to_NGN])</f>
        <v>1</v>
      </c>
      <c r="Q831" s="37">
        <f>IF(tbl_Ledger[[#This Row],[Account_Type]]="Expense",-ABS(tbl_Ledger[[#This Row],[Amount]]*tbl_Ledger[[#This Row],[Rate_to_NGN]]),tbl_Ledger[[#This Row],[Amount]]*tbl_Ledger[[#This Row],[Rate_to_NGN]])</f>
        <v>60100</v>
      </c>
      <c r="R831" s="25" t="str">
        <f>_xlfn.XLOOKUP(tbl_Ledger[[#This Row],[Account_Code]], tbl_Accounts[Account_Code], tbl_Accounts[Type])</f>
        <v>Revenue</v>
      </c>
      <c r="S831" s="25" t="str">
        <f>_xlfn.XLOOKUP(tbl_Ledger[[#This Row],[Account_Code]], tbl_Accounts[Account_Code], tbl_Accounts[PL_Bucket])</f>
        <v>Revenue</v>
      </c>
      <c r="T831" s="25">
        <f t="shared" si="12"/>
        <v>60100</v>
      </c>
    </row>
    <row r="832" spans="1:20">
      <c r="A832" t="s">
        <v>2254</v>
      </c>
      <c r="B832" s="7">
        <v>45892</v>
      </c>
      <c r="C832" t="s">
        <v>93</v>
      </c>
      <c r="D832" t="s">
        <v>111</v>
      </c>
      <c r="E832" t="s">
        <v>119</v>
      </c>
      <c r="F832" s="12" t="s">
        <v>24</v>
      </c>
      <c r="G832" t="s">
        <v>25</v>
      </c>
      <c r="H832" t="s">
        <v>2255</v>
      </c>
      <c r="I832" t="s">
        <v>71</v>
      </c>
      <c r="J832" s="6">
        <v>65100</v>
      </c>
      <c r="K832" t="s">
        <v>3</v>
      </c>
      <c r="L832" t="s">
        <v>2253</v>
      </c>
      <c r="M832" t="s">
        <v>3</v>
      </c>
      <c r="N832" s="25" t="str">
        <f>TEXT(tbl_Ledger[[#This Row],[Date]],"yyyy-mm")</f>
        <v>2025-08</v>
      </c>
      <c r="O832" s="25" t="str">
        <f>TEXT(tbl_Ledger[[#This Row],[Date]],"yyyy-mm") &amp; TRIM(tbl_Ledger[[#This Row],[Currency]])</f>
        <v>2025-08NGN</v>
      </c>
      <c r="P832" s="25">
        <f>_xlfn.XLOOKUP(tbl_Ledger[[#This Row],[Key]], tbl_FX[Key], tbl_FX[Rate_to_NGN])</f>
        <v>1</v>
      </c>
      <c r="Q832" s="37">
        <f>IF(tbl_Ledger[[#This Row],[Account_Type]]="Expense",-ABS(tbl_Ledger[[#This Row],[Amount]]*tbl_Ledger[[#This Row],[Rate_to_NGN]]),tbl_Ledger[[#This Row],[Amount]]*tbl_Ledger[[#This Row],[Rate_to_NGN]])</f>
        <v>65100</v>
      </c>
      <c r="R832" s="25" t="str">
        <f>_xlfn.XLOOKUP(tbl_Ledger[[#This Row],[Account_Code]], tbl_Accounts[Account_Code], tbl_Accounts[Type])</f>
        <v>Revenue</v>
      </c>
      <c r="S832" s="25" t="str">
        <f>_xlfn.XLOOKUP(tbl_Ledger[[#This Row],[Account_Code]], tbl_Accounts[Account_Code], tbl_Accounts[PL_Bucket])</f>
        <v>Revenue</v>
      </c>
      <c r="T832" s="25">
        <f t="shared" si="12"/>
        <v>65100</v>
      </c>
    </row>
    <row r="833" spans="1:20">
      <c r="A833" t="s">
        <v>2256</v>
      </c>
      <c r="B833" s="7">
        <v>45892</v>
      </c>
      <c r="C833" t="s">
        <v>93</v>
      </c>
      <c r="D833" t="s">
        <v>111</v>
      </c>
      <c r="E833" t="s">
        <v>170</v>
      </c>
      <c r="F833" s="12" t="s">
        <v>24</v>
      </c>
      <c r="G833" t="s">
        <v>25</v>
      </c>
      <c r="H833" t="s">
        <v>2257</v>
      </c>
      <c r="I833" t="s">
        <v>71</v>
      </c>
      <c r="J833" s="6">
        <v>64500</v>
      </c>
      <c r="K833" t="s">
        <v>3</v>
      </c>
      <c r="L833" t="s">
        <v>2253</v>
      </c>
      <c r="M833" t="s">
        <v>3</v>
      </c>
      <c r="N833" s="25" t="str">
        <f>TEXT(tbl_Ledger[[#This Row],[Date]],"yyyy-mm")</f>
        <v>2025-08</v>
      </c>
      <c r="O833" s="25" t="str">
        <f>TEXT(tbl_Ledger[[#This Row],[Date]],"yyyy-mm") &amp; TRIM(tbl_Ledger[[#This Row],[Currency]])</f>
        <v>2025-08NGN</v>
      </c>
      <c r="P833" s="25">
        <f>_xlfn.XLOOKUP(tbl_Ledger[[#This Row],[Key]], tbl_FX[Key], tbl_FX[Rate_to_NGN])</f>
        <v>1</v>
      </c>
      <c r="Q833" s="37">
        <f>IF(tbl_Ledger[[#This Row],[Account_Type]]="Expense",-ABS(tbl_Ledger[[#This Row],[Amount]]*tbl_Ledger[[#This Row],[Rate_to_NGN]]),tbl_Ledger[[#This Row],[Amount]]*tbl_Ledger[[#This Row],[Rate_to_NGN]])</f>
        <v>64500</v>
      </c>
      <c r="R833" s="25" t="str">
        <f>_xlfn.XLOOKUP(tbl_Ledger[[#This Row],[Account_Code]], tbl_Accounts[Account_Code], tbl_Accounts[Type])</f>
        <v>Revenue</v>
      </c>
      <c r="S833" s="25" t="str">
        <f>_xlfn.XLOOKUP(tbl_Ledger[[#This Row],[Account_Code]], tbl_Accounts[Account_Code], tbl_Accounts[PL_Bucket])</f>
        <v>Revenue</v>
      </c>
      <c r="T833" s="25">
        <f t="shared" si="12"/>
        <v>64500</v>
      </c>
    </row>
    <row r="834" spans="1:20">
      <c r="A834" t="s">
        <v>2258</v>
      </c>
      <c r="B834" s="7">
        <v>45892</v>
      </c>
      <c r="C834" t="s">
        <v>126</v>
      </c>
      <c r="D834" t="s">
        <v>88</v>
      </c>
      <c r="E834" t="s">
        <v>127</v>
      </c>
      <c r="F834" s="12" t="s">
        <v>29</v>
      </c>
      <c r="G834" t="s">
        <v>30</v>
      </c>
      <c r="H834" t="s">
        <v>2259</v>
      </c>
      <c r="I834" t="s">
        <v>72</v>
      </c>
      <c r="J834" s="6">
        <v>28.88</v>
      </c>
      <c r="K834" t="s">
        <v>129</v>
      </c>
      <c r="L834" t="s">
        <v>2260</v>
      </c>
      <c r="M834" t="s">
        <v>3</v>
      </c>
      <c r="N834" s="25" t="str">
        <f>TEXT(tbl_Ledger[[#This Row],[Date]],"yyyy-mm")</f>
        <v>2025-08</v>
      </c>
      <c r="O834" s="25" t="str">
        <f>TEXT(tbl_Ledger[[#This Row],[Date]],"yyyy-mm") &amp; TRIM(tbl_Ledger[[#This Row],[Currency]])</f>
        <v>2025-08USD</v>
      </c>
      <c r="P834" s="25">
        <f>_xlfn.XLOOKUP(tbl_Ledger[[#This Row],[Key]], tbl_FX[Key], tbl_FX[Rate_to_NGN])</f>
        <v>1572</v>
      </c>
      <c r="Q834" s="37">
        <f>IF(tbl_Ledger[[#This Row],[Account_Type]]="Expense",-ABS(tbl_Ledger[[#This Row],[Amount]]*tbl_Ledger[[#This Row],[Rate_to_NGN]]),tbl_Ledger[[#This Row],[Amount]]*tbl_Ledger[[#This Row],[Rate_to_NGN]])</f>
        <v>45399.360000000001</v>
      </c>
      <c r="R834" s="25" t="str">
        <f>_xlfn.XLOOKUP(tbl_Ledger[[#This Row],[Account_Code]], tbl_Accounts[Account_Code], tbl_Accounts[Type])</f>
        <v>Revenue</v>
      </c>
      <c r="S834" s="25" t="str">
        <f>_xlfn.XLOOKUP(tbl_Ledger[[#This Row],[Account_Code]], tbl_Accounts[Account_Code], tbl_Accounts[PL_Bucket])</f>
        <v>Revenue</v>
      </c>
      <c r="T834" s="25">
        <f t="shared" ref="T834:T897" si="13">IF(AND(S834="Revenue",F834&lt;&gt;4900),ABS(Q834),-ABS(Q834))</f>
        <v>45399.360000000001</v>
      </c>
    </row>
    <row r="835" spans="1:20">
      <c r="A835" t="s">
        <v>2261</v>
      </c>
      <c r="B835" s="7">
        <v>45892</v>
      </c>
      <c r="C835" t="s">
        <v>126</v>
      </c>
      <c r="D835" t="s">
        <v>88</v>
      </c>
      <c r="E835" t="s">
        <v>132</v>
      </c>
      <c r="F835" s="12" t="s">
        <v>29</v>
      </c>
      <c r="G835" t="s">
        <v>30</v>
      </c>
      <c r="H835" t="s">
        <v>2262</v>
      </c>
      <c r="I835" t="s">
        <v>71</v>
      </c>
      <c r="J835" s="6">
        <v>47800</v>
      </c>
      <c r="K835" t="s">
        <v>134</v>
      </c>
      <c r="L835" t="s">
        <v>2260</v>
      </c>
      <c r="M835" t="s">
        <v>3</v>
      </c>
      <c r="N835" s="25" t="str">
        <f>TEXT(tbl_Ledger[[#This Row],[Date]],"yyyy-mm")</f>
        <v>2025-08</v>
      </c>
      <c r="O835" s="25" t="str">
        <f>TEXT(tbl_Ledger[[#This Row],[Date]],"yyyy-mm") &amp; TRIM(tbl_Ledger[[#This Row],[Currency]])</f>
        <v>2025-08NGN</v>
      </c>
      <c r="P835" s="25">
        <f>_xlfn.XLOOKUP(tbl_Ledger[[#This Row],[Key]], tbl_FX[Key], tbl_FX[Rate_to_NGN])</f>
        <v>1</v>
      </c>
      <c r="Q835" s="37">
        <f>IF(tbl_Ledger[[#This Row],[Account_Type]]="Expense",-ABS(tbl_Ledger[[#This Row],[Amount]]*tbl_Ledger[[#This Row],[Rate_to_NGN]]),tbl_Ledger[[#This Row],[Amount]]*tbl_Ledger[[#This Row],[Rate_to_NGN]])</f>
        <v>47800</v>
      </c>
      <c r="R835" s="25" t="str">
        <f>_xlfn.XLOOKUP(tbl_Ledger[[#This Row],[Account_Code]], tbl_Accounts[Account_Code], tbl_Accounts[Type])</f>
        <v>Revenue</v>
      </c>
      <c r="S835" s="25" t="str">
        <f>_xlfn.XLOOKUP(tbl_Ledger[[#This Row],[Account_Code]], tbl_Accounts[Account_Code], tbl_Accounts[PL_Bucket])</f>
        <v>Revenue</v>
      </c>
      <c r="T835" s="25">
        <f t="shared" si="13"/>
        <v>47800</v>
      </c>
    </row>
    <row r="836" spans="1:20">
      <c r="A836" t="s">
        <v>2263</v>
      </c>
      <c r="B836" s="7">
        <v>45892</v>
      </c>
      <c r="C836" t="s">
        <v>126</v>
      </c>
      <c r="D836" t="s">
        <v>88</v>
      </c>
      <c r="E836" t="s">
        <v>136</v>
      </c>
      <c r="F836" s="12" t="s">
        <v>29</v>
      </c>
      <c r="G836" t="s">
        <v>30</v>
      </c>
      <c r="H836" t="s">
        <v>2264</v>
      </c>
      <c r="I836" t="s">
        <v>72</v>
      </c>
      <c r="J836" s="6">
        <v>27.93</v>
      </c>
      <c r="K836" t="s">
        <v>138</v>
      </c>
      <c r="L836" t="s">
        <v>2260</v>
      </c>
      <c r="M836" t="s">
        <v>3</v>
      </c>
      <c r="N836" s="25" t="str">
        <f>TEXT(tbl_Ledger[[#This Row],[Date]],"yyyy-mm")</f>
        <v>2025-08</v>
      </c>
      <c r="O836" s="25" t="str">
        <f>TEXT(tbl_Ledger[[#This Row],[Date]],"yyyy-mm") &amp; TRIM(tbl_Ledger[[#This Row],[Currency]])</f>
        <v>2025-08USD</v>
      </c>
      <c r="P836" s="25">
        <f>_xlfn.XLOOKUP(tbl_Ledger[[#This Row],[Key]], tbl_FX[Key], tbl_FX[Rate_to_NGN])</f>
        <v>1572</v>
      </c>
      <c r="Q836" s="37">
        <f>IF(tbl_Ledger[[#This Row],[Account_Type]]="Expense",-ABS(tbl_Ledger[[#This Row],[Amount]]*tbl_Ledger[[#This Row],[Rate_to_NGN]]),tbl_Ledger[[#This Row],[Amount]]*tbl_Ledger[[#This Row],[Rate_to_NGN]])</f>
        <v>43905.96</v>
      </c>
      <c r="R836" s="25" t="str">
        <f>_xlfn.XLOOKUP(tbl_Ledger[[#This Row],[Account_Code]], tbl_Accounts[Account_Code], tbl_Accounts[Type])</f>
        <v>Revenue</v>
      </c>
      <c r="S836" s="25" t="str">
        <f>_xlfn.XLOOKUP(tbl_Ledger[[#This Row],[Account_Code]], tbl_Accounts[Account_Code], tbl_Accounts[PL_Bucket])</f>
        <v>Revenue</v>
      </c>
      <c r="T836" s="25">
        <f t="shared" si="13"/>
        <v>43905.96</v>
      </c>
    </row>
    <row r="837" spans="1:20">
      <c r="A837" t="s">
        <v>2265</v>
      </c>
      <c r="B837" s="7">
        <v>45892</v>
      </c>
      <c r="C837" t="s">
        <v>126</v>
      </c>
      <c r="D837" t="s">
        <v>88</v>
      </c>
      <c r="E837" t="s">
        <v>140</v>
      </c>
      <c r="F837" s="12" t="s">
        <v>29</v>
      </c>
      <c r="G837" t="s">
        <v>30</v>
      </c>
      <c r="H837" t="s">
        <v>2266</v>
      </c>
      <c r="I837" t="s">
        <v>71</v>
      </c>
      <c r="J837" s="6">
        <v>43500</v>
      </c>
      <c r="K837" t="s">
        <v>3</v>
      </c>
      <c r="L837" t="s">
        <v>2267</v>
      </c>
      <c r="M837" t="s">
        <v>3</v>
      </c>
      <c r="N837" s="25" t="str">
        <f>TEXT(tbl_Ledger[[#This Row],[Date]],"yyyy-mm")</f>
        <v>2025-08</v>
      </c>
      <c r="O837" s="25" t="str">
        <f>TEXT(tbl_Ledger[[#This Row],[Date]],"yyyy-mm") &amp; TRIM(tbl_Ledger[[#This Row],[Currency]])</f>
        <v>2025-08NGN</v>
      </c>
      <c r="P837" s="25">
        <f>_xlfn.XLOOKUP(tbl_Ledger[[#This Row],[Key]], tbl_FX[Key], tbl_FX[Rate_to_NGN])</f>
        <v>1</v>
      </c>
      <c r="Q837" s="37">
        <f>IF(tbl_Ledger[[#This Row],[Account_Type]]="Expense",-ABS(tbl_Ledger[[#This Row],[Amount]]*tbl_Ledger[[#This Row],[Rate_to_NGN]]),tbl_Ledger[[#This Row],[Amount]]*tbl_Ledger[[#This Row],[Rate_to_NGN]])</f>
        <v>43500</v>
      </c>
      <c r="R837" s="25" t="str">
        <f>_xlfn.XLOOKUP(tbl_Ledger[[#This Row],[Account_Code]], tbl_Accounts[Account_Code], tbl_Accounts[Type])</f>
        <v>Revenue</v>
      </c>
      <c r="S837" s="25" t="str">
        <f>_xlfn.XLOOKUP(tbl_Ledger[[#This Row],[Account_Code]], tbl_Accounts[Account_Code], tbl_Accounts[PL_Bucket])</f>
        <v>Revenue</v>
      </c>
      <c r="T837" s="25">
        <f t="shared" si="13"/>
        <v>43500</v>
      </c>
    </row>
    <row r="838" spans="1:20">
      <c r="A838" t="s">
        <v>2268</v>
      </c>
      <c r="B838" s="7">
        <v>45892</v>
      </c>
      <c r="C838" t="s">
        <v>87</v>
      </c>
      <c r="D838" t="s">
        <v>111</v>
      </c>
      <c r="E838" t="s">
        <v>3</v>
      </c>
      <c r="F838" s="12" t="s">
        <v>38</v>
      </c>
      <c r="G838" t="s">
        <v>39</v>
      </c>
      <c r="H838" t="s">
        <v>1423</v>
      </c>
      <c r="I838" t="s">
        <v>71</v>
      </c>
      <c r="J838" s="6">
        <v>-99000</v>
      </c>
      <c r="K838" t="s">
        <v>276</v>
      </c>
      <c r="L838" t="s">
        <v>2269</v>
      </c>
      <c r="M838" t="s">
        <v>3</v>
      </c>
      <c r="N838" s="25" t="str">
        <f>TEXT(tbl_Ledger[[#This Row],[Date]],"yyyy-mm")</f>
        <v>2025-08</v>
      </c>
      <c r="O838" s="25" t="str">
        <f>TEXT(tbl_Ledger[[#This Row],[Date]],"yyyy-mm") &amp; TRIM(tbl_Ledger[[#This Row],[Currency]])</f>
        <v>2025-08NGN</v>
      </c>
      <c r="P838" s="25">
        <f>_xlfn.XLOOKUP(tbl_Ledger[[#This Row],[Key]], tbl_FX[Key], tbl_FX[Rate_to_NGN])</f>
        <v>1</v>
      </c>
      <c r="Q838" s="37">
        <f>IF(tbl_Ledger[[#This Row],[Account_Type]]="Expense",-ABS(tbl_Ledger[[#This Row],[Amount]]*tbl_Ledger[[#This Row],[Rate_to_NGN]]),tbl_Ledger[[#This Row],[Amount]]*tbl_Ledger[[#This Row],[Rate_to_NGN]])</f>
        <v>-99000</v>
      </c>
      <c r="R838" s="25" t="str">
        <f>_xlfn.XLOOKUP(tbl_Ledger[[#This Row],[Account_Code]], tbl_Accounts[Account_Code], tbl_Accounts[Type])</f>
        <v>COGS</v>
      </c>
      <c r="S838" s="25" t="str">
        <f>_xlfn.XLOOKUP(tbl_Ledger[[#This Row],[Account_Code]], tbl_Accounts[Account_Code], tbl_Accounts[PL_Bucket])</f>
        <v>COGS</v>
      </c>
      <c r="T838" s="25">
        <f t="shared" si="13"/>
        <v>-99000</v>
      </c>
    </row>
    <row r="839" spans="1:20">
      <c r="A839" t="s">
        <v>2270</v>
      </c>
      <c r="B839" s="7">
        <v>45893</v>
      </c>
      <c r="C839" t="s">
        <v>93</v>
      </c>
      <c r="D839" t="s">
        <v>94</v>
      </c>
      <c r="E839" t="s">
        <v>95</v>
      </c>
      <c r="F839" s="12" t="s">
        <v>24</v>
      </c>
      <c r="G839" t="s">
        <v>25</v>
      </c>
      <c r="H839" t="s">
        <v>2271</v>
      </c>
      <c r="I839" t="s">
        <v>71</v>
      </c>
      <c r="J839" s="6">
        <v>36200</v>
      </c>
      <c r="K839" t="s">
        <v>3</v>
      </c>
      <c r="L839" t="s">
        <v>2272</v>
      </c>
      <c r="M839" t="s">
        <v>3</v>
      </c>
      <c r="N839" s="25" t="str">
        <f>TEXT(tbl_Ledger[[#This Row],[Date]],"yyyy-mm")</f>
        <v>2025-08</v>
      </c>
      <c r="O839" s="25" t="str">
        <f>TEXT(tbl_Ledger[[#This Row],[Date]],"yyyy-mm") &amp; TRIM(tbl_Ledger[[#This Row],[Currency]])</f>
        <v>2025-08NGN</v>
      </c>
      <c r="P839" s="25">
        <f>_xlfn.XLOOKUP(tbl_Ledger[[#This Row],[Key]], tbl_FX[Key], tbl_FX[Rate_to_NGN])</f>
        <v>1</v>
      </c>
      <c r="Q839" s="37">
        <f>IF(tbl_Ledger[[#This Row],[Account_Type]]="Expense",-ABS(tbl_Ledger[[#This Row],[Amount]]*tbl_Ledger[[#This Row],[Rate_to_NGN]]),tbl_Ledger[[#This Row],[Amount]]*tbl_Ledger[[#This Row],[Rate_to_NGN]])</f>
        <v>36200</v>
      </c>
      <c r="R839" s="25" t="str">
        <f>_xlfn.XLOOKUP(tbl_Ledger[[#This Row],[Account_Code]], tbl_Accounts[Account_Code], tbl_Accounts[Type])</f>
        <v>Revenue</v>
      </c>
      <c r="S839" s="25" t="str">
        <f>_xlfn.XLOOKUP(tbl_Ledger[[#This Row],[Account_Code]], tbl_Accounts[Account_Code], tbl_Accounts[PL_Bucket])</f>
        <v>Revenue</v>
      </c>
      <c r="T839" s="25">
        <f t="shared" si="13"/>
        <v>36200</v>
      </c>
    </row>
    <row r="840" spans="1:20">
      <c r="A840" t="s">
        <v>2273</v>
      </c>
      <c r="B840" s="7">
        <v>45893</v>
      </c>
      <c r="C840" t="s">
        <v>93</v>
      </c>
      <c r="D840" t="s">
        <v>94</v>
      </c>
      <c r="E840" t="s">
        <v>99</v>
      </c>
      <c r="F840" s="12" t="s">
        <v>24</v>
      </c>
      <c r="G840" t="s">
        <v>25</v>
      </c>
      <c r="H840" t="s">
        <v>2274</v>
      </c>
      <c r="I840" t="s">
        <v>71</v>
      </c>
      <c r="J840" s="6">
        <v>36300</v>
      </c>
      <c r="K840" t="s">
        <v>3</v>
      </c>
      <c r="L840" t="s">
        <v>2275</v>
      </c>
      <c r="M840" t="s">
        <v>3</v>
      </c>
      <c r="N840" s="25" t="str">
        <f>TEXT(tbl_Ledger[[#This Row],[Date]],"yyyy-mm")</f>
        <v>2025-08</v>
      </c>
      <c r="O840" s="25" t="str">
        <f>TEXT(tbl_Ledger[[#This Row],[Date]],"yyyy-mm") &amp; TRIM(tbl_Ledger[[#This Row],[Currency]])</f>
        <v>2025-08NGN</v>
      </c>
      <c r="P840" s="25">
        <f>_xlfn.XLOOKUP(tbl_Ledger[[#This Row],[Key]], tbl_FX[Key], tbl_FX[Rate_to_NGN])</f>
        <v>1</v>
      </c>
      <c r="Q840" s="37">
        <f>IF(tbl_Ledger[[#This Row],[Account_Type]]="Expense",-ABS(tbl_Ledger[[#This Row],[Amount]]*tbl_Ledger[[#This Row],[Rate_to_NGN]]),tbl_Ledger[[#This Row],[Amount]]*tbl_Ledger[[#This Row],[Rate_to_NGN]])</f>
        <v>36300</v>
      </c>
      <c r="R840" s="25" t="str">
        <f>_xlfn.XLOOKUP(tbl_Ledger[[#This Row],[Account_Code]], tbl_Accounts[Account_Code], tbl_Accounts[Type])</f>
        <v>Revenue</v>
      </c>
      <c r="S840" s="25" t="str">
        <f>_xlfn.XLOOKUP(tbl_Ledger[[#This Row],[Account_Code]], tbl_Accounts[Account_Code], tbl_Accounts[PL_Bucket])</f>
        <v>Revenue</v>
      </c>
      <c r="T840" s="25">
        <f t="shared" si="13"/>
        <v>36300</v>
      </c>
    </row>
    <row r="841" spans="1:20">
      <c r="A841" t="s">
        <v>2276</v>
      </c>
      <c r="B841" s="7">
        <v>45893</v>
      </c>
      <c r="C841" t="s">
        <v>93</v>
      </c>
      <c r="D841" t="s">
        <v>94</v>
      </c>
      <c r="E841" t="s">
        <v>103</v>
      </c>
      <c r="F841" s="12" t="s">
        <v>24</v>
      </c>
      <c r="G841" t="s">
        <v>25</v>
      </c>
      <c r="H841" t="s">
        <v>2277</v>
      </c>
      <c r="I841" t="s">
        <v>71</v>
      </c>
      <c r="J841" s="6">
        <v>41000</v>
      </c>
      <c r="K841" t="s">
        <v>3</v>
      </c>
      <c r="L841" t="s">
        <v>2278</v>
      </c>
      <c r="M841" t="s">
        <v>3</v>
      </c>
      <c r="N841" s="25" t="str">
        <f>TEXT(tbl_Ledger[[#This Row],[Date]],"yyyy-mm")</f>
        <v>2025-08</v>
      </c>
      <c r="O841" s="25" t="str">
        <f>TEXT(tbl_Ledger[[#This Row],[Date]],"yyyy-mm") &amp; TRIM(tbl_Ledger[[#This Row],[Currency]])</f>
        <v>2025-08NGN</v>
      </c>
      <c r="P841" s="25">
        <f>_xlfn.XLOOKUP(tbl_Ledger[[#This Row],[Key]], tbl_FX[Key], tbl_FX[Rate_to_NGN])</f>
        <v>1</v>
      </c>
      <c r="Q841" s="37">
        <f>IF(tbl_Ledger[[#This Row],[Account_Type]]="Expense",-ABS(tbl_Ledger[[#This Row],[Amount]]*tbl_Ledger[[#This Row],[Rate_to_NGN]]),tbl_Ledger[[#This Row],[Amount]]*tbl_Ledger[[#This Row],[Rate_to_NGN]])</f>
        <v>41000</v>
      </c>
      <c r="R841" s="25" t="str">
        <f>_xlfn.XLOOKUP(tbl_Ledger[[#This Row],[Account_Code]], tbl_Accounts[Account_Code], tbl_Accounts[Type])</f>
        <v>Revenue</v>
      </c>
      <c r="S841" s="25" t="str">
        <f>_xlfn.XLOOKUP(tbl_Ledger[[#This Row],[Account_Code]], tbl_Accounts[Account_Code], tbl_Accounts[PL_Bucket])</f>
        <v>Revenue</v>
      </c>
      <c r="T841" s="25">
        <f t="shared" si="13"/>
        <v>41000</v>
      </c>
    </row>
    <row r="842" spans="1:20">
      <c r="A842" t="s">
        <v>2279</v>
      </c>
      <c r="B842" s="7">
        <v>45893</v>
      </c>
      <c r="C842" t="s">
        <v>93</v>
      </c>
      <c r="D842" t="s">
        <v>94</v>
      </c>
      <c r="E842" t="s">
        <v>160</v>
      </c>
      <c r="F842" s="12" t="s">
        <v>24</v>
      </c>
      <c r="G842" t="s">
        <v>25</v>
      </c>
      <c r="H842" t="s">
        <v>2280</v>
      </c>
      <c r="I842" t="s">
        <v>71</v>
      </c>
      <c r="J842" s="6">
        <v>38300</v>
      </c>
      <c r="K842" t="s">
        <v>3</v>
      </c>
      <c r="L842" t="s">
        <v>2278</v>
      </c>
      <c r="M842" t="s">
        <v>3</v>
      </c>
      <c r="N842" s="25" t="str">
        <f>TEXT(tbl_Ledger[[#This Row],[Date]],"yyyy-mm")</f>
        <v>2025-08</v>
      </c>
      <c r="O842" s="25" t="str">
        <f>TEXT(tbl_Ledger[[#This Row],[Date]],"yyyy-mm") &amp; TRIM(tbl_Ledger[[#This Row],[Currency]])</f>
        <v>2025-08NGN</v>
      </c>
      <c r="P842" s="25">
        <f>_xlfn.XLOOKUP(tbl_Ledger[[#This Row],[Key]], tbl_FX[Key], tbl_FX[Rate_to_NGN])</f>
        <v>1</v>
      </c>
      <c r="Q842" s="37">
        <f>IF(tbl_Ledger[[#This Row],[Account_Type]]="Expense",-ABS(tbl_Ledger[[#This Row],[Amount]]*tbl_Ledger[[#This Row],[Rate_to_NGN]]),tbl_Ledger[[#This Row],[Amount]]*tbl_Ledger[[#This Row],[Rate_to_NGN]])</f>
        <v>38300</v>
      </c>
      <c r="R842" s="25" t="str">
        <f>_xlfn.XLOOKUP(tbl_Ledger[[#This Row],[Account_Code]], tbl_Accounts[Account_Code], tbl_Accounts[Type])</f>
        <v>Revenue</v>
      </c>
      <c r="S842" s="25" t="str">
        <f>_xlfn.XLOOKUP(tbl_Ledger[[#This Row],[Account_Code]], tbl_Accounts[Account_Code], tbl_Accounts[PL_Bucket])</f>
        <v>Revenue</v>
      </c>
      <c r="T842" s="25">
        <f t="shared" si="13"/>
        <v>38300</v>
      </c>
    </row>
    <row r="843" spans="1:20">
      <c r="A843" t="s">
        <v>2281</v>
      </c>
      <c r="B843" s="7">
        <v>45893</v>
      </c>
      <c r="C843" t="s">
        <v>93</v>
      </c>
      <c r="D843" t="s">
        <v>94</v>
      </c>
      <c r="E843" t="s">
        <v>107</v>
      </c>
      <c r="F843" s="12" t="s">
        <v>24</v>
      </c>
      <c r="G843" t="s">
        <v>25</v>
      </c>
      <c r="H843" t="s">
        <v>2282</v>
      </c>
      <c r="I843" t="s">
        <v>71</v>
      </c>
      <c r="J843" s="6">
        <v>38400</v>
      </c>
      <c r="K843" t="s">
        <v>3</v>
      </c>
      <c r="L843" t="s">
        <v>2283</v>
      </c>
      <c r="M843" t="s">
        <v>3</v>
      </c>
      <c r="N843" s="25" t="str">
        <f>TEXT(tbl_Ledger[[#This Row],[Date]],"yyyy-mm")</f>
        <v>2025-08</v>
      </c>
      <c r="O843" s="25" t="str">
        <f>TEXT(tbl_Ledger[[#This Row],[Date]],"yyyy-mm") &amp; TRIM(tbl_Ledger[[#This Row],[Currency]])</f>
        <v>2025-08NGN</v>
      </c>
      <c r="P843" s="25">
        <f>_xlfn.XLOOKUP(tbl_Ledger[[#This Row],[Key]], tbl_FX[Key], tbl_FX[Rate_to_NGN])</f>
        <v>1</v>
      </c>
      <c r="Q843" s="37">
        <f>IF(tbl_Ledger[[#This Row],[Account_Type]]="Expense",-ABS(tbl_Ledger[[#This Row],[Amount]]*tbl_Ledger[[#This Row],[Rate_to_NGN]]),tbl_Ledger[[#This Row],[Amount]]*tbl_Ledger[[#This Row],[Rate_to_NGN]])</f>
        <v>38400</v>
      </c>
      <c r="R843" s="25" t="str">
        <f>_xlfn.XLOOKUP(tbl_Ledger[[#This Row],[Account_Code]], tbl_Accounts[Account_Code], tbl_Accounts[Type])</f>
        <v>Revenue</v>
      </c>
      <c r="S843" s="25" t="str">
        <f>_xlfn.XLOOKUP(tbl_Ledger[[#This Row],[Account_Code]], tbl_Accounts[Account_Code], tbl_Accounts[PL_Bucket])</f>
        <v>Revenue</v>
      </c>
      <c r="T843" s="25">
        <f t="shared" si="13"/>
        <v>38400</v>
      </c>
    </row>
    <row r="844" spans="1:20">
      <c r="A844" t="s">
        <v>2284</v>
      </c>
      <c r="B844" s="7">
        <v>45893</v>
      </c>
      <c r="C844" t="s">
        <v>93</v>
      </c>
      <c r="D844" t="s">
        <v>111</v>
      </c>
      <c r="E844" t="s">
        <v>112</v>
      </c>
      <c r="F844" s="12" t="s">
        <v>24</v>
      </c>
      <c r="G844" t="s">
        <v>25</v>
      </c>
      <c r="H844" t="s">
        <v>2285</v>
      </c>
      <c r="I844" t="s">
        <v>71</v>
      </c>
      <c r="J844" s="6">
        <v>66900</v>
      </c>
      <c r="K844" t="s">
        <v>3</v>
      </c>
      <c r="L844" t="s">
        <v>2286</v>
      </c>
      <c r="M844" t="s">
        <v>3</v>
      </c>
      <c r="N844" s="25" t="str">
        <f>TEXT(tbl_Ledger[[#This Row],[Date]],"yyyy-mm")</f>
        <v>2025-08</v>
      </c>
      <c r="O844" s="25" t="str">
        <f>TEXT(tbl_Ledger[[#This Row],[Date]],"yyyy-mm") &amp; TRIM(tbl_Ledger[[#This Row],[Currency]])</f>
        <v>2025-08NGN</v>
      </c>
      <c r="P844" s="25">
        <f>_xlfn.XLOOKUP(tbl_Ledger[[#This Row],[Key]], tbl_FX[Key], tbl_FX[Rate_to_NGN])</f>
        <v>1</v>
      </c>
      <c r="Q844" s="37">
        <f>IF(tbl_Ledger[[#This Row],[Account_Type]]="Expense",-ABS(tbl_Ledger[[#This Row],[Amount]]*tbl_Ledger[[#This Row],[Rate_to_NGN]]),tbl_Ledger[[#This Row],[Amount]]*tbl_Ledger[[#This Row],[Rate_to_NGN]])</f>
        <v>66900</v>
      </c>
      <c r="R844" s="25" t="str">
        <f>_xlfn.XLOOKUP(tbl_Ledger[[#This Row],[Account_Code]], tbl_Accounts[Account_Code], tbl_Accounts[Type])</f>
        <v>Revenue</v>
      </c>
      <c r="S844" s="25" t="str">
        <f>_xlfn.XLOOKUP(tbl_Ledger[[#This Row],[Account_Code]], tbl_Accounts[Account_Code], tbl_Accounts[PL_Bucket])</f>
        <v>Revenue</v>
      </c>
      <c r="T844" s="25">
        <f t="shared" si="13"/>
        <v>66900</v>
      </c>
    </row>
    <row r="845" spans="1:20">
      <c r="A845" t="s">
        <v>2287</v>
      </c>
      <c r="B845" s="7">
        <v>45893</v>
      </c>
      <c r="C845" t="s">
        <v>93</v>
      </c>
      <c r="D845" t="s">
        <v>111</v>
      </c>
      <c r="E845" t="s">
        <v>116</v>
      </c>
      <c r="F845" s="12" t="s">
        <v>24</v>
      </c>
      <c r="G845" t="s">
        <v>25</v>
      </c>
      <c r="H845" t="s">
        <v>2288</v>
      </c>
      <c r="I845" t="s">
        <v>71</v>
      </c>
      <c r="J845" s="6">
        <v>63300</v>
      </c>
      <c r="K845" t="s">
        <v>3</v>
      </c>
      <c r="L845" t="s">
        <v>2286</v>
      </c>
      <c r="M845" t="s">
        <v>3</v>
      </c>
      <c r="N845" s="25" t="str">
        <f>TEXT(tbl_Ledger[[#This Row],[Date]],"yyyy-mm")</f>
        <v>2025-08</v>
      </c>
      <c r="O845" s="25" t="str">
        <f>TEXT(tbl_Ledger[[#This Row],[Date]],"yyyy-mm") &amp; TRIM(tbl_Ledger[[#This Row],[Currency]])</f>
        <v>2025-08NGN</v>
      </c>
      <c r="P845" s="25">
        <f>_xlfn.XLOOKUP(tbl_Ledger[[#This Row],[Key]], tbl_FX[Key], tbl_FX[Rate_to_NGN])</f>
        <v>1</v>
      </c>
      <c r="Q845" s="37">
        <f>IF(tbl_Ledger[[#This Row],[Account_Type]]="Expense",-ABS(tbl_Ledger[[#This Row],[Amount]]*tbl_Ledger[[#This Row],[Rate_to_NGN]]),tbl_Ledger[[#This Row],[Amount]]*tbl_Ledger[[#This Row],[Rate_to_NGN]])</f>
        <v>63300</v>
      </c>
      <c r="R845" s="25" t="str">
        <f>_xlfn.XLOOKUP(tbl_Ledger[[#This Row],[Account_Code]], tbl_Accounts[Account_Code], tbl_Accounts[Type])</f>
        <v>Revenue</v>
      </c>
      <c r="S845" s="25" t="str">
        <f>_xlfn.XLOOKUP(tbl_Ledger[[#This Row],[Account_Code]], tbl_Accounts[Account_Code], tbl_Accounts[PL_Bucket])</f>
        <v>Revenue</v>
      </c>
      <c r="T845" s="25">
        <f t="shared" si="13"/>
        <v>63300</v>
      </c>
    </row>
    <row r="846" spans="1:20">
      <c r="A846" t="s">
        <v>2289</v>
      </c>
      <c r="B846" s="7">
        <v>45893</v>
      </c>
      <c r="C846" t="s">
        <v>93</v>
      </c>
      <c r="D846" t="s">
        <v>111</v>
      </c>
      <c r="E846" t="s">
        <v>119</v>
      </c>
      <c r="F846" s="12" t="s">
        <v>24</v>
      </c>
      <c r="G846" t="s">
        <v>25</v>
      </c>
      <c r="H846" t="s">
        <v>2290</v>
      </c>
      <c r="I846" t="s">
        <v>71</v>
      </c>
      <c r="J846" s="6">
        <v>61100</v>
      </c>
      <c r="K846" t="s">
        <v>3</v>
      </c>
      <c r="L846" t="s">
        <v>2286</v>
      </c>
      <c r="M846" t="s">
        <v>3</v>
      </c>
      <c r="N846" s="25" t="str">
        <f>TEXT(tbl_Ledger[[#This Row],[Date]],"yyyy-mm")</f>
        <v>2025-08</v>
      </c>
      <c r="O846" s="25" t="str">
        <f>TEXT(tbl_Ledger[[#This Row],[Date]],"yyyy-mm") &amp; TRIM(tbl_Ledger[[#This Row],[Currency]])</f>
        <v>2025-08NGN</v>
      </c>
      <c r="P846" s="25">
        <f>_xlfn.XLOOKUP(tbl_Ledger[[#This Row],[Key]], tbl_FX[Key], tbl_FX[Rate_to_NGN])</f>
        <v>1</v>
      </c>
      <c r="Q846" s="37">
        <f>IF(tbl_Ledger[[#This Row],[Account_Type]]="Expense",-ABS(tbl_Ledger[[#This Row],[Amount]]*tbl_Ledger[[#This Row],[Rate_to_NGN]]),tbl_Ledger[[#This Row],[Amount]]*tbl_Ledger[[#This Row],[Rate_to_NGN]])</f>
        <v>61100</v>
      </c>
      <c r="R846" s="25" t="str">
        <f>_xlfn.XLOOKUP(tbl_Ledger[[#This Row],[Account_Code]], tbl_Accounts[Account_Code], tbl_Accounts[Type])</f>
        <v>Revenue</v>
      </c>
      <c r="S846" s="25" t="str">
        <f>_xlfn.XLOOKUP(tbl_Ledger[[#This Row],[Account_Code]], tbl_Accounts[Account_Code], tbl_Accounts[PL_Bucket])</f>
        <v>Revenue</v>
      </c>
      <c r="T846" s="25">
        <f t="shared" si="13"/>
        <v>61100</v>
      </c>
    </row>
    <row r="847" spans="1:20">
      <c r="A847" t="s">
        <v>2291</v>
      </c>
      <c r="B847" s="7">
        <v>45893</v>
      </c>
      <c r="C847" t="s">
        <v>93</v>
      </c>
      <c r="D847" t="s">
        <v>111</v>
      </c>
      <c r="E847" t="s">
        <v>170</v>
      </c>
      <c r="F847" s="12" t="s">
        <v>24</v>
      </c>
      <c r="G847" t="s">
        <v>25</v>
      </c>
      <c r="H847" t="s">
        <v>2292</v>
      </c>
      <c r="I847" t="s">
        <v>71</v>
      </c>
      <c r="J847" s="6">
        <v>61200</v>
      </c>
      <c r="K847" t="s">
        <v>3</v>
      </c>
      <c r="L847" t="s">
        <v>2286</v>
      </c>
      <c r="M847" t="s">
        <v>3</v>
      </c>
      <c r="N847" s="25" t="str">
        <f>TEXT(tbl_Ledger[[#This Row],[Date]],"yyyy-mm")</f>
        <v>2025-08</v>
      </c>
      <c r="O847" s="25" t="str">
        <f>TEXT(tbl_Ledger[[#This Row],[Date]],"yyyy-mm") &amp; TRIM(tbl_Ledger[[#This Row],[Currency]])</f>
        <v>2025-08NGN</v>
      </c>
      <c r="P847" s="25">
        <f>_xlfn.XLOOKUP(tbl_Ledger[[#This Row],[Key]], tbl_FX[Key], tbl_FX[Rate_to_NGN])</f>
        <v>1</v>
      </c>
      <c r="Q847" s="37">
        <f>IF(tbl_Ledger[[#This Row],[Account_Type]]="Expense",-ABS(tbl_Ledger[[#This Row],[Amount]]*tbl_Ledger[[#This Row],[Rate_to_NGN]]),tbl_Ledger[[#This Row],[Amount]]*tbl_Ledger[[#This Row],[Rate_to_NGN]])</f>
        <v>61200</v>
      </c>
      <c r="R847" s="25" t="str">
        <f>_xlfn.XLOOKUP(tbl_Ledger[[#This Row],[Account_Code]], tbl_Accounts[Account_Code], tbl_Accounts[Type])</f>
        <v>Revenue</v>
      </c>
      <c r="S847" s="25" t="str">
        <f>_xlfn.XLOOKUP(tbl_Ledger[[#This Row],[Account_Code]], tbl_Accounts[Account_Code], tbl_Accounts[PL_Bucket])</f>
        <v>Revenue</v>
      </c>
      <c r="T847" s="25">
        <f t="shared" si="13"/>
        <v>61200</v>
      </c>
    </row>
    <row r="848" spans="1:20">
      <c r="A848" t="s">
        <v>2293</v>
      </c>
      <c r="B848" s="7">
        <v>45893</v>
      </c>
      <c r="C848" t="s">
        <v>93</v>
      </c>
      <c r="D848" t="s">
        <v>111</v>
      </c>
      <c r="E848" t="s">
        <v>122</v>
      </c>
      <c r="F848" s="12" t="s">
        <v>24</v>
      </c>
      <c r="G848" t="s">
        <v>25</v>
      </c>
      <c r="H848" t="s">
        <v>2294</v>
      </c>
      <c r="I848" t="s">
        <v>71</v>
      </c>
      <c r="J848" s="6">
        <v>65000</v>
      </c>
      <c r="K848" t="s">
        <v>3</v>
      </c>
      <c r="L848" t="s">
        <v>2295</v>
      </c>
      <c r="M848" t="s">
        <v>3</v>
      </c>
      <c r="N848" s="25" t="str">
        <f>TEXT(tbl_Ledger[[#This Row],[Date]],"yyyy-mm")</f>
        <v>2025-08</v>
      </c>
      <c r="O848" s="25" t="str">
        <f>TEXT(tbl_Ledger[[#This Row],[Date]],"yyyy-mm") &amp; TRIM(tbl_Ledger[[#This Row],[Currency]])</f>
        <v>2025-08NGN</v>
      </c>
      <c r="P848" s="25">
        <f>_xlfn.XLOOKUP(tbl_Ledger[[#This Row],[Key]], tbl_FX[Key], tbl_FX[Rate_to_NGN])</f>
        <v>1</v>
      </c>
      <c r="Q848" s="37">
        <f>IF(tbl_Ledger[[#This Row],[Account_Type]]="Expense",-ABS(tbl_Ledger[[#This Row],[Amount]]*tbl_Ledger[[#This Row],[Rate_to_NGN]]),tbl_Ledger[[#This Row],[Amount]]*tbl_Ledger[[#This Row],[Rate_to_NGN]])</f>
        <v>65000</v>
      </c>
      <c r="R848" s="25" t="str">
        <f>_xlfn.XLOOKUP(tbl_Ledger[[#This Row],[Account_Code]], tbl_Accounts[Account_Code], tbl_Accounts[Type])</f>
        <v>Revenue</v>
      </c>
      <c r="S848" s="25" t="str">
        <f>_xlfn.XLOOKUP(tbl_Ledger[[#This Row],[Account_Code]], tbl_Accounts[Account_Code], tbl_Accounts[PL_Bucket])</f>
        <v>Revenue</v>
      </c>
      <c r="T848" s="25">
        <f t="shared" si="13"/>
        <v>65000</v>
      </c>
    </row>
    <row r="849" spans="1:20">
      <c r="A849" t="s">
        <v>2296</v>
      </c>
      <c r="B849" s="7">
        <v>45893</v>
      </c>
      <c r="C849" t="s">
        <v>126</v>
      </c>
      <c r="D849" t="s">
        <v>88</v>
      </c>
      <c r="E849" t="s">
        <v>127</v>
      </c>
      <c r="F849" s="12" t="s">
        <v>29</v>
      </c>
      <c r="G849" t="s">
        <v>30</v>
      </c>
      <c r="H849" t="s">
        <v>2297</v>
      </c>
      <c r="I849" t="s">
        <v>72</v>
      </c>
      <c r="J849" s="6">
        <v>35.049999999999997</v>
      </c>
      <c r="K849" t="s">
        <v>129</v>
      </c>
      <c r="L849" t="s">
        <v>2298</v>
      </c>
      <c r="M849" t="s">
        <v>3</v>
      </c>
      <c r="N849" s="25" t="str">
        <f>TEXT(tbl_Ledger[[#This Row],[Date]],"yyyy-mm")</f>
        <v>2025-08</v>
      </c>
      <c r="O849" s="25" t="str">
        <f>TEXT(tbl_Ledger[[#This Row],[Date]],"yyyy-mm") &amp; TRIM(tbl_Ledger[[#This Row],[Currency]])</f>
        <v>2025-08USD</v>
      </c>
      <c r="P849" s="25">
        <f>_xlfn.XLOOKUP(tbl_Ledger[[#This Row],[Key]], tbl_FX[Key], tbl_FX[Rate_to_NGN])</f>
        <v>1572</v>
      </c>
      <c r="Q849" s="37">
        <f>IF(tbl_Ledger[[#This Row],[Account_Type]]="Expense",-ABS(tbl_Ledger[[#This Row],[Amount]]*tbl_Ledger[[#This Row],[Rate_to_NGN]]),tbl_Ledger[[#This Row],[Amount]]*tbl_Ledger[[#This Row],[Rate_to_NGN]])</f>
        <v>55098.6</v>
      </c>
      <c r="R849" s="25" t="str">
        <f>_xlfn.XLOOKUP(tbl_Ledger[[#This Row],[Account_Code]], tbl_Accounts[Account_Code], tbl_Accounts[Type])</f>
        <v>Revenue</v>
      </c>
      <c r="S849" s="25" t="str">
        <f>_xlfn.XLOOKUP(tbl_Ledger[[#This Row],[Account_Code]], tbl_Accounts[Account_Code], tbl_Accounts[PL_Bucket])</f>
        <v>Revenue</v>
      </c>
      <c r="T849" s="25">
        <f t="shared" si="13"/>
        <v>55098.6</v>
      </c>
    </row>
    <row r="850" spans="1:20">
      <c r="A850" t="s">
        <v>2299</v>
      </c>
      <c r="B850" s="7">
        <v>45893</v>
      </c>
      <c r="C850" t="s">
        <v>126</v>
      </c>
      <c r="D850" t="s">
        <v>88</v>
      </c>
      <c r="E850" t="s">
        <v>132</v>
      </c>
      <c r="F850" s="12" t="s">
        <v>29</v>
      </c>
      <c r="G850" t="s">
        <v>30</v>
      </c>
      <c r="H850" t="s">
        <v>2300</v>
      </c>
      <c r="I850" t="s">
        <v>71</v>
      </c>
      <c r="J850" s="6">
        <v>52200</v>
      </c>
      <c r="K850" t="s">
        <v>134</v>
      </c>
      <c r="L850" t="s">
        <v>2298</v>
      </c>
      <c r="M850" t="s">
        <v>3</v>
      </c>
      <c r="N850" s="25" t="str">
        <f>TEXT(tbl_Ledger[[#This Row],[Date]],"yyyy-mm")</f>
        <v>2025-08</v>
      </c>
      <c r="O850" s="25" t="str">
        <f>TEXT(tbl_Ledger[[#This Row],[Date]],"yyyy-mm") &amp; TRIM(tbl_Ledger[[#This Row],[Currency]])</f>
        <v>2025-08NGN</v>
      </c>
      <c r="P850" s="25">
        <f>_xlfn.XLOOKUP(tbl_Ledger[[#This Row],[Key]], tbl_FX[Key], tbl_FX[Rate_to_NGN])</f>
        <v>1</v>
      </c>
      <c r="Q850" s="37">
        <f>IF(tbl_Ledger[[#This Row],[Account_Type]]="Expense",-ABS(tbl_Ledger[[#This Row],[Amount]]*tbl_Ledger[[#This Row],[Rate_to_NGN]]),tbl_Ledger[[#This Row],[Amount]]*tbl_Ledger[[#This Row],[Rate_to_NGN]])</f>
        <v>52200</v>
      </c>
      <c r="R850" s="25" t="str">
        <f>_xlfn.XLOOKUP(tbl_Ledger[[#This Row],[Account_Code]], tbl_Accounts[Account_Code], tbl_Accounts[Type])</f>
        <v>Revenue</v>
      </c>
      <c r="S850" s="25" t="str">
        <f>_xlfn.XLOOKUP(tbl_Ledger[[#This Row],[Account_Code]], tbl_Accounts[Account_Code], tbl_Accounts[PL_Bucket])</f>
        <v>Revenue</v>
      </c>
      <c r="T850" s="25">
        <f t="shared" si="13"/>
        <v>52200</v>
      </c>
    </row>
    <row r="851" spans="1:20">
      <c r="A851" t="s">
        <v>2301</v>
      </c>
      <c r="B851" s="7">
        <v>45893</v>
      </c>
      <c r="C851" t="s">
        <v>126</v>
      </c>
      <c r="D851" t="s">
        <v>88</v>
      </c>
      <c r="E851" t="s">
        <v>136</v>
      </c>
      <c r="F851" s="12" t="s">
        <v>29</v>
      </c>
      <c r="G851" t="s">
        <v>30</v>
      </c>
      <c r="H851" t="s">
        <v>2302</v>
      </c>
      <c r="I851" t="s">
        <v>72</v>
      </c>
      <c r="J851" s="6">
        <v>34.92</v>
      </c>
      <c r="K851" t="s">
        <v>138</v>
      </c>
      <c r="L851" t="s">
        <v>2298</v>
      </c>
      <c r="M851" t="s">
        <v>3</v>
      </c>
      <c r="N851" s="25" t="str">
        <f>TEXT(tbl_Ledger[[#This Row],[Date]],"yyyy-mm")</f>
        <v>2025-08</v>
      </c>
      <c r="O851" s="25" t="str">
        <f>TEXT(tbl_Ledger[[#This Row],[Date]],"yyyy-mm") &amp; TRIM(tbl_Ledger[[#This Row],[Currency]])</f>
        <v>2025-08USD</v>
      </c>
      <c r="P851" s="25">
        <f>_xlfn.XLOOKUP(tbl_Ledger[[#This Row],[Key]], tbl_FX[Key], tbl_FX[Rate_to_NGN])</f>
        <v>1572</v>
      </c>
      <c r="Q851" s="37">
        <f>IF(tbl_Ledger[[#This Row],[Account_Type]]="Expense",-ABS(tbl_Ledger[[#This Row],[Amount]]*tbl_Ledger[[#This Row],[Rate_to_NGN]]),tbl_Ledger[[#This Row],[Amount]]*tbl_Ledger[[#This Row],[Rate_to_NGN]])</f>
        <v>54894.240000000005</v>
      </c>
      <c r="R851" s="25" t="str">
        <f>_xlfn.XLOOKUP(tbl_Ledger[[#This Row],[Account_Code]], tbl_Accounts[Account_Code], tbl_Accounts[Type])</f>
        <v>Revenue</v>
      </c>
      <c r="S851" s="25" t="str">
        <f>_xlfn.XLOOKUP(tbl_Ledger[[#This Row],[Account_Code]], tbl_Accounts[Account_Code], tbl_Accounts[PL_Bucket])</f>
        <v>Revenue</v>
      </c>
      <c r="T851" s="25">
        <f t="shared" si="13"/>
        <v>54894.240000000005</v>
      </c>
    </row>
    <row r="852" spans="1:20">
      <c r="A852" t="s">
        <v>2303</v>
      </c>
      <c r="B852" s="7">
        <v>45893</v>
      </c>
      <c r="C852" t="s">
        <v>87</v>
      </c>
      <c r="D852" t="s">
        <v>94</v>
      </c>
      <c r="E852" t="s">
        <v>3</v>
      </c>
      <c r="F852" s="12" t="s">
        <v>33</v>
      </c>
      <c r="G852" t="s">
        <v>34</v>
      </c>
      <c r="H852" t="s">
        <v>1630</v>
      </c>
      <c r="I852" t="s">
        <v>71</v>
      </c>
      <c r="J852" s="6">
        <v>-553000</v>
      </c>
      <c r="K852" t="s">
        <v>316</v>
      </c>
      <c r="L852" t="s">
        <v>2304</v>
      </c>
      <c r="M852" t="s">
        <v>3</v>
      </c>
      <c r="N852" s="25" t="str">
        <f>TEXT(tbl_Ledger[[#This Row],[Date]],"yyyy-mm")</f>
        <v>2025-08</v>
      </c>
      <c r="O852" s="25" t="str">
        <f>TEXT(tbl_Ledger[[#This Row],[Date]],"yyyy-mm") &amp; TRIM(tbl_Ledger[[#This Row],[Currency]])</f>
        <v>2025-08NGN</v>
      </c>
      <c r="P852" s="25">
        <f>_xlfn.XLOOKUP(tbl_Ledger[[#This Row],[Key]], tbl_FX[Key], tbl_FX[Rate_to_NGN])</f>
        <v>1</v>
      </c>
      <c r="Q852" s="37">
        <f>IF(tbl_Ledger[[#This Row],[Account_Type]]="Expense",-ABS(tbl_Ledger[[#This Row],[Amount]]*tbl_Ledger[[#This Row],[Rate_to_NGN]]),tbl_Ledger[[#This Row],[Amount]]*tbl_Ledger[[#This Row],[Rate_to_NGN]])</f>
        <v>-553000</v>
      </c>
      <c r="R852" s="25" t="str">
        <f>_xlfn.XLOOKUP(tbl_Ledger[[#This Row],[Account_Code]], tbl_Accounts[Account_Code], tbl_Accounts[Type])</f>
        <v>COGS</v>
      </c>
      <c r="S852" s="25" t="str">
        <f>_xlfn.XLOOKUP(tbl_Ledger[[#This Row],[Account_Code]], tbl_Accounts[Account_Code], tbl_Accounts[PL_Bucket])</f>
        <v>COGS</v>
      </c>
      <c r="T852" s="25">
        <f t="shared" si="13"/>
        <v>-553000</v>
      </c>
    </row>
    <row r="853" spans="1:20">
      <c r="A853" t="s">
        <v>2305</v>
      </c>
      <c r="B853" s="7">
        <v>45894</v>
      </c>
      <c r="C853" t="s">
        <v>93</v>
      </c>
      <c r="D853" t="s">
        <v>94</v>
      </c>
      <c r="E853" t="s">
        <v>95</v>
      </c>
      <c r="F853" s="12" t="s">
        <v>24</v>
      </c>
      <c r="G853" t="s">
        <v>25</v>
      </c>
      <c r="H853" t="s">
        <v>2306</v>
      </c>
      <c r="I853" t="s">
        <v>71</v>
      </c>
      <c r="J853" s="6">
        <v>30500</v>
      </c>
      <c r="K853" t="s">
        <v>3</v>
      </c>
      <c r="L853" t="s">
        <v>2307</v>
      </c>
      <c r="M853" t="s">
        <v>3</v>
      </c>
      <c r="N853" s="25" t="str">
        <f>TEXT(tbl_Ledger[[#This Row],[Date]],"yyyy-mm")</f>
        <v>2025-08</v>
      </c>
      <c r="O853" s="25" t="str">
        <f>TEXT(tbl_Ledger[[#This Row],[Date]],"yyyy-mm") &amp; TRIM(tbl_Ledger[[#This Row],[Currency]])</f>
        <v>2025-08NGN</v>
      </c>
      <c r="P853" s="25">
        <f>_xlfn.XLOOKUP(tbl_Ledger[[#This Row],[Key]], tbl_FX[Key], tbl_FX[Rate_to_NGN])</f>
        <v>1</v>
      </c>
      <c r="Q853" s="37">
        <f>IF(tbl_Ledger[[#This Row],[Account_Type]]="Expense",-ABS(tbl_Ledger[[#This Row],[Amount]]*tbl_Ledger[[#This Row],[Rate_to_NGN]]),tbl_Ledger[[#This Row],[Amount]]*tbl_Ledger[[#This Row],[Rate_to_NGN]])</f>
        <v>30500</v>
      </c>
      <c r="R853" s="25" t="str">
        <f>_xlfn.XLOOKUP(tbl_Ledger[[#This Row],[Account_Code]], tbl_Accounts[Account_Code], tbl_Accounts[Type])</f>
        <v>Revenue</v>
      </c>
      <c r="S853" s="25" t="str">
        <f>_xlfn.XLOOKUP(tbl_Ledger[[#This Row],[Account_Code]], tbl_Accounts[Account_Code], tbl_Accounts[PL_Bucket])</f>
        <v>Revenue</v>
      </c>
      <c r="T853" s="25">
        <f t="shared" si="13"/>
        <v>30500</v>
      </c>
    </row>
    <row r="854" spans="1:20">
      <c r="A854" t="s">
        <v>2308</v>
      </c>
      <c r="B854" s="7">
        <v>45894</v>
      </c>
      <c r="C854" t="s">
        <v>93</v>
      </c>
      <c r="D854" t="s">
        <v>94</v>
      </c>
      <c r="E854" t="s">
        <v>99</v>
      </c>
      <c r="F854" s="12" t="s">
        <v>24</v>
      </c>
      <c r="G854" t="s">
        <v>25</v>
      </c>
      <c r="H854" t="s">
        <v>2309</v>
      </c>
      <c r="I854" t="s">
        <v>71</v>
      </c>
      <c r="J854" s="6">
        <v>29600</v>
      </c>
      <c r="K854" t="s">
        <v>3</v>
      </c>
      <c r="L854" t="s">
        <v>2310</v>
      </c>
      <c r="M854" t="s">
        <v>3</v>
      </c>
      <c r="N854" s="25" t="str">
        <f>TEXT(tbl_Ledger[[#This Row],[Date]],"yyyy-mm")</f>
        <v>2025-08</v>
      </c>
      <c r="O854" s="25" t="str">
        <f>TEXT(tbl_Ledger[[#This Row],[Date]],"yyyy-mm") &amp; TRIM(tbl_Ledger[[#This Row],[Currency]])</f>
        <v>2025-08NGN</v>
      </c>
      <c r="P854" s="25">
        <f>_xlfn.XLOOKUP(tbl_Ledger[[#This Row],[Key]], tbl_FX[Key], tbl_FX[Rate_to_NGN])</f>
        <v>1</v>
      </c>
      <c r="Q854" s="37">
        <f>IF(tbl_Ledger[[#This Row],[Account_Type]]="Expense",-ABS(tbl_Ledger[[#This Row],[Amount]]*tbl_Ledger[[#This Row],[Rate_to_NGN]]),tbl_Ledger[[#This Row],[Amount]]*tbl_Ledger[[#This Row],[Rate_to_NGN]])</f>
        <v>29600</v>
      </c>
      <c r="R854" s="25" t="str">
        <f>_xlfn.XLOOKUP(tbl_Ledger[[#This Row],[Account_Code]], tbl_Accounts[Account_Code], tbl_Accounts[Type])</f>
        <v>Revenue</v>
      </c>
      <c r="S854" s="25" t="str">
        <f>_xlfn.XLOOKUP(tbl_Ledger[[#This Row],[Account_Code]], tbl_Accounts[Account_Code], tbl_Accounts[PL_Bucket])</f>
        <v>Revenue</v>
      </c>
      <c r="T854" s="25">
        <f t="shared" si="13"/>
        <v>29600</v>
      </c>
    </row>
    <row r="855" spans="1:20">
      <c r="A855" t="s">
        <v>2311</v>
      </c>
      <c r="B855" s="7">
        <v>45894</v>
      </c>
      <c r="C855" t="s">
        <v>93</v>
      </c>
      <c r="D855" t="s">
        <v>94</v>
      </c>
      <c r="E855" t="s">
        <v>103</v>
      </c>
      <c r="F855" s="12" t="s">
        <v>24</v>
      </c>
      <c r="G855" t="s">
        <v>25</v>
      </c>
      <c r="H855" t="s">
        <v>2312</v>
      </c>
      <c r="I855" t="s">
        <v>71</v>
      </c>
      <c r="J855" s="6">
        <v>28400</v>
      </c>
      <c r="K855" t="s">
        <v>3</v>
      </c>
      <c r="L855" t="s">
        <v>2313</v>
      </c>
      <c r="M855" t="s">
        <v>3</v>
      </c>
      <c r="N855" s="25" t="str">
        <f>TEXT(tbl_Ledger[[#This Row],[Date]],"yyyy-mm")</f>
        <v>2025-08</v>
      </c>
      <c r="O855" s="25" t="str">
        <f>TEXT(tbl_Ledger[[#This Row],[Date]],"yyyy-mm") &amp; TRIM(tbl_Ledger[[#This Row],[Currency]])</f>
        <v>2025-08NGN</v>
      </c>
      <c r="P855" s="25">
        <f>_xlfn.XLOOKUP(tbl_Ledger[[#This Row],[Key]], tbl_FX[Key], tbl_FX[Rate_to_NGN])</f>
        <v>1</v>
      </c>
      <c r="Q855" s="37">
        <f>IF(tbl_Ledger[[#This Row],[Account_Type]]="Expense",-ABS(tbl_Ledger[[#This Row],[Amount]]*tbl_Ledger[[#This Row],[Rate_to_NGN]]),tbl_Ledger[[#This Row],[Amount]]*tbl_Ledger[[#This Row],[Rate_to_NGN]])</f>
        <v>28400</v>
      </c>
      <c r="R855" s="25" t="str">
        <f>_xlfn.XLOOKUP(tbl_Ledger[[#This Row],[Account_Code]], tbl_Accounts[Account_Code], tbl_Accounts[Type])</f>
        <v>Revenue</v>
      </c>
      <c r="S855" s="25" t="str">
        <f>_xlfn.XLOOKUP(tbl_Ledger[[#This Row],[Account_Code]], tbl_Accounts[Account_Code], tbl_Accounts[PL_Bucket])</f>
        <v>Revenue</v>
      </c>
      <c r="T855" s="25">
        <f t="shared" si="13"/>
        <v>28400</v>
      </c>
    </row>
    <row r="856" spans="1:20">
      <c r="A856" t="s">
        <v>2314</v>
      </c>
      <c r="B856" s="7">
        <v>45894</v>
      </c>
      <c r="C856" t="s">
        <v>93</v>
      </c>
      <c r="D856" t="s">
        <v>94</v>
      </c>
      <c r="E856" t="s">
        <v>160</v>
      </c>
      <c r="F856" s="12" t="s">
        <v>24</v>
      </c>
      <c r="G856" t="s">
        <v>25</v>
      </c>
      <c r="H856" t="s">
        <v>2315</v>
      </c>
      <c r="I856" t="s">
        <v>71</v>
      </c>
      <c r="J856" s="6">
        <v>27900</v>
      </c>
      <c r="K856" t="s">
        <v>3</v>
      </c>
      <c r="L856" t="s">
        <v>2313</v>
      </c>
      <c r="M856" t="s">
        <v>3</v>
      </c>
      <c r="N856" s="25" t="str">
        <f>TEXT(tbl_Ledger[[#This Row],[Date]],"yyyy-mm")</f>
        <v>2025-08</v>
      </c>
      <c r="O856" s="25" t="str">
        <f>TEXT(tbl_Ledger[[#This Row],[Date]],"yyyy-mm") &amp; TRIM(tbl_Ledger[[#This Row],[Currency]])</f>
        <v>2025-08NGN</v>
      </c>
      <c r="P856" s="25">
        <f>_xlfn.XLOOKUP(tbl_Ledger[[#This Row],[Key]], tbl_FX[Key], tbl_FX[Rate_to_NGN])</f>
        <v>1</v>
      </c>
      <c r="Q856" s="37">
        <f>IF(tbl_Ledger[[#This Row],[Account_Type]]="Expense",-ABS(tbl_Ledger[[#This Row],[Amount]]*tbl_Ledger[[#This Row],[Rate_to_NGN]]),tbl_Ledger[[#This Row],[Amount]]*tbl_Ledger[[#This Row],[Rate_to_NGN]])</f>
        <v>27900</v>
      </c>
      <c r="R856" s="25" t="str">
        <f>_xlfn.XLOOKUP(tbl_Ledger[[#This Row],[Account_Code]], tbl_Accounts[Account_Code], tbl_Accounts[Type])</f>
        <v>Revenue</v>
      </c>
      <c r="S856" s="25" t="str">
        <f>_xlfn.XLOOKUP(tbl_Ledger[[#This Row],[Account_Code]], tbl_Accounts[Account_Code], tbl_Accounts[PL_Bucket])</f>
        <v>Revenue</v>
      </c>
      <c r="T856" s="25">
        <f t="shared" si="13"/>
        <v>27900</v>
      </c>
    </row>
    <row r="857" spans="1:20">
      <c r="A857" t="s">
        <v>2316</v>
      </c>
      <c r="B857" s="7">
        <v>45894</v>
      </c>
      <c r="C857" t="s">
        <v>93</v>
      </c>
      <c r="D857" t="s">
        <v>94</v>
      </c>
      <c r="E857" t="s">
        <v>107</v>
      </c>
      <c r="F857" s="12" t="s">
        <v>24</v>
      </c>
      <c r="G857" t="s">
        <v>25</v>
      </c>
      <c r="H857" t="s">
        <v>2317</v>
      </c>
      <c r="I857" t="s">
        <v>71</v>
      </c>
      <c r="J857" s="6">
        <v>30300</v>
      </c>
      <c r="K857" t="s">
        <v>3</v>
      </c>
      <c r="L857" t="s">
        <v>2318</v>
      </c>
      <c r="M857" t="s">
        <v>3</v>
      </c>
      <c r="N857" s="25" t="str">
        <f>TEXT(tbl_Ledger[[#This Row],[Date]],"yyyy-mm")</f>
        <v>2025-08</v>
      </c>
      <c r="O857" s="25" t="str">
        <f>TEXT(tbl_Ledger[[#This Row],[Date]],"yyyy-mm") &amp; TRIM(tbl_Ledger[[#This Row],[Currency]])</f>
        <v>2025-08NGN</v>
      </c>
      <c r="P857" s="25">
        <f>_xlfn.XLOOKUP(tbl_Ledger[[#This Row],[Key]], tbl_FX[Key], tbl_FX[Rate_to_NGN])</f>
        <v>1</v>
      </c>
      <c r="Q857" s="37">
        <f>IF(tbl_Ledger[[#This Row],[Account_Type]]="Expense",-ABS(tbl_Ledger[[#This Row],[Amount]]*tbl_Ledger[[#This Row],[Rate_to_NGN]]),tbl_Ledger[[#This Row],[Amount]]*tbl_Ledger[[#This Row],[Rate_to_NGN]])</f>
        <v>30300</v>
      </c>
      <c r="R857" s="25" t="str">
        <f>_xlfn.XLOOKUP(tbl_Ledger[[#This Row],[Account_Code]], tbl_Accounts[Account_Code], tbl_Accounts[Type])</f>
        <v>Revenue</v>
      </c>
      <c r="S857" s="25" t="str">
        <f>_xlfn.XLOOKUP(tbl_Ledger[[#This Row],[Account_Code]], tbl_Accounts[Account_Code], tbl_Accounts[PL_Bucket])</f>
        <v>Revenue</v>
      </c>
      <c r="T857" s="25">
        <f t="shared" si="13"/>
        <v>30300</v>
      </c>
    </row>
    <row r="858" spans="1:20">
      <c r="A858" t="s">
        <v>2319</v>
      </c>
      <c r="B858" s="7">
        <v>45894</v>
      </c>
      <c r="C858" t="s">
        <v>93</v>
      </c>
      <c r="D858" t="s">
        <v>111</v>
      </c>
      <c r="E858" t="s">
        <v>112</v>
      </c>
      <c r="F858" s="12" t="s">
        <v>24</v>
      </c>
      <c r="G858" t="s">
        <v>25</v>
      </c>
      <c r="H858" t="s">
        <v>2320</v>
      </c>
      <c r="I858" t="s">
        <v>71</v>
      </c>
      <c r="J858" s="6">
        <v>50700</v>
      </c>
      <c r="K858" t="s">
        <v>3</v>
      </c>
      <c r="L858" t="s">
        <v>2321</v>
      </c>
      <c r="M858" t="s">
        <v>3</v>
      </c>
      <c r="N858" s="25" t="str">
        <f>TEXT(tbl_Ledger[[#This Row],[Date]],"yyyy-mm")</f>
        <v>2025-08</v>
      </c>
      <c r="O858" s="25" t="str">
        <f>TEXT(tbl_Ledger[[#This Row],[Date]],"yyyy-mm") &amp; TRIM(tbl_Ledger[[#This Row],[Currency]])</f>
        <v>2025-08NGN</v>
      </c>
      <c r="P858" s="25">
        <f>_xlfn.XLOOKUP(tbl_Ledger[[#This Row],[Key]], tbl_FX[Key], tbl_FX[Rate_to_NGN])</f>
        <v>1</v>
      </c>
      <c r="Q858" s="37">
        <f>IF(tbl_Ledger[[#This Row],[Account_Type]]="Expense",-ABS(tbl_Ledger[[#This Row],[Amount]]*tbl_Ledger[[#This Row],[Rate_to_NGN]]),tbl_Ledger[[#This Row],[Amount]]*tbl_Ledger[[#This Row],[Rate_to_NGN]])</f>
        <v>50700</v>
      </c>
      <c r="R858" s="25" t="str">
        <f>_xlfn.XLOOKUP(tbl_Ledger[[#This Row],[Account_Code]], tbl_Accounts[Account_Code], tbl_Accounts[Type])</f>
        <v>Revenue</v>
      </c>
      <c r="S858" s="25" t="str">
        <f>_xlfn.XLOOKUP(tbl_Ledger[[#This Row],[Account_Code]], tbl_Accounts[Account_Code], tbl_Accounts[PL_Bucket])</f>
        <v>Revenue</v>
      </c>
      <c r="T858" s="25">
        <f t="shared" si="13"/>
        <v>50700</v>
      </c>
    </row>
    <row r="859" spans="1:20">
      <c r="A859" t="s">
        <v>2322</v>
      </c>
      <c r="B859" s="7">
        <v>45894</v>
      </c>
      <c r="C859" t="s">
        <v>93</v>
      </c>
      <c r="D859" t="s">
        <v>111</v>
      </c>
      <c r="E859" t="s">
        <v>116</v>
      </c>
      <c r="F859" s="12" t="s">
        <v>24</v>
      </c>
      <c r="G859" t="s">
        <v>25</v>
      </c>
      <c r="H859" t="s">
        <v>2323</v>
      </c>
      <c r="I859" t="s">
        <v>71</v>
      </c>
      <c r="J859" s="6">
        <v>53300</v>
      </c>
      <c r="K859" t="s">
        <v>3</v>
      </c>
      <c r="L859" t="s">
        <v>2321</v>
      </c>
      <c r="M859" t="s">
        <v>3</v>
      </c>
      <c r="N859" s="25" t="str">
        <f>TEXT(tbl_Ledger[[#This Row],[Date]],"yyyy-mm")</f>
        <v>2025-08</v>
      </c>
      <c r="O859" s="25" t="str">
        <f>TEXT(tbl_Ledger[[#This Row],[Date]],"yyyy-mm") &amp; TRIM(tbl_Ledger[[#This Row],[Currency]])</f>
        <v>2025-08NGN</v>
      </c>
      <c r="P859" s="25">
        <f>_xlfn.XLOOKUP(tbl_Ledger[[#This Row],[Key]], tbl_FX[Key], tbl_FX[Rate_to_NGN])</f>
        <v>1</v>
      </c>
      <c r="Q859" s="37">
        <f>IF(tbl_Ledger[[#This Row],[Account_Type]]="Expense",-ABS(tbl_Ledger[[#This Row],[Amount]]*tbl_Ledger[[#This Row],[Rate_to_NGN]]),tbl_Ledger[[#This Row],[Amount]]*tbl_Ledger[[#This Row],[Rate_to_NGN]])</f>
        <v>53300</v>
      </c>
      <c r="R859" s="25" t="str">
        <f>_xlfn.XLOOKUP(tbl_Ledger[[#This Row],[Account_Code]], tbl_Accounts[Account_Code], tbl_Accounts[Type])</f>
        <v>Revenue</v>
      </c>
      <c r="S859" s="25" t="str">
        <f>_xlfn.XLOOKUP(tbl_Ledger[[#This Row],[Account_Code]], tbl_Accounts[Account_Code], tbl_Accounts[PL_Bucket])</f>
        <v>Revenue</v>
      </c>
      <c r="T859" s="25">
        <f t="shared" si="13"/>
        <v>53300</v>
      </c>
    </row>
    <row r="860" spans="1:20">
      <c r="A860" t="s">
        <v>2324</v>
      </c>
      <c r="B860" s="7">
        <v>45894</v>
      </c>
      <c r="C860" t="s">
        <v>93</v>
      </c>
      <c r="D860" t="s">
        <v>111</v>
      </c>
      <c r="E860" t="s">
        <v>119</v>
      </c>
      <c r="F860" s="12" t="s">
        <v>24</v>
      </c>
      <c r="G860" t="s">
        <v>25</v>
      </c>
      <c r="H860" t="s">
        <v>2325</v>
      </c>
      <c r="I860" t="s">
        <v>71</v>
      </c>
      <c r="J860" s="6">
        <v>52600</v>
      </c>
      <c r="K860" t="s">
        <v>3</v>
      </c>
      <c r="L860" t="s">
        <v>2321</v>
      </c>
      <c r="M860" t="s">
        <v>3</v>
      </c>
      <c r="N860" s="25" t="str">
        <f>TEXT(tbl_Ledger[[#This Row],[Date]],"yyyy-mm")</f>
        <v>2025-08</v>
      </c>
      <c r="O860" s="25" t="str">
        <f>TEXT(tbl_Ledger[[#This Row],[Date]],"yyyy-mm") &amp; TRIM(tbl_Ledger[[#This Row],[Currency]])</f>
        <v>2025-08NGN</v>
      </c>
      <c r="P860" s="25">
        <f>_xlfn.XLOOKUP(tbl_Ledger[[#This Row],[Key]], tbl_FX[Key], tbl_FX[Rate_to_NGN])</f>
        <v>1</v>
      </c>
      <c r="Q860" s="37">
        <f>IF(tbl_Ledger[[#This Row],[Account_Type]]="Expense",-ABS(tbl_Ledger[[#This Row],[Amount]]*tbl_Ledger[[#This Row],[Rate_to_NGN]]),tbl_Ledger[[#This Row],[Amount]]*tbl_Ledger[[#This Row],[Rate_to_NGN]])</f>
        <v>52600</v>
      </c>
      <c r="R860" s="25" t="str">
        <f>_xlfn.XLOOKUP(tbl_Ledger[[#This Row],[Account_Code]], tbl_Accounts[Account_Code], tbl_Accounts[Type])</f>
        <v>Revenue</v>
      </c>
      <c r="S860" s="25" t="str">
        <f>_xlfn.XLOOKUP(tbl_Ledger[[#This Row],[Account_Code]], tbl_Accounts[Account_Code], tbl_Accounts[PL_Bucket])</f>
        <v>Revenue</v>
      </c>
      <c r="T860" s="25">
        <f t="shared" si="13"/>
        <v>52600</v>
      </c>
    </row>
    <row r="861" spans="1:20">
      <c r="A861" t="s">
        <v>2326</v>
      </c>
      <c r="B861" s="7">
        <v>45894</v>
      </c>
      <c r="C861" t="s">
        <v>93</v>
      </c>
      <c r="D861" t="s">
        <v>111</v>
      </c>
      <c r="E861" t="s">
        <v>170</v>
      </c>
      <c r="F861" s="12" t="s">
        <v>24</v>
      </c>
      <c r="G861" t="s">
        <v>25</v>
      </c>
      <c r="H861" t="s">
        <v>2327</v>
      </c>
      <c r="I861" t="s">
        <v>71</v>
      </c>
      <c r="J861" s="6">
        <v>53400</v>
      </c>
      <c r="K861" t="s">
        <v>3</v>
      </c>
      <c r="L861" t="s">
        <v>2321</v>
      </c>
      <c r="M861" t="s">
        <v>3</v>
      </c>
      <c r="N861" s="25" t="str">
        <f>TEXT(tbl_Ledger[[#This Row],[Date]],"yyyy-mm")</f>
        <v>2025-08</v>
      </c>
      <c r="O861" s="25" t="str">
        <f>TEXT(tbl_Ledger[[#This Row],[Date]],"yyyy-mm") &amp; TRIM(tbl_Ledger[[#This Row],[Currency]])</f>
        <v>2025-08NGN</v>
      </c>
      <c r="P861" s="25">
        <f>_xlfn.XLOOKUP(tbl_Ledger[[#This Row],[Key]], tbl_FX[Key], tbl_FX[Rate_to_NGN])</f>
        <v>1</v>
      </c>
      <c r="Q861" s="37">
        <f>IF(tbl_Ledger[[#This Row],[Account_Type]]="Expense",-ABS(tbl_Ledger[[#This Row],[Amount]]*tbl_Ledger[[#This Row],[Rate_to_NGN]]),tbl_Ledger[[#This Row],[Amount]]*tbl_Ledger[[#This Row],[Rate_to_NGN]])</f>
        <v>53400</v>
      </c>
      <c r="R861" s="25" t="str">
        <f>_xlfn.XLOOKUP(tbl_Ledger[[#This Row],[Account_Code]], tbl_Accounts[Account_Code], tbl_Accounts[Type])</f>
        <v>Revenue</v>
      </c>
      <c r="S861" s="25" t="str">
        <f>_xlfn.XLOOKUP(tbl_Ledger[[#This Row],[Account_Code]], tbl_Accounts[Account_Code], tbl_Accounts[PL_Bucket])</f>
        <v>Revenue</v>
      </c>
      <c r="T861" s="25">
        <f t="shared" si="13"/>
        <v>53400</v>
      </c>
    </row>
    <row r="862" spans="1:20">
      <c r="A862" t="s">
        <v>2328</v>
      </c>
      <c r="B862" s="7">
        <v>45894</v>
      </c>
      <c r="C862" t="s">
        <v>93</v>
      </c>
      <c r="D862" t="s">
        <v>111</v>
      </c>
      <c r="E862" t="s">
        <v>122</v>
      </c>
      <c r="F862" s="12" t="s">
        <v>24</v>
      </c>
      <c r="G862" t="s">
        <v>25</v>
      </c>
      <c r="H862" t="s">
        <v>2329</v>
      </c>
      <c r="I862" t="s">
        <v>71</v>
      </c>
      <c r="J862" s="6">
        <v>53600</v>
      </c>
      <c r="K862" t="s">
        <v>3</v>
      </c>
      <c r="L862" t="s">
        <v>2330</v>
      </c>
      <c r="M862" t="s">
        <v>3</v>
      </c>
      <c r="N862" s="25" t="str">
        <f>TEXT(tbl_Ledger[[#This Row],[Date]],"yyyy-mm")</f>
        <v>2025-08</v>
      </c>
      <c r="O862" s="25" t="str">
        <f>TEXT(tbl_Ledger[[#This Row],[Date]],"yyyy-mm") &amp; TRIM(tbl_Ledger[[#This Row],[Currency]])</f>
        <v>2025-08NGN</v>
      </c>
      <c r="P862" s="25">
        <f>_xlfn.XLOOKUP(tbl_Ledger[[#This Row],[Key]], tbl_FX[Key], tbl_FX[Rate_to_NGN])</f>
        <v>1</v>
      </c>
      <c r="Q862" s="37">
        <f>IF(tbl_Ledger[[#This Row],[Account_Type]]="Expense",-ABS(tbl_Ledger[[#This Row],[Amount]]*tbl_Ledger[[#This Row],[Rate_to_NGN]]),tbl_Ledger[[#This Row],[Amount]]*tbl_Ledger[[#This Row],[Rate_to_NGN]])</f>
        <v>53600</v>
      </c>
      <c r="R862" s="25" t="str">
        <f>_xlfn.XLOOKUP(tbl_Ledger[[#This Row],[Account_Code]], tbl_Accounts[Account_Code], tbl_Accounts[Type])</f>
        <v>Revenue</v>
      </c>
      <c r="S862" s="25" t="str">
        <f>_xlfn.XLOOKUP(tbl_Ledger[[#This Row],[Account_Code]], tbl_Accounts[Account_Code], tbl_Accounts[PL_Bucket])</f>
        <v>Revenue</v>
      </c>
      <c r="T862" s="25">
        <f t="shared" si="13"/>
        <v>53600</v>
      </c>
    </row>
    <row r="863" spans="1:20">
      <c r="A863" t="s">
        <v>2331</v>
      </c>
      <c r="B863" s="7">
        <v>45894</v>
      </c>
      <c r="C863" t="s">
        <v>126</v>
      </c>
      <c r="D863" t="s">
        <v>88</v>
      </c>
      <c r="E863" t="s">
        <v>127</v>
      </c>
      <c r="F863" s="12" t="s">
        <v>29</v>
      </c>
      <c r="G863" t="s">
        <v>30</v>
      </c>
      <c r="H863" t="s">
        <v>2332</v>
      </c>
      <c r="I863" t="s">
        <v>71</v>
      </c>
      <c r="J863" s="6">
        <v>44400</v>
      </c>
      <c r="K863" t="s">
        <v>129</v>
      </c>
      <c r="L863" t="s">
        <v>2333</v>
      </c>
      <c r="M863" t="s">
        <v>3</v>
      </c>
      <c r="N863" s="25" t="str">
        <f>TEXT(tbl_Ledger[[#This Row],[Date]],"yyyy-mm")</f>
        <v>2025-08</v>
      </c>
      <c r="O863" s="25" t="str">
        <f>TEXT(tbl_Ledger[[#This Row],[Date]],"yyyy-mm") &amp; TRIM(tbl_Ledger[[#This Row],[Currency]])</f>
        <v>2025-08NGN</v>
      </c>
      <c r="P863" s="25">
        <f>_xlfn.XLOOKUP(tbl_Ledger[[#This Row],[Key]], tbl_FX[Key], tbl_FX[Rate_to_NGN])</f>
        <v>1</v>
      </c>
      <c r="Q863" s="37">
        <f>IF(tbl_Ledger[[#This Row],[Account_Type]]="Expense",-ABS(tbl_Ledger[[#This Row],[Amount]]*tbl_Ledger[[#This Row],[Rate_to_NGN]]),tbl_Ledger[[#This Row],[Amount]]*tbl_Ledger[[#This Row],[Rate_to_NGN]])</f>
        <v>44400</v>
      </c>
      <c r="R863" s="25" t="str">
        <f>_xlfn.XLOOKUP(tbl_Ledger[[#This Row],[Account_Code]], tbl_Accounts[Account_Code], tbl_Accounts[Type])</f>
        <v>Revenue</v>
      </c>
      <c r="S863" s="25" t="str">
        <f>_xlfn.XLOOKUP(tbl_Ledger[[#This Row],[Account_Code]], tbl_Accounts[Account_Code], tbl_Accounts[PL_Bucket])</f>
        <v>Revenue</v>
      </c>
      <c r="T863" s="25">
        <f t="shared" si="13"/>
        <v>44400</v>
      </c>
    </row>
    <row r="864" spans="1:20">
      <c r="A864" t="s">
        <v>2334</v>
      </c>
      <c r="B864" s="7">
        <v>45894</v>
      </c>
      <c r="C864" t="s">
        <v>126</v>
      </c>
      <c r="D864" t="s">
        <v>88</v>
      </c>
      <c r="E864" t="s">
        <v>132</v>
      </c>
      <c r="F864" s="12" t="s">
        <v>29</v>
      </c>
      <c r="G864" t="s">
        <v>30</v>
      </c>
      <c r="H864" t="s">
        <v>2335</v>
      </c>
      <c r="I864" t="s">
        <v>71</v>
      </c>
      <c r="J864" s="6">
        <v>46500</v>
      </c>
      <c r="K864" t="s">
        <v>134</v>
      </c>
      <c r="L864" t="s">
        <v>2333</v>
      </c>
      <c r="M864" t="s">
        <v>3</v>
      </c>
      <c r="N864" s="25" t="str">
        <f>TEXT(tbl_Ledger[[#This Row],[Date]],"yyyy-mm")</f>
        <v>2025-08</v>
      </c>
      <c r="O864" s="25" t="str">
        <f>TEXT(tbl_Ledger[[#This Row],[Date]],"yyyy-mm") &amp; TRIM(tbl_Ledger[[#This Row],[Currency]])</f>
        <v>2025-08NGN</v>
      </c>
      <c r="P864" s="25">
        <f>_xlfn.XLOOKUP(tbl_Ledger[[#This Row],[Key]], tbl_FX[Key], tbl_FX[Rate_to_NGN])</f>
        <v>1</v>
      </c>
      <c r="Q864" s="37">
        <f>IF(tbl_Ledger[[#This Row],[Account_Type]]="Expense",-ABS(tbl_Ledger[[#This Row],[Amount]]*tbl_Ledger[[#This Row],[Rate_to_NGN]]),tbl_Ledger[[#This Row],[Amount]]*tbl_Ledger[[#This Row],[Rate_to_NGN]])</f>
        <v>46500</v>
      </c>
      <c r="R864" s="25" t="str">
        <f>_xlfn.XLOOKUP(tbl_Ledger[[#This Row],[Account_Code]], tbl_Accounts[Account_Code], tbl_Accounts[Type])</f>
        <v>Revenue</v>
      </c>
      <c r="S864" s="25" t="str">
        <f>_xlfn.XLOOKUP(tbl_Ledger[[#This Row],[Account_Code]], tbl_Accounts[Account_Code], tbl_Accounts[PL_Bucket])</f>
        <v>Revenue</v>
      </c>
      <c r="T864" s="25">
        <f t="shared" si="13"/>
        <v>46500</v>
      </c>
    </row>
    <row r="865" spans="1:20">
      <c r="A865" t="s">
        <v>2336</v>
      </c>
      <c r="B865" s="7">
        <v>45894</v>
      </c>
      <c r="C865" t="s">
        <v>126</v>
      </c>
      <c r="D865" t="s">
        <v>88</v>
      </c>
      <c r="E865" t="s">
        <v>136</v>
      </c>
      <c r="F865" s="12" t="s">
        <v>29</v>
      </c>
      <c r="G865" t="s">
        <v>30</v>
      </c>
      <c r="H865" t="s">
        <v>2337</v>
      </c>
      <c r="I865" t="s">
        <v>72</v>
      </c>
      <c r="J865" s="6">
        <v>28.31</v>
      </c>
      <c r="K865" t="s">
        <v>138</v>
      </c>
      <c r="L865" t="s">
        <v>2333</v>
      </c>
      <c r="M865" t="s">
        <v>3</v>
      </c>
      <c r="N865" s="25" t="str">
        <f>TEXT(tbl_Ledger[[#This Row],[Date]],"yyyy-mm")</f>
        <v>2025-08</v>
      </c>
      <c r="O865" s="25" t="str">
        <f>TEXT(tbl_Ledger[[#This Row],[Date]],"yyyy-mm") &amp; TRIM(tbl_Ledger[[#This Row],[Currency]])</f>
        <v>2025-08USD</v>
      </c>
      <c r="P865" s="25">
        <f>_xlfn.XLOOKUP(tbl_Ledger[[#This Row],[Key]], tbl_FX[Key], tbl_FX[Rate_to_NGN])</f>
        <v>1572</v>
      </c>
      <c r="Q865" s="37">
        <f>IF(tbl_Ledger[[#This Row],[Account_Type]]="Expense",-ABS(tbl_Ledger[[#This Row],[Amount]]*tbl_Ledger[[#This Row],[Rate_to_NGN]]),tbl_Ledger[[#This Row],[Amount]]*tbl_Ledger[[#This Row],[Rate_to_NGN]])</f>
        <v>44503.32</v>
      </c>
      <c r="R865" s="25" t="str">
        <f>_xlfn.XLOOKUP(tbl_Ledger[[#This Row],[Account_Code]], tbl_Accounts[Account_Code], tbl_Accounts[Type])</f>
        <v>Revenue</v>
      </c>
      <c r="S865" s="25" t="str">
        <f>_xlfn.XLOOKUP(tbl_Ledger[[#This Row],[Account_Code]], tbl_Accounts[Account_Code], tbl_Accounts[PL_Bucket])</f>
        <v>Revenue</v>
      </c>
      <c r="T865" s="25">
        <f t="shared" si="13"/>
        <v>44503.32</v>
      </c>
    </row>
    <row r="866" spans="1:20">
      <c r="A866" t="s">
        <v>2338</v>
      </c>
      <c r="B866" s="7">
        <v>45894</v>
      </c>
      <c r="C866" t="s">
        <v>126</v>
      </c>
      <c r="D866" t="s">
        <v>88</v>
      </c>
      <c r="E866" t="s">
        <v>140</v>
      </c>
      <c r="F866" s="12" t="s">
        <v>29</v>
      </c>
      <c r="G866" t="s">
        <v>30</v>
      </c>
      <c r="H866" t="s">
        <v>2339</v>
      </c>
      <c r="I866" t="s">
        <v>71</v>
      </c>
      <c r="J866" s="6">
        <v>44600</v>
      </c>
      <c r="K866" t="s">
        <v>3</v>
      </c>
      <c r="L866" t="s">
        <v>2340</v>
      </c>
      <c r="M866" t="s">
        <v>3</v>
      </c>
      <c r="N866" s="25" t="str">
        <f>TEXT(tbl_Ledger[[#This Row],[Date]],"yyyy-mm")</f>
        <v>2025-08</v>
      </c>
      <c r="O866" s="25" t="str">
        <f>TEXT(tbl_Ledger[[#This Row],[Date]],"yyyy-mm") &amp; TRIM(tbl_Ledger[[#This Row],[Currency]])</f>
        <v>2025-08NGN</v>
      </c>
      <c r="P866" s="25">
        <f>_xlfn.XLOOKUP(tbl_Ledger[[#This Row],[Key]], tbl_FX[Key], tbl_FX[Rate_to_NGN])</f>
        <v>1</v>
      </c>
      <c r="Q866" s="37">
        <f>IF(tbl_Ledger[[#This Row],[Account_Type]]="Expense",-ABS(tbl_Ledger[[#This Row],[Amount]]*tbl_Ledger[[#This Row],[Rate_to_NGN]]),tbl_Ledger[[#This Row],[Amount]]*tbl_Ledger[[#This Row],[Rate_to_NGN]])</f>
        <v>44600</v>
      </c>
      <c r="R866" s="25" t="str">
        <f>_xlfn.XLOOKUP(tbl_Ledger[[#This Row],[Account_Code]], tbl_Accounts[Account_Code], tbl_Accounts[Type])</f>
        <v>Revenue</v>
      </c>
      <c r="S866" s="25" t="str">
        <f>_xlfn.XLOOKUP(tbl_Ledger[[#This Row],[Account_Code]], tbl_Accounts[Account_Code], tbl_Accounts[PL_Bucket])</f>
        <v>Revenue</v>
      </c>
      <c r="T866" s="25">
        <f t="shared" si="13"/>
        <v>44600</v>
      </c>
    </row>
    <row r="867" spans="1:20">
      <c r="A867" t="s">
        <v>2341</v>
      </c>
      <c r="B867" s="7">
        <v>45894</v>
      </c>
      <c r="C867" t="s">
        <v>87</v>
      </c>
      <c r="D867" t="s">
        <v>94</v>
      </c>
      <c r="E867" t="s">
        <v>3</v>
      </c>
      <c r="F867" s="12" t="s">
        <v>42</v>
      </c>
      <c r="G867" t="s">
        <v>43</v>
      </c>
      <c r="H867" t="s">
        <v>1387</v>
      </c>
      <c r="I867" t="s">
        <v>71</v>
      </c>
      <c r="J867" s="6">
        <v>-502000</v>
      </c>
      <c r="K867" t="s">
        <v>187</v>
      </c>
      <c r="L867" t="s">
        <v>2342</v>
      </c>
      <c r="M867" t="s">
        <v>3</v>
      </c>
      <c r="N867" s="25" t="str">
        <f>TEXT(tbl_Ledger[[#This Row],[Date]],"yyyy-mm")</f>
        <v>2025-08</v>
      </c>
      <c r="O867" s="25" t="str">
        <f>TEXT(tbl_Ledger[[#This Row],[Date]],"yyyy-mm") &amp; TRIM(tbl_Ledger[[#This Row],[Currency]])</f>
        <v>2025-08NGN</v>
      </c>
      <c r="P867" s="25">
        <f>_xlfn.XLOOKUP(tbl_Ledger[[#This Row],[Key]], tbl_FX[Key], tbl_FX[Rate_to_NGN])</f>
        <v>1</v>
      </c>
      <c r="Q867" s="37">
        <f>IF(tbl_Ledger[[#This Row],[Account_Type]]="Expense",-ABS(tbl_Ledger[[#This Row],[Amount]]*tbl_Ledger[[#This Row],[Rate_to_NGN]]),tbl_Ledger[[#This Row],[Amount]]*tbl_Ledger[[#This Row],[Rate_to_NGN]])</f>
        <v>-502000</v>
      </c>
      <c r="R867" s="25" t="str">
        <f>_xlfn.XLOOKUP(tbl_Ledger[[#This Row],[Account_Code]], tbl_Accounts[Account_Code], tbl_Accounts[Type])</f>
        <v>COGS</v>
      </c>
      <c r="S867" s="25" t="str">
        <f>_xlfn.XLOOKUP(tbl_Ledger[[#This Row],[Account_Code]], tbl_Accounts[Account_Code], tbl_Accounts[PL_Bucket])</f>
        <v>COGS</v>
      </c>
      <c r="T867" s="25">
        <f t="shared" si="13"/>
        <v>-502000</v>
      </c>
    </row>
    <row r="868" spans="1:20">
      <c r="A868" t="s">
        <v>2343</v>
      </c>
      <c r="B868" s="7">
        <v>45894</v>
      </c>
      <c r="C868" t="s">
        <v>87</v>
      </c>
      <c r="D868" t="s">
        <v>94</v>
      </c>
      <c r="E868" t="s">
        <v>3</v>
      </c>
      <c r="F868" s="12" t="s">
        <v>44</v>
      </c>
      <c r="G868" t="s">
        <v>45</v>
      </c>
      <c r="H868" t="s">
        <v>1711</v>
      </c>
      <c r="I868" t="s">
        <v>71</v>
      </c>
      <c r="J868" s="6">
        <v>-182000</v>
      </c>
      <c r="K868" t="s">
        <v>191</v>
      </c>
      <c r="L868" t="s">
        <v>2344</v>
      </c>
      <c r="M868" t="s">
        <v>3</v>
      </c>
      <c r="N868" s="25" t="str">
        <f>TEXT(tbl_Ledger[[#This Row],[Date]],"yyyy-mm")</f>
        <v>2025-08</v>
      </c>
      <c r="O868" s="25" t="str">
        <f>TEXT(tbl_Ledger[[#This Row],[Date]],"yyyy-mm") &amp; TRIM(tbl_Ledger[[#This Row],[Currency]])</f>
        <v>2025-08NGN</v>
      </c>
      <c r="P868" s="25">
        <f>_xlfn.XLOOKUP(tbl_Ledger[[#This Row],[Key]], tbl_FX[Key], tbl_FX[Rate_to_NGN])</f>
        <v>1</v>
      </c>
      <c r="Q868" s="37">
        <f>IF(tbl_Ledger[[#This Row],[Account_Type]]="Expense",-ABS(tbl_Ledger[[#This Row],[Amount]]*tbl_Ledger[[#This Row],[Rate_to_NGN]]),tbl_Ledger[[#This Row],[Amount]]*tbl_Ledger[[#This Row],[Rate_to_NGN]])</f>
        <v>-182000</v>
      </c>
      <c r="R868" s="25" t="str">
        <f>_xlfn.XLOOKUP(tbl_Ledger[[#This Row],[Account_Code]], tbl_Accounts[Account_Code], tbl_Accounts[Type])</f>
        <v>COGS</v>
      </c>
      <c r="S868" s="25" t="str">
        <f>_xlfn.XLOOKUP(tbl_Ledger[[#This Row],[Account_Code]], tbl_Accounts[Account_Code], tbl_Accounts[PL_Bucket])</f>
        <v>COGS</v>
      </c>
      <c r="T868" s="25">
        <f t="shared" si="13"/>
        <v>-182000</v>
      </c>
    </row>
    <row r="869" spans="1:20">
      <c r="A869" t="s">
        <v>2345</v>
      </c>
      <c r="B869" s="7">
        <v>45894</v>
      </c>
      <c r="C869" t="s">
        <v>1106</v>
      </c>
      <c r="D869" t="s">
        <v>94</v>
      </c>
      <c r="E869" t="s">
        <v>3</v>
      </c>
      <c r="F869" s="12" t="s">
        <v>46</v>
      </c>
      <c r="G869" t="s">
        <v>47</v>
      </c>
      <c r="H869" t="s">
        <v>2346</v>
      </c>
      <c r="I869" t="s">
        <v>71</v>
      </c>
      <c r="J869" s="6">
        <v>-3274828</v>
      </c>
      <c r="K869" t="s">
        <v>1108</v>
      </c>
      <c r="L869" t="s">
        <v>2347</v>
      </c>
      <c r="M869" t="s">
        <v>3</v>
      </c>
      <c r="N869" s="25" t="str">
        <f>TEXT(tbl_Ledger[[#This Row],[Date]],"yyyy-mm")</f>
        <v>2025-08</v>
      </c>
      <c r="O869" s="25" t="str">
        <f>TEXT(tbl_Ledger[[#This Row],[Date]],"yyyy-mm") &amp; TRIM(tbl_Ledger[[#This Row],[Currency]])</f>
        <v>2025-08NGN</v>
      </c>
      <c r="P869" s="25">
        <f>_xlfn.XLOOKUP(tbl_Ledger[[#This Row],[Key]], tbl_FX[Key], tbl_FX[Rate_to_NGN])</f>
        <v>1</v>
      </c>
      <c r="Q869" s="37">
        <f>IF(tbl_Ledger[[#This Row],[Account_Type]]="Expense",-ABS(tbl_Ledger[[#This Row],[Amount]]*tbl_Ledger[[#This Row],[Rate_to_NGN]]),tbl_Ledger[[#This Row],[Amount]]*tbl_Ledger[[#This Row],[Rate_to_NGN]])</f>
        <v>-3274828</v>
      </c>
      <c r="R869" s="25" t="str">
        <f>_xlfn.XLOOKUP(tbl_Ledger[[#This Row],[Account_Code]], tbl_Accounts[Account_Code], tbl_Accounts[Type])</f>
        <v>Opex</v>
      </c>
      <c r="S869" s="25" t="str">
        <f>_xlfn.XLOOKUP(tbl_Ledger[[#This Row],[Account_Code]], tbl_Accounts[Account_Code], tbl_Accounts[PL_Bucket])</f>
        <v>Opex</v>
      </c>
      <c r="T869" s="25">
        <f t="shared" si="13"/>
        <v>-3274828</v>
      </c>
    </row>
    <row r="870" spans="1:20">
      <c r="A870" t="s">
        <v>2348</v>
      </c>
      <c r="B870" s="7">
        <v>45894</v>
      </c>
      <c r="C870" t="s">
        <v>1106</v>
      </c>
      <c r="D870" t="s">
        <v>111</v>
      </c>
      <c r="E870" t="s">
        <v>3</v>
      </c>
      <c r="F870" s="12" t="s">
        <v>46</v>
      </c>
      <c r="G870" t="s">
        <v>47</v>
      </c>
      <c r="H870" t="s">
        <v>2346</v>
      </c>
      <c r="I870" t="s">
        <v>71</v>
      </c>
      <c r="J870" s="6">
        <v>-4195873</v>
      </c>
      <c r="K870" t="s">
        <v>1108</v>
      </c>
      <c r="L870" t="s">
        <v>2347</v>
      </c>
      <c r="M870" t="s">
        <v>3</v>
      </c>
      <c r="N870" s="25" t="str">
        <f>TEXT(tbl_Ledger[[#This Row],[Date]],"yyyy-mm")</f>
        <v>2025-08</v>
      </c>
      <c r="O870" s="25" t="str">
        <f>TEXT(tbl_Ledger[[#This Row],[Date]],"yyyy-mm") &amp; TRIM(tbl_Ledger[[#This Row],[Currency]])</f>
        <v>2025-08NGN</v>
      </c>
      <c r="P870" s="25">
        <f>_xlfn.XLOOKUP(tbl_Ledger[[#This Row],[Key]], tbl_FX[Key], tbl_FX[Rate_to_NGN])</f>
        <v>1</v>
      </c>
      <c r="Q870" s="37">
        <f>IF(tbl_Ledger[[#This Row],[Account_Type]]="Expense",-ABS(tbl_Ledger[[#This Row],[Amount]]*tbl_Ledger[[#This Row],[Rate_to_NGN]]),tbl_Ledger[[#This Row],[Amount]]*tbl_Ledger[[#This Row],[Rate_to_NGN]])</f>
        <v>-4195873</v>
      </c>
      <c r="R870" s="25" t="str">
        <f>_xlfn.XLOOKUP(tbl_Ledger[[#This Row],[Account_Code]], tbl_Accounts[Account_Code], tbl_Accounts[Type])</f>
        <v>Opex</v>
      </c>
      <c r="S870" s="25" t="str">
        <f>_xlfn.XLOOKUP(tbl_Ledger[[#This Row],[Account_Code]], tbl_Accounts[Account_Code], tbl_Accounts[PL_Bucket])</f>
        <v>Opex</v>
      </c>
      <c r="T870" s="25">
        <f t="shared" si="13"/>
        <v>-4195873</v>
      </c>
    </row>
    <row r="871" spans="1:20">
      <c r="A871" t="s">
        <v>2349</v>
      </c>
      <c r="B871" s="7">
        <v>45894</v>
      </c>
      <c r="C871" t="s">
        <v>1106</v>
      </c>
      <c r="D871" t="s">
        <v>88</v>
      </c>
      <c r="E871" t="s">
        <v>3</v>
      </c>
      <c r="F871" s="12" t="s">
        <v>46</v>
      </c>
      <c r="G871" t="s">
        <v>47</v>
      </c>
      <c r="H871" t="s">
        <v>2346</v>
      </c>
      <c r="I871" t="s">
        <v>71</v>
      </c>
      <c r="J871" s="6">
        <v>-2763136</v>
      </c>
      <c r="K871" t="s">
        <v>1108</v>
      </c>
      <c r="L871" t="s">
        <v>2347</v>
      </c>
      <c r="M871" t="s">
        <v>3</v>
      </c>
      <c r="N871" s="25" t="str">
        <f>TEXT(tbl_Ledger[[#This Row],[Date]],"yyyy-mm")</f>
        <v>2025-08</v>
      </c>
      <c r="O871" s="25" t="str">
        <f>TEXT(tbl_Ledger[[#This Row],[Date]],"yyyy-mm") &amp; TRIM(tbl_Ledger[[#This Row],[Currency]])</f>
        <v>2025-08NGN</v>
      </c>
      <c r="P871" s="25">
        <f>_xlfn.XLOOKUP(tbl_Ledger[[#This Row],[Key]], tbl_FX[Key], tbl_FX[Rate_to_NGN])</f>
        <v>1</v>
      </c>
      <c r="Q871" s="37">
        <f>IF(tbl_Ledger[[#This Row],[Account_Type]]="Expense",-ABS(tbl_Ledger[[#This Row],[Amount]]*tbl_Ledger[[#This Row],[Rate_to_NGN]]),tbl_Ledger[[#This Row],[Amount]]*tbl_Ledger[[#This Row],[Rate_to_NGN]])</f>
        <v>-2763136</v>
      </c>
      <c r="R871" s="25" t="str">
        <f>_xlfn.XLOOKUP(tbl_Ledger[[#This Row],[Account_Code]], tbl_Accounts[Account_Code], tbl_Accounts[Type])</f>
        <v>Opex</v>
      </c>
      <c r="S871" s="25" t="str">
        <f>_xlfn.XLOOKUP(tbl_Ledger[[#This Row],[Account_Code]], tbl_Accounts[Account_Code], tbl_Accounts[PL_Bucket])</f>
        <v>Opex</v>
      </c>
      <c r="T871" s="25">
        <f t="shared" si="13"/>
        <v>-2763136</v>
      </c>
    </row>
    <row r="872" spans="1:20">
      <c r="A872" t="s">
        <v>2350</v>
      </c>
      <c r="B872" s="7">
        <v>45894</v>
      </c>
      <c r="C872" t="s">
        <v>1106</v>
      </c>
      <c r="D872" t="s">
        <v>111</v>
      </c>
      <c r="E872" t="s">
        <v>3</v>
      </c>
      <c r="F872" s="12" t="s">
        <v>46</v>
      </c>
      <c r="G872" t="s">
        <v>47</v>
      </c>
      <c r="H872" t="s">
        <v>2351</v>
      </c>
      <c r="I872" t="s">
        <v>71</v>
      </c>
      <c r="J872" s="6">
        <v>-680000</v>
      </c>
      <c r="K872" t="s">
        <v>1108</v>
      </c>
      <c r="L872" t="s">
        <v>2352</v>
      </c>
      <c r="M872" t="s">
        <v>3</v>
      </c>
      <c r="N872" s="25" t="str">
        <f>TEXT(tbl_Ledger[[#This Row],[Date]],"yyyy-mm")</f>
        <v>2025-08</v>
      </c>
      <c r="O872" s="25" t="str">
        <f>TEXT(tbl_Ledger[[#This Row],[Date]],"yyyy-mm") &amp; TRIM(tbl_Ledger[[#This Row],[Currency]])</f>
        <v>2025-08NGN</v>
      </c>
      <c r="P872" s="25">
        <f>_xlfn.XLOOKUP(tbl_Ledger[[#This Row],[Key]], tbl_FX[Key], tbl_FX[Rate_to_NGN])</f>
        <v>1</v>
      </c>
      <c r="Q872" s="37">
        <f>IF(tbl_Ledger[[#This Row],[Account_Type]]="Expense",-ABS(tbl_Ledger[[#This Row],[Amount]]*tbl_Ledger[[#This Row],[Rate_to_NGN]]),tbl_Ledger[[#This Row],[Amount]]*tbl_Ledger[[#This Row],[Rate_to_NGN]])</f>
        <v>-680000</v>
      </c>
      <c r="R872" s="25" t="str">
        <f>_xlfn.XLOOKUP(tbl_Ledger[[#This Row],[Account_Code]], tbl_Accounts[Account_Code], tbl_Accounts[Type])</f>
        <v>Opex</v>
      </c>
      <c r="S872" s="25" t="str">
        <f>_xlfn.XLOOKUP(tbl_Ledger[[#This Row],[Account_Code]], tbl_Accounts[Account_Code], tbl_Accounts[PL_Bucket])</f>
        <v>Opex</v>
      </c>
      <c r="T872" s="25">
        <f t="shared" si="13"/>
        <v>-680000</v>
      </c>
    </row>
    <row r="873" spans="1:20">
      <c r="A873" t="s">
        <v>2353</v>
      </c>
      <c r="B873" s="7">
        <v>45895</v>
      </c>
      <c r="C873" t="s">
        <v>93</v>
      </c>
      <c r="D873" t="s">
        <v>94</v>
      </c>
      <c r="E873" t="s">
        <v>95</v>
      </c>
      <c r="F873" s="12" t="s">
        <v>24</v>
      </c>
      <c r="G873" t="s">
        <v>25</v>
      </c>
      <c r="H873" t="s">
        <v>2354</v>
      </c>
      <c r="I873" t="s">
        <v>71</v>
      </c>
      <c r="J873" s="6">
        <v>29700</v>
      </c>
      <c r="K873" t="s">
        <v>3</v>
      </c>
      <c r="L873" t="s">
        <v>2355</v>
      </c>
      <c r="M873" t="s">
        <v>3</v>
      </c>
      <c r="N873" s="25" t="str">
        <f>TEXT(tbl_Ledger[[#This Row],[Date]],"yyyy-mm")</f>
        <v>2025-08</v>
      </c>
      <c r="O873" s="25" t="str">
        <f>TEXT(tbl_Ledger[[#This Row],[Date]],"yyyy-mm") &amp; TRIM(tbl_Ledger[[#This Row],[Currency]])</f>
        <v>2025-08NGN</v>
      </c>
      <c r="P873" s="25">
        <f>_xlfn.XLOOKUP(tbl_Ledger[[#This Row],[Key]], tbl_FX[Key], tbl_FX[Rate_to_NGN])</f>
        <v>1</v>
      </c>
      <c r="Q873" s="37">
        <f>IF(tbl_Ledger[[#This Row],[Account_Type]]="Expense",-ABS(tbl_Ledger[[#This Row],[Amount]]*tbl_Ledger[[#This Row],[Rate_to_NGN]]),tbl_Ledger[[#This Row],[Amount]]*tbl_Ledger[[#This Row],[Rate_to_NGN]])</f>
        <v>29700</v>
      </c>
      <c r="R873" s="25" t="str">
        <f>_xlfn.XLOOKUP(tbl_Ledger[[#This Row],[Account_Code]], tbl_Accounts[Account_Code], tbl_Accounts[Type])</f>
        <v>Revenue</v>
      </c>
      <c r="S873" s="25" t="str">
        <f>_xlfn.XLOOKUP(tbl_Ledger[[#This Row],[Account_Code]], tbl_Accounts[Account_Code], tbl_Accounts[PL_Bucket])</f>
        <v>Revenue</v>
      </c>
      <c r="T873" s="25">
        <f t="shared" si="13"/>
        <v>29700</v>
      </c>
    </row>
    <row r="874" spans="1:20">
      <c r="A874" t="s">
        <v>2356</v>
      </c>
      <c r="B874" s="7">
        <v>45895</v>
      </c>
      <c r="C874" t="s">
        <v>93</v>
      </c>
      <c r="D874" t="s">
        <v>94</v>
      </c>
      <c r="E874" t="s">
        <v>99</v>
      </c>
      <c r="F874" s="12" t="s">
        <v>24</v>
      </c>
      <c r="G874" t="s">
        <v>25</v>
      </c>
      <c r="H874" t="s">
        <v>2357</v>
      </c>
      <c r="I874" t="s">
        <v>71</v>
      </c>
      <c r="J874" s="6">
        <v>32200</v>
      </c>
      <c r="K874" t="s">
        <v>3</v>
      </c>
      <c r="L874" t="s">
        <v>2358</v>
      </c>
      <c r="M874" t="s">
        <v>3</v>
      </c>
      <c r="N874" s="25" t="str">
        <f>TEXT(tbl_Ledger[[#This Row],[Date]],"yyyy-mm")</f>
        <v>2025-08</v>
      </c>
      <c r="O874" s="25" t="str">
        <f>TEXT(tbl_Ledger[[#This Row],[Date]],"yyyy-mm") &amp; TRIM(tbl_Ledger[[#This Row],[Currency]])</f>
        <v>2025-08NGN</v>
      </c>
      <c r="P874" s="25">
        <f>_xlfn.XLOOKUP(tbl_Ledger[[#This Row],[Key]], tbl_FX[Key], tbl_FX[Rate_to_NGN])</f>
        <v>1</v>
      </c>
      <c r="Q874" s="37">
        <f>IF(tbl_Ledger[[#This Row],[Account_Type]]="Expense",-ABS(tbl_Ledger[[#This Row],[Amount]]*tbl_Ledger[[#This Row],[Rate_to_NGN]]),tbl_Ledger[[#This Row],[Amount]]*tbl_Ledger[[#This Row],[Rate_to_NGN]])</f>
        <v>32200</v>
      </c>
      <c r="R874" s="25" t="str">
        <f>_xlfn.XLOOKUP(tbl_Ledger[[#This Row],[Account_Code]], tbl_Accounts[Account_Code], tbl_Accounts[Type])</f>
        <v>Revenue</v>
      </c>
      <c r="S874" s="25" t="str">
        <f>_xlfn.XLOOKUP(tbl_Ledger[[#This Row],[Account_Code]], tbl_Accounts[Account_Code], tbl_Accounts[PL_Bucket])</f>
        <v>Revenue</v>
      </c>
      <c r="T874" s="25">
        <f t="shared" si="13"/>
        <v>32200</v>
      </c>
    </row>
    <row r="875" spans="1:20">
      <c r="A875" t="s">
        <v>2359</v>
      </c>
      <c r="B875" s="7">
        <v>45895</v>
      </c>
      <c r="C875" t="s">
        <v>93</v>
      </c>
      <c r="D875" t="s">
        <v>94</v>
      </c>
      <c r="E875" t="s">
        <v>103</v>
      </c>
      <c r="F875" s="12" t="s">
        <v>24</v>
      </c>
      <c r="G875" t="s">
        <v>25</v>
      </c>
      <c r="H875" t="s">
        <v>2360</v>
      </c>
      <c r="I875" t="s">
        <v>71</v>
      </c>
      <c r="J875" s="6">
        <v>31600</v>
      </c>
      <c r="K875" t="s">
        <v>3</v>
      </c>
      <c r="L875" t="s">
        <v>2361</v>
      </c>
      <c r="M875" t="s">
        <v>3</v>
      </c>
      <c r="N875" s="25" t="str">
        <f>TEXT(tbl_Ledger[[#This Row],[Date]],"yyyy-mm")</f>
        <v>2025-08</v>
      </c>
      <c r="O875" s="25" t="str">
        <f>TEXT(tbl_Ledger[[#This Row],[Date]],"yyyy-mm") &amp; TRIM(tbl_Ledger[[#This Row],[Currency]])</f>
        <v>2025-08NGN</v>
      </c>
      <c r="P875" s="25">
        <f>_xlfn.XLOOKUP(tbl_Ledger[[#This Row],[Key]], tbl_FX[Key], tbl_FX[Rate_to_NGN])</f>
        <v>1</v>
      </c>
      <c r="Q875" s="37">
        <f>IF(tbl_Ledger[[#This Row],[Account_Type]]="Expense",-ABS(tbl_Ledger[[#This Row],[Amount]]*tbl_Ledger[[#This Row],[Rate_to_NGN]]),tbl_Ledger[[#This Row],[Amount]]*tbl_Ledger[[#This Row],[Rate_to_NGN]])</f>
        <v>31600</v>
      </c>
      <c r="R875" s="25" t="str">
        <f>_xlfn.XLOOKUP(tbl_Ledger[[#This Row],[Account_Code]], tbl_Accounts[Account_Code], tbl_Accounts[Type])</f>
        <v>Revenue</v>
      </c>
      <c r="S875" s="25" t="str">
        <f>_xlfn.XLOOKUP(tbl_Ledger[[#This Row],[Account_Code]], tbl_Accounts[Account_Code], tbl_Accounts[PL_Bucket])</f>
        <v>Revenue</v>
      </c>
      <c r="T875" s="25">
        <f t="shared" si="13"/>
        <v>31600</v>
      </c>
    </row>
    <row r="876" spans="1:20">
      <c r="A876" t="s">
        <v>2362</v>
      </c>
      <c r="B876" s="7">
        <v>45895</v>
      </c>
      <c r="C876" t="s">
        <v>93</v>
      </c>
      <c r="D876" t="s">
        <v>94</v>
      </c>
      <c r="E876" t="s">
        <v>160</v>
      </c>
      <c r="F876" s="12" t="s">
        <v>24</v>
      </c>
      <c r="G876" t="s">
        <v>25</v>
      </c>
      <c r="H876" t="s">
        <v>2363</v>
      </c>
      <c r="I876" t="s">
        <v>71</v>
      </c>
      <c r="J876" s="6">
        <v>28100</v>
      </c>
      <c r="K876" t="s">
        <v>3</v>
      </c>
      <c r="L876" t="s">
        <v>2361</v>
      </c>
      <c r="M876" t="s">
        <v>3</v>
      </c>
      <c r="N876" s="25" t="str">
        <f>TEXT(tbl_Ledger[[#This Row],[Date]],"yyyy-mm")</f>
        <v>2025-08</v>
      </c>
      <c r="O876" s="25" t="str">
        <f>TEXT(tbl_Ledger[[#This Row],[Date]],"yyyy-mm") &amp; TRIM(tbl_Ledger[[#This Row],[Currency]])</f>
        <v>2025-08NGN</v>
      </c>
      <c r="P876" s="25">
        <f>_xlfn.XLOOKUP(tbl_Ledger[[#This Row],[Key]], tbl_FX[Key], tbl_FX[Rate_to_NGN])</f>
        <v>1</v>
      </c>
      <c r="Q876" s="37">
        <f>IF(tbl_Ledger[[#This Row],[Account_Type]]="Expense",-ABS(tbl_Ledger[[#This Row],[Amount]]*tbl_Ledger[[#This Row],[Rate_to_NGN]]),tbl_Ledger[[#This Row],[Amount]]*tbl_Ledger[[#This Row],[Rate_to_NGN]])</f>
        <v>28100</v>
      </c>
      <c r="R876" s="25" t="str">
        <f>_xlfn.XLOOKUP(tbl_Ledger[[#This Row],[Account_Code]], tbl_Accounts[Account_Code], tbl_Accounts[Type])</f>
        <v>Revenue</v>
      </c>
      <c r="S876" s="25" t="str">
        <f>_xlfn.XLOOKUP(tbl_Ledger[[#This Row],[Account_Code]], tbl_Accounts[Account_Code], tbl_Accounts[PL_Bucket])</f>
        <v>Revenue</v>
      </c>
      <c r="T876" s="25">
        <f t="shared" si="13"/>
        <v>28100</v>
      </c>
    </row>
    <row r="877" spans="1:20">
      <c r="A877" t="s">
        <v>2364</v>
      </c>
      <c r="B877" s="7">
        <v>45895</v>
      </c>
      <c r="C877" t="s">
        <v>93</v>
      </c>
      <c r="D877" t="s">
        <v>94</v>
      </c>
      <c r="E877" t="s">
        <v>107</v>
      </c>
      <c r="F877" s="12" t="s">
        <v>24</v>
      </c>
      <c r="G877" t="s">
        <v>25</v>
      </c>
      <c r="H877" t="s">
        <v>2365</v>
      </c>
      <c r="I877" t="s">
        <v>71</v>
      </c>
      <c r="J877" s="6">
        <v>29600</v>
      </c>
      <c r="K877" t="s">
        <v>3</v>
      </c>
      <c r="L877" t="s">
        <v>2366</v>
      </c>
      <c r="M877" t="s">
        <v>3</v>
      </c>
      <c r="N877" s="25" t="str">
        <f>TEXT(tbl_Ledger[[#This Row],[Date]],"yyyy-mm")</f>
        <v>2025-08</v>
      </c>
      <c r="O877" s="25" t="str">
        <f>TEXT(tbl_Ledger[[#This Row],[Date]],"yyyy-mm") &amp; TRIM(tbl_Ledger[[#This Row],[Currency]])</f>
        <v>2025-08NGN</v>
      </c>
      <c r="P877" s="25">
        <f>_xlfn.XLOOKUP(tbl_Ledger[[#This Row],[Key]], tbl_FX[Key], tbl_FX[Rate_to_NGN])</f>
        <v>1</v>
      </c>
      <c r="Q877" s="37">
        <f>IF(tbl_Ledger[[#This Row],[Account_Type]]="Expense",-ABS(tbl_Ledger[[#This Row],[Amount]]*tbl_Ledger[[#This Row],[Rate_to_NGN]]),tbl_Ledger[[#This Row],[Amount]]*tbl_Ledger[[#This Row],[Rate_to_NGN]])</f>
        <v>29600</v>
      </c>
      <c r="R877" s="25" t="str">
        <f>_xlfn.XLOOKUP(tbl_Ledger[[#This Row],[Account_Code]], tbl_Accounts[Account_Code], tbl_Accounts[Type])</f>
        <v>Revenue</v>
      </c>
      <c r="S877" s="25" t="str">
        <f>_xlfn.XLOOKUP(tbl_Ledger[[#This Row],[Account_Code]], tbl_Accounts[Account_Code], tbl_Accounts[PL_Bucket])</f>
        <v>Revenue</v>
      </c>
      <c r="T877" s="25">
        <f t="shared" si="13"/>
        <v>29600</v>
      </c>
    </row>
    <row r="878" spans="1:20">
      <c r="A878" t="s">
        <v>2367</v>
      </c>
      <c r="B878" s="7">
        <v>45895</v>
      </c>
      <c r="C878" t="s">
        <v>93</v>
      </c>
      <c r="D878" t="s">
        <v>111</v>
      </c>
      <c r="E878" t="s">
        <v>112</v>
      </c>
      <c r="F878" s="12" t="s">
        <v>24</v>
      </c>
      <c r="G878" t="s">
        <v>25</v>
      </c>
      <c r="H878" t="s">
        <v>2368</v>
      </c>
      <c r="I878" t="s">
        <v>71</v>
      </c>
      <c r="J878" s="6">
        <v>52000</v>
      </c>
      <c r="K878" t="s">
        <v>3</v>
      </c>
      <c r="L878" t="s">
        <v>2369</v>
      </c>
      <c r="M878" t="s">
        <v>3</v>
      </c>
      <c r="N878" s="25" t="str">
        <f>TEXT(tbl_Ledger[[#This Row],[Date]],"yyyy-mm")</f>
        <v>2025-08</v>
      </c>
      <c r="O878" s="25" t="str">
        <f>TEXT(tbl_Ledger[[#This Row],[Date]],"yyyy-mm") &amp; TRIM(tbl_Ledger[[#This Row],[Currency]])</f>
        <v>2025-08NGN</v>
      </c>
      <c r="P878" s="25">
        <f>_xlfn.XLOOKUP(tbl_Ledger[[#This Row],[Key]], tbl_FX[Key], tbl_FX[Rate_to_NGN])</f>
        <v>1</v>
      </c>
      <c r="Q878" s="37">
        <f>IF(tbl_Ledger[[#This Row],[Account_Type]]="Expense",-ABS(tbl_Ledger[[#This Row],[Amount]]*tbl_Ledger[[#This Row],[Rate_to_NGN]]),tbl_Ledger[[#This Row],[Amount]]*tbl_Ledger[[#This Row],[Rate_to_NGN]])</f>
        <v>52000</v>
      </c>
      <c r="R878" s="25" t="str">
        <f>_xlfn.XLOOKUP(tbl_Ledger[[#This Row],[Account_Code]], tbl_Accounts[Account_Code], tbl_Accounts[Type])</f>
        <v>Revenue</v>
      </c>
      <c r="S878" s="25" t="str">
        <f>_xlfn.XLOOKUP(tbl_Ledger[[#This Row],[Account_Code]], tbl_Accounts[Account_Code], tbl_Accounts[PL_Bucket])</f>
        <v>Revenue</v>
      </c>
      <c r="T878" s="25">
        <f t="shared" si="13"/>
        <v>52000</v>
      </c>
    </row>
    <row r="879" spans="1:20">
      <c r="A879" t="s">
        <v>2370</v>
      </c>
      <c r="B879" s="7">
        <v>45895</v>
      </c>
      <c r="C879" t="s">
        <v>93</v>
      </c>
      <c r="D879" t="s">
        <v>111</v>
      </c>
      <c r="E879" t="s">
        <v>116</v>
      </c>
      <c r="F879" s="12" t="s">
        <v>24</v>
      </c>
      <c r="G879" t="s">
        <v>25</v>
      </c>
      <c r="H879" t="s">
        <v>2371</v>
      </c>
      <c r="I879" t="s">
        <v>71</v>
      </c>
      <c r="J879" s="6">
        <v>50100</v>
      </c>
      <c r="K879" t="s">
        <v>3</v>
      </c>
      <c r="L879" t="s">
        <v>2369</v>
      </c>
      <c r="M879" t="s">
        <v>3</v>
      </c>
      <c r="N879" s="25" t="str">
        <f>TEXT(tbl_Ledger[[#This Row],[Date]],"yyyy-mm")</f>
        <v>2025-08</v>
      </c>
      <c r="O879" s="25" t="str">
        <f>TEXT(tbl_Ledger[[#This Row],[Date]],"yyyy-mm") &amp; TRIM(tbl_Ledger[[#This Row],[Currency]])</f>
        <v>2025-08NGN</v>
      </c>
      <c r="P879" s="25">
        <f>_xlfn.XLOOKUP(tbl_Ledger[[#This Row],[Key]], tbl_FX[Key], tbl_FX[Rate_to_NGN])</f>
        <v>1</v>
      </c>
      <c r="Q879" s="37">
        <f>IF(tbl_Ledger[[#This Row],[Account_Type]]="Expense",-ABS(tbl_Ledger[[#This Row],[Amount]]*tbl_Ledger[[#This Row],[Rate_to_NGN]]),tbl_Ledger[[#This Row],[Amount]]*tbl_Ledger[[#This Row],[Rate_to_NGN]])</f>
        <v>50100</v>
      </c>
      <c r="R879" s="25" t="str">
        <f>_xlfn.XLOOKUP(tbl_Ledger[[#This Row],[Account_Code]], tbl_Accounts[Account_Code], tbl_Accounts[Type])</f>
        <v>Revenue</v>
      </c>
      <c r="S879" s="25" t="str">
        <f>_xlfn.XLOOKUP(tbl_Ledger[[#This Row],[Account_Code]], tbl_Accounts[Account_Code], tbl_Accounts[PL_Bucket])</f>
        <v>Revenue</v>
      </c>
      <c r="T879" s="25">
        <f t="shared" si="13"/>
        <v>50100</v>
      </c>
    </row>
    <row r="880" spans="1:20">
      <c r="A880" t="s">
        <v>2372</v>
      </c>
      <c r="B880" s="7">
        <v>45895</v>
      </c>
      <c r="C880" t="s">
        <v>93</v>
      </c>
      <c r="D880" t="s">
        <v>111</v>
      </c>
      <c r="E880" t="s">
        <v>119</v>
      </c>
      <c r="F880" s="12" t="s">
        <v>24</v>
      </c>
      <c r="G880" t="s">
        <v>25</v>
      </c>
      <c r="H880" t="s">
        <v>2373</v>
      </c>
      <c r="I880" t="s">
        <v>71</v>
      </c>
      <c r="J880" s="6">
        <v>48000</v>
      </c>
      <c r="K880" t="s">
        <v>3</v>
      </c>
      <c r="L880" t="s">
        <v>2369</v>
      </c>
      <c r="M880" t="s">
        <v>3</v>
      </c>
      <c r="N880" s="25" t="str">
        <f>TEXT(tbl_Ledger[[#This Row],[Date]],"yyyy-mm")</f>
        <v>2025-08</v>
      </c>
      <c r="O880" s="25" t="str">
        <f>TEXT(tbl_Ledger[[#This Row],[Date]],"yyyy-mm") &amp; TRIM(tbl_Ledger[[#This Row],[Currency]])</f>
        <v>2025-08NGN</v>
      </c>
      <c r="P880" s="25">
        <f>_xlfn.XLOOKUP(tbl_Ledger[[#This Row],[Key]], tbl_FX[Key], tbl_FX[Rate_to_NGN])</f>
        <v>1</v>
      </c>
      <c r="Q880" s="37">
        <f>IF(tbl_Ledger[[#This Row],[Account_Type]]="Expense",-ABS(tbl_Ledger[[#This Row],[Amount]]*tbl_Ledger[[#This Row],[Rate_to_NGN]]),tbl_Ledger[[#This Row],[Amount]]*tbl_Ledger[[#This Row],[Rate_to_NGN]])</f>
        <v>48000</v>
      </c>
      <c r="R880" s="25" t="str">
        <f>_xlfn.XLOOKUP(tbl_Ledger[[#This Row],[Account_Code]], tbl_Accounts[Account_Code], tbl_Accounts[Type])</f>
        <v>Revenue</v>
      </c>
      <c r="S880" s="25" t="str">
        <f>_xlfn.XLOOKUP(tbl_Ledger[[#This Row],[Account_Code]], tbl_Accounts[Account_Code], tbl_Accounts[PL_Bucket])</f>
        <v>Revenue</v>
      </c>
      <c r="T880" s="25">
        <f t="shared" si="13"/>
        <v>48000</v>
      </c>
    </row>
    <row r="881" spans="1:20">
      <c r="A881" t="s">
        <v>2374</v>
      </c>
      <c r="B881" s="7">
        <v>45895</v>
      </c>
      <c r="C881" t="s">
        <v>93</v>
      </c>
      <c r="D881" t="s">
        <v>111</v>
      </c>
      <c r="E881" t="s">
        <v>122</v>
      </c>
      <c r="F881" s="12" t="s">
        <v>24</v>
      </c>
      <c r="G881" t="s">
        <v>25</v>
      </c>
      <c r="H881" t="s">
        <v>2375</v>
      </c>
      <c r="I881" t="s">
        <v>71</v>
      </c>
      <c r="J881" s="6">
        <v>51200</v>
      </c>
      <c r="K881" t="s">
        <v>3</v>
      </c>
      <c r="L881" t="s">
        <v>2376</v>
      </c>
      <c r="M881" t="s">
        <v>3</v>
      </c>
      <c r="N881" s="25" t="str">
        <f>TEXT(tbl_Ledger[[#This Row],[Date]],"yyyy-mm")</f>
        <v>2025-08</v>
      </c>
      <c r="O881" s="25" t="str">
        <f>TEXT(tbl_Ledger[[#This Row],[Date]],"yyyy-mm") &amp; TRIM(tbl_Ledger[[#This Row],[Currency]])</f>
        <v>2025-08NGN</v>
      </c>
      <c r="P881" s="25">
        <f>_xlfn.XLOOKUP(tbl_Ledger[[#This Row],[Key]], tbl_FX[Key], tbl_FX[Rate_to_NGN])</f>
        <v>1</v>
      </c>
      <c r="Q881" s="37">
        <f>IF(tbl_Ledger[[#This Row],[Account_Type]]="Expense",-ABS(tbl_Ledger[[#This Row],[Amount]]*tbl_Ledger[[#This Row],[Rate_to_NGN]]),tbl_Ledger[[#This Row],[Amount]]*tbl_Ledger[[#This Row],[Rate_to_NGN]])</f>
        <v>51200</v>
      </c>
      <c r="R881" s="25" t="str">
        <f>_xlfn.XLOOKUP(tbl_Ledger[[#This Row],[Account_Code]], tbl_Accounts[Account_Code], tbl_Accounts[Type])</f>
        <v>Revenue</v>
      </c>
      <c r="S881" s="25" t="str">
        <f>_xlfn.XLOOKUP(tbl_Ledger[[#This Row],[Account_Code]], tbl_Accounts[Account_Code], tbl_Accounts[PL_Bucket])</f>
        <v>Revenue</v>
      </c>
      <c r="T881" s="25">
        <f t="shared" si="13"/>
        <v>51200</v>
      </c>
    </row>
    <row r="882" spans="1:20">
      <c r="A882" t="s">
        <v>2377</v>
      </c>
      <c r="B882" s="7">
        <v>45895</v>
      </c>
      <c r="C882" t="s">
        <v>126</v>
      </c>
      <c r="D882" t="s">
        <v>88</v>
      </c>
      <c r="E882" t="s">
        <v>127</v>
      </c>
      <c r="F882" s="12" t="s">
        <v>29</v>
      </c>
      <c r="G882" t="s">
        <v>30</v>
      </c>
      <c r="H882" t="s">
        <v>2378</v>
      </c>
      <c r="I882" t="s">
        <v>71</v>
      </c>
      <c r="J882" s="6">
        <v>47700</v>
      </c>
      <c r="K882" t="s">
        <v>129</v>
      </c>
      <c r="L882" t="s">
        <v>2379</v>
      </c>
      <c r="M882" t="s">
        <v>3</v>
      </c>
      <c r="N882" s="25" t="str">
        <f>TEXT(tbl_Ledger[[#This Row],[Date]],"yyyy-mm")</f>
        <v>2025-08</v>
      </c>
      <c r="O882" s="25" t="str">
        <f>TEXT(tbl_Ledger[[#This Row],[Date]],"yyyy-mm") &amp; TRIM(tbl_Ledger[[#This Row],[Currency]])</f>
        <v>2025-08NGN</v>
      </c>
      <c r="P882" s="25">
        <f>_xlfn.XLOOKUP(tbl_Ledger[[#This Row],[Key]], tbl_FX[Key], tbl_FX[Rate_to_NGN])</f>
        <v>1</v>
      </c>
      <c r="Q882" s="37">
        <f>IF(tbl_Ledger[[#This Row],[Account_Type]]="Expense",-ABS(tbl_Ledger[[#This Row],[Amount]]*tbl_Ledger[[#This Row],[Rate_to_NGN]]),tbl_Ledger[[#This Row],[Amount]]*tbl_Ledger[[#This Row],[Rate_to_NGN]])</f>
        <v>47700</v>
      </c>
      <c r="R882" s="25" t="str">
        <f>_xlfn.XLOOKUP(tbl_Ledger[[#This Row],[Account_Code]], tbl_Accounts[Account_Code], tbl_Accounts[Type])</f>
        <v>Revenue</v>
      </c>
      <c r="S882" s="25" t="str">
        <f>_xlfn.XLOOKUP(tbl_Ledger[[#This Row],[Account_Code]], tbl_Accounts[Account_Code], tbl_Accounts[PL_Bucket])</f>
        <v>Revenue</v>
      </c>
      <c r="T882" s="25">
        <f t="shared" si="13"/>
        <v>47700</v>
      </c>
    </row>
    <row r="883" spans="1:20">
      <c r="A883" t="s">
        <v>2380</v>
      </c>
      <c r="B883" s="7">
        <v>45895</v>
      </c>
      <c r="C883" t="s">
        <v>126</v>
      </c>
      <c r="D883" t="s">
        <v>88</v>
      </c>
      <c r="E883" t="s">
        <v>132</v>
      </c>
      <c r="F883" s="12" t="s">
        <v>29</v>
      </c>
      <c r="G883" t="s">
        <v>30</v>
      </c>
      <c r="H883" t="s">
        <v>2381</v>
      </c>
      <c r="I883" t="s">
        <v>72</v>
      </c>
      <c r="J883" s="6">
        <v>33.4</v>
      </c>
      <c r="K883" t="s">
        <v>134</v>
      </c>
      <c r="L883" t="s">
        <v>2379</v>
      </c>
      <c r="M883" t="s">
        <v>3</v>
      </c>
      <c r="N883" s="25" t="str">
        <f>TEXT(tbl_Ledger[[#This Row],[Date]],"yyyy-mm")</f>
        <v>2025-08</v>
      </c>
      <c r="O883" s="25" t="str">
        <f>TEXT(tbl_Ledger[[#This Row],[Date]],"yyyy-mm") &amp; TRIM(tbl_Ledger[[#This Row],[Currency]])</f>
        <v>2025-08USD</v>
      </c>
      <c r="P883" s="25">
        <f>_xlfn.XLOOKUP(tbl_Ledger[[#This Row],[Key]], tbl_FX[Key], tbl_FX[Rate_to_NGN])</f>
        <v>1572</v>
      </c>
      <c r="Q883" s="37">
        <f>IF(tbl_Ledger[[#This Row],[Account_Type]]="Expense",-ABS(tbl_Ledger[[#This Row],[Amount]]*tbl_Ledger[[#This Row],[Rate_to_NGN]]),tbl_Ledger[[#This Row],[Amount]]*tbl_Ledger[[#This Row],[Rate_to_NGN]])</f>
        <v>52504.799999999996</v>
      </c>
      <c r="R883" s="25" t="str">
        <f>_xlfn.XLOOKUP(tbl_Ledger[[#This Row],[Account_Code]], tbl_Accounts[Account_Code], tbl_Accounts[Type])</f>
        <v>Revenue</v>
      </c>
      <c r="S883" s="25" t="str">
        <f>_xlfn.XLOOKUP(tbl_Ledger[[#This Row],[Account_Code]], tbl_Accounts[Account_Code], tbl_Accounts[PL_Bucket])</f>
        <v>Revenue</v>
      </c>
      <c r="T883" s="25">
        <f t="shared" si="13"/>
        <v>52504.799999999996</v>
      </c>
    </row>
    <row r="884" spans="1:20">
      <c r="A884" t="s">
        <v>2382</v>
      </c>
      <c r="B884" s="7">
        <v>45895</v>
      </c>
      <c r="C884" t="s">
        <v>126</v>
      </c>
      <c r="D884" t="s">
        <v>88</v>
      </c>
      <c r="E884" t="s">
        <v>136</v>
      </c>
      <c r="F884" s="12" t="s">
        <v>29</v>
      </c>
      <c r="G884" t="s">
        <v>30</v>
      </c>
      <c r="H884" t="s">
        <v>2383</v>
      </c>
      <c r="I884" t="s">
        <v>72</v>
      </c>
      <c r="J884" s="6">
        <v>31.81</v>
      </c>
      <c r="K884" t="s">
        <v>138</v>
      </c>
      <c r="L884" t="s">
        <v>2379</v>
      </c>
      <c r="M884" t="s">
        <v>3</v>
      </c>
      <c r="N884" s="25" t="str">
        <f>TEXT(tbl_Ledger[[#This Row],[Date]],"yyyy-mm")</f>
        <v>2025-08</v>
      </c>
      <c r="O884" s="25" t="str">
        <f>TEXT(tbl_Ledger[[#This Row],[Date]],"yyyy-mm") &amp; TRIM(tbl_Ledger[[#This Row],[Currency]])</f>
        <v>2025-08USD</v>
      </c>
      <c r="P884" s="25">
        <f>_xlfn.XLOOKUP(tbl_Ledger[[#This Row],[Key]], tbl_FX[Key], tbl_FX[Rate_to_NGN])</f>
        <v>1572</v>
      </c>
      <c r="Q884" s="37">
        <f>IF(tbl_Ledger[[#This Row],[Account_Type]]="Expense",-ABS(tbl_Ledger[[#This Row],[Amount]]*tbl_Ledger[[#This Row],[Rate_to_NGN]]),tbl_Ledger[[#This Row],[Amount]]*tbl_Ledger[[#This Row],[Rate_to_NGN]])</f>
        <v>50005.32</v>
      </c>
      <c r="R884" s="25" t="str">
        <f>_xlfn.XLOOKUP(tbl_Ledger[[#This Row],[Account_Code]], tbl_Accounts[Account_Code], tbl_Accounts[Type])</f>
        <v>Revenue</v>
      </c>
      <c r="S884" s="25" t="str">
        <f>_xlfn.XLOOKUP(tbl_Ledger[[#This Row],[Account_Code]], tbl_Accounts[Account_Code], tbl_Accounts[PL_Bucket])</f>
        <v>Revenue</v>
      </c>
      <c r="T884" s="25">
        <f t="shared" si="13"/>
        <v>50005.32</v>
      </c>
    </row>
    <row r="885" spans="1:20">
      <c r="A885" t="s">
        <v>2384</v>
      </c>
      <c r="B885" s="7">
        <v>45895</v>
      </c>
      <c r="C885" t="s">
        <v>126</v>
      </c>
      <c r="D885" t="s">
        <v>88</v>
      </c>
      <c r="E885" t="s">
        <v>140</v>
      </c>
      <c r="F885" s="12" t="s">
        <v>29</v>
      </c>
      <c r="G885" t="s">
        <v>30</v>
      </c>
      <c r="H885" t="s">
        <v>2385</v>
      </c>
      <c r="I885" t="s">
        <v>71</v>
      </c>
      <c r="J885" s="6">
        <v>51900</v>
      </c>
      <c r="K885" t="s">
        <v>3</v>
      </c>
      <c r="L885" t="s">
        <v>2386</v>
      </c>
      <c r="M885" t="s">
        <v>3</v>
      </c>
      <c r="N885" s="25" t="str">
        <f>TEXT(tbl_Ledger[[#This Row],[Date]],"yyyy-mm")</f>
        <v>2025-08</v>
      </c>
      <c r="O885" s="25" t="str">
        <f>TEXT(tbl_Ledger[[#This Row],[Date]],"yyyy-mm") &amp; TRIM(tbl_Ledger[[#This Row],[Currency]])</f>
        <v>2025-08NGN</v>
      </c>
      <c r="P885" s="25">
        <f>_xlfn.XLOOKUP(tbl_Ledger[[#This Row],[Key]], tbl_FX[Key], tbl_FX[Rate_to_NGN])</f>
        <v>1</v>
      </c>
      <c r="Q885" s="37">
        <f>IF(tbl_Ledger[[#This Row],[Account_Type]]="Expense",-ABS(tbl_Ledger[[#This Row],[Amount]]*tbl_Ledger[[#This Row],[Rate_to_NGN]]),tbl_Ledger[[#This Row],[Amount]]*tbl_Ledger[[#This Row],[Rate_to_NGN]])</f>
        <v>51900</v>
      </c>
      <c r="R885" s="25" t="str">
        <f>_xlfn.XLOOKUP(tbl_Ledger[[#This Row],[Account_Code]], tbl_Accounts[Account_Code], tbl_Accounts[Type])</f>
        <v>Revenue</v>
      </c>
      <c r="S885" s="25" t="str">
        <f>_xlfn.XLOOKUP(tbl_Ledger[[#This Row],[Account_Code]], tbl_Accounts[Account_Code], tbl_Accounts[PL_Bucket])</f>
        <v>Revenue</v>
      </c>
      <c r="T885" s="25">
        <f t="shared" si="13"/>
        <v>51900</v>
      </c>
    </row>
    <row r="886" spans="1:20">
      <c r="A886" t="s">
        <v>2387</v>
      </c>
      <c r="B886" s="7">
        <v>45895</v>
      </c>
      <c r="C886" t="s">
        <v>87</v>
      </c>
      <c r="D886" t="s">
        <v>111</v>
      </c>
      <c r="E886" t="s">
        <v>3</v>
      </c>
      <c r="F886" s="12" t="s">
        <v>36</v>
      </c>
      <c r="G886" t="s">
        <v>37</v>
      </c>
      <c r="H886" t="s">
        <v>1879</v>
      </c>
      <c r="I886" t="s">
        <v>71</v>
      </c>
      <c r="J886" s="6">
        <v>-2129000</v>
      </c>
      <c r="K886" t="s">
        <v>145</v>
      </c>
      <c r="L886" t="s">
        <v>2388</v>
      </c>
      <c r="M886" t="s">
        <v>3</v>
      </c>
      <c r="N886" s="25" t="str">
        <f>TEXT(tbl_Ledger[[#This Row],[Date]],"yyyy-mm")</f>
        <v>2025-08</v>
      </c>
      <c r="O886" s="25" t="str">
        <f>TEXT(tbl_Ledger[[#This Row],[Date]],"yyyy-mm") &amp; TRIM(tbl_Ledger[[#This Row],[Currency]])</f>
        <v>2025-08NGN</v>
      </c>
      <c r="P886" s="25">
        <f>_xlfn.XLOOKUP(tbl_Ledger[[#This Row],[Key]], tbl_FX[Key], tbl_FX[Rate_to_NGN])</f>
        <v>1</v>
      </c>
      <c r="Q886" s="37">
        <f>IF(tbl_Ledger[[#This Row],[Account_Type]]="Expense",-ABS(tbl_Ledger[[#This Row],[Amount]]*tbl_Ledger[[#This Row],[Rate_to_NGN]]),tbl_Ledger[[#This Row],[Amount]]*tbl_Ledger[[#This Row],[Rate_to_NGN]])</f>
        <v>-2129000</v>
      </c>
      <c r="R886" s="25" t="str">
        <f>_xlfn.XLOOKUP(tbl_Ledger[[#This Row],[Account_Code]], tbl_Accounts[Account_Code], tbl_Accounts[Type])</f>
        <v>COGS</v>
      </c>
      <c r="S886" s="25" t="str">
        <f>_xlfn.XLOOKUP(tbl_Ledger[[#This Row],[Account_Code]], tbl_Accounts[Account_Code], tbl_Accounts[PL_Bucket])</f>
        <v>COGS</v>
      </c>
      <c r="T886" s="25">
        <f t="shared" si="13"/>
        <v>-2129000</v>
      </c>
    </row>
    <row r="887" spans="1:20">
      <c r="A887" t="s">
        <v>2389</v>
      </c>
      <c r="B887" s="7">
        <v>45896</v>
      </c>
      <c r="C887" t="s">
        <v>93</v>
      </c>
      <c r="D887" t="s">
        <v>94</v>
      </c>
      <c r="E887" t="s">
        <v>95</v>
      </c>
      <c r="F887" s="12" t="s">
        <v>24</v>
      </c>
      <c r="G887" t="s">
        <v>25</v>
      </c>
      <c r="H887" t="s">
        <v>2390</v>
      </c>
      <c r="I887" t="s">
        <v>71</v>
      </c>
      <c r="J887" s="6">
        <v>29400</v>
      </c>
      <c r="K887" t="s">
        <v>3</v>
      </c>
      <c r="L887" t="s">
        <v>2391</v>
      </c>
      <c r="M887" t="s">
        <v>3</v>
      </c>
      <c r="N887" s="25" t="str">
        <f>TEXT(tbl_Ledger[[#This Row],[Date]],"yyyy-mm")</f>
        <v>2025-08</v>
      </c>
      <c r="O887" s="25" t="str">
        <f>TEXT(tbl_Ledger[[#This Row],[Date]],"yyyy-mm") &amp; TRIM(tbl_Ledger[[#This Row],[Currency]])</f>
        <v>2025-08NGN</v>
      </c>
      <c r="P887" s="25">
        <f>_xlfn.XLOOKUP(tbl_Ledger[[#This Row],[Key]], tbl_FX[Key], tbl_FX[Rate_to_NGN])</f>
        <v>1</v>
      </c>
      <c r="Q887" s="37">
        <f>IF(tbl_Ledger[[#This Row],[Account_Type]]="Expense",-ABS(tbl_Ledger[[#This Row],[Amount]]*tbl_Ledger[[#This Row],[Rate_to_NGN]]),tbl_Ledger[[#This Row],[Amount]]*tbl_Ledger[[#This Row],[Rate_to_NGN]])</f>
        <v>29400</v>
      </c>
      <c r="R887" s="25" t="str">
        <f>_xlfn.XLOOKUP(tbl_Ledger[[#This Row],[Account_Code]], tbl_Accounts[Account_Code], tbl_Accounts[Type])</f>
        <v>Revenue</v>
      </c>
      <c r="S887" s="25" t="str">
        <f>_xlfn.XLOOKUP(tbl_Ledger[[#This Row],[Account_Code]], tbl_Accounts[Account_Code], tbl_Accounts[PL_Bucket])</f>
        <v>Revenue</v>
      </c>
      <c r="T887" s="25">
        <f t="shared" si="13"/>
        <v>29400</v>
      </c>
    </row>
    <row r="888" spans="1:20">
      <c r="A888" t="s">
        <v>2392</v>
      </c>
      <c r="B888" s="7">
        <v>45896</v>
      </c>
      <c r="C888" t="s">
        <v>93</v>
      </c>
      <c r="D888" t="s">
        <v>94</v>
      </c>
      <c r="E888" t="s">
        <v>99</v>
      </c>
      <c r="F888" s="12" t="s">
        <v>24</v>
      </c>
      <c r="G888" t="s">
        <v>25</v>
      </c>
      <c r="H888" t="s">
        <v>2393</v>
      </c>
      <c r="I888" t="s">
        <v>71</v>
      </c>
      <c r="J888" s="6">
        <v>30600</v>
      </c>
      <c r="K888" t="s">
        <v>3</v>
      </c>
      <c r="L888" t="s">
        <v>2394</v>
      </c>
      <c r="M888" t="s">
        <v>3</v>
      </c>
      <c r="N888" s="25" t="str">
        <f>TEXT(tbl_Ledger[[#This Row],[Date]],"yyyy-mm")</f>
        <v>2025-08</v>
      </c>
      <c r="O888" s="25" t="str">
        <f>TEXT(tbl_Ledger[[#This Row],[Date]],"yyyy-mm") &amp; TRIM(tbl_Ledger[[#This Row],[Currency]])</f>
        <v>2025-08NGN</v>
      </c>
      <c r="P888" s="25">
        <f>_xlfn.XLOOKUP(tbl_Ledger[[#This Row],[Key]], tbl_FX[Key], tbl_FX[Rate_to_NGN])</f>
        <v>1</v>
      </c>
      <c r="Q888" s="37">
        <f>IF(tbl_Ledger[[#This Row],[Account_Type]]="Expense",-ABS(tbl_Ledger[[#This Row],[Amount]]*tbl_Ledger[[#This Row],[Rate_to_NGN]]),tbl_Ledger[[#This Row],[Amount]]*tbl_Ledger[[#This Row],[Rate_to_NGN]])</f>
        <v>30600</v>
      </c>
      <c r="R888" s="25" t="str">
        <f>_xlfn.XLOOKUP(tbl_Ledger[[#This Row],[Account_Code]], tbl_Accounts[Account_Code], tbl_Accounts[Type])</f>
        <v>Revenue</v>
      </c>
      <c r="S888" s="25" t="str">
        <f>_xlfn.XLOOKUP(tbl_Ledger[[#This Row],[Account_Code]], tbl_Accounts[Account_Code], tbl_Accounts[PL_Bucket])</f>
        <v>Revenue</v>
      </c>
      <c r="T888" s="25">
        <f t="shared" si="13"/>
        <v>30600</v>
      </c>
    </row>
    <row r="889" spans="1:20">
      <c r="A889" t="s">
        <v>2395</v>
      </c>
      <c r="B889" s="7">
        <v>45896</v>
      </c>
      <c r="C889" t="s">
        <v>93</v>
      </c>
      <c r="D889" t="s">
        <v>94</v>
      </c>
      <c r="E889" t="s">
        <v>103</v>
      </c>
      <c r="F889" s="12" t="s">
        <v>24</v>
      </c>
      <c r="G889" t="s">
        <v>25</v>
      </c>
      <c r="H889" t="s">
        <v>2396</v>
      </c>
      <c r="I889" t="s">
        <v>71</v>
      </c>
      <c r="J889" s="6">
        <v>27700</v>
      </c>
      <c r="K889" t="s">
        <v>3</v>
      </c>
      <c r="L889" t="s">
        <v>2397</v>
      </c>
      <c r="M889" t="s">
        <v>3</v>
      </c>
      <c r="N889" s="25" t="str">
        <f>TEXT(tbl_Ledger[[#This Row],[Date]],"yyyy-mm")</f>
        <v>2025-08</v>
      </c>
      <c r="O889" s="25" t="str">
        <f>TEXT(tbl_Ledger[[#This Row],[Date]],"yyyy-mm") &amp; TRIM(tbl_Ledger[[#This Row],[Currency]])</f>
        <v>2025-08NGN</v>
      </c>
      <c r="P889" s="25">
        <f>_xlfn.XLOOKUP(tbl_Ledger[[#This Row],[Key]], tbl_FX[Key], tbl_FX[Rate_to_NGN])</f>
        <v>1</v>
      </c>
      <c r="Q889" s="37">
        <f>IF(tbl_Ledger[[#This Row],[Account_Type]]="Expense",-ABS(tbl_Ledger[[#This Row],[Amount]]*tbl_Ledger[[#This Row],[Rate_to_NGN]]),tbl_Ledger[[#This Row],[Amount]]*tbl_Ledger[[#This Row],[Rate_to_NGN]])</f>
        <v>27700</v>
      </c>
      <c r="R889" s="25" t="str">
        <f>_xlfn.XLOOKUP(tbl_Ledger[[#This Row],[Account_Code]], tbl_Accounts[Account_Code], tbl_Accounts[Type])</f>
        <v>Revenue</v>
      </c>
      <c r="S889" s="25" t="str">
        <f>_xlfn.XLOOKUP(tbl_Ledger[[#This Row],[Account_Code]], tbl_Accounts[Account_Code], tbl_Accounts[PL_Bucket])</f>
        <v>Revenue</v>
      </c>
      <c r="T889" s="25">
        <f t="shared" si="13"/>
        <v>27700</v>
      </c>
    </row>
    <row r="890" spans="1:20">
      <c r="A890" t="s">
        <v>2398</v>
      </c>
      <c r="B890" s="7">
        <v>45896</v>
      </c>
      <c r="C890" t="s">
        <v>93</v>
      </c>
      <c r="D890" t="s">
        <v>94</v>
      </c>
      <c r="E890" t="s">
        <v>160</v>
      </c>
      <c r="F890" s="12" t="s">
        <v>24</v>
      </c>
      <c r="G890" t="s">
        <v>25</v>
      </c>
      <c r="H890" t="s">
        <v>2399</v>
      </c>
      <c r="I890" t="s">
        <v>71</v>
      </c>
      <c r="J890" s="6">
        <v>30300</v>
      </c>
      <c r="K890" t="s">
        <v>3</v>
      </c>
      <c r="L890" t="s">
        <v>2397</v>
      </c>
      <c r="M890" t="s">
        <v>3</v>
      </c>
      <c r="N890" s="25" t="str">
        <f>TEXT(tbl_Ledger[[#This Row],[Date]],"yyyy-mm")</f>
        <v>2025-08</v>
      </c>
      <c r="O890" s="25" t="str">
        <f>TEXT(tbl_Ledger[[#This Row],[Date]],"yyyy-mm") &amp; TRIM(tbl_Ledger[[#This Row],[Currency]])</f>
        <v>2025-08NGN</v>
      </c>
      <c r="P890" s="25">
        <f>_xlfn.XLOOKUP(tbl_Ledger[[#This Row],[Key]], tbl_FX[Key], tbl_FX[Rate_to_NGN])</f>
        <v>1</v>
      </c>
      <c r="Q890" s="37">
        <f>IF(tbl_Ledger[[#This Row],[Account_Type]]="Expense",-ABS(tbl_Ledger[[#This Row],[Amount]]*tbl_Ledger[[#This Row],[Rate_to_NGN]]),tbl_Ledger[[#This Row],[Amount]]*tbl_Ledger[[#This Row],[Rate_to_NGN]])</f>
        <v>30300</v>
      </c>
      <c r="R890" s="25" t="str">
        <f>_xlfn.XLOOKUP(tbl_Ledger[[#This Row],[Account_Code]], tbl_Accounts[Account_Code], tbl_Accounts[Type])</f>
        <v>Revenue</v>
      </c>
      <c r="S890" s="25" t="str">
        <f>_xlfn.XLOOKUP(tbl_Ledger[[#This Row],[Account_Code]], tbl_Accounts[Account_Code], tbl_Accounts[PL_Bucket])</f>
        <v>Revenue</v>
      </c>
      <c r="T890" s="25">
        <f t="shared" si="13"/>
        <v>30300</v>
      </c>
    </row>
    <row r="891" spans="1:20">
      <c r="A891" t="s">
        <v>2400</v>
      </c>
      <c r="B891" s="7">
        <v>45896</v>
      </c>
      <c r="C891" t="s">
        <v>93</v>
      </c>
      <c r="D891" t="s">
        <v>94</v>
      </c>
      <c r="E891" t="s">
        <v>107</v>
      </c>
      <c r="F891" s="12" t="s">
        <v>24</v>
      </c>
      <c r="G891" t="s">
        <v>25</v>
      </c>
      <c r="H891" t="s">
        <v>2401</v>
      </c>
      <c r="I891" t="s">
        <v>71</v>
      </c>
      <c r="J891" s="6">
        <v>27800</v>
      </c>
      <c r="K891" t="s">
        <v>3</v>
      </c>
      <c r="L891" t="s">
        <v>2402</v>
      </c>
      <c r="M891" t="s">
        <v>3</v>
      </c>
      <c r="N891" s="25" t="str">
        <f>TEXT(tbl_Ledger[[#This Row],[Date]],"yyyy-mm")</f>
        <v>2025-08</v>
      </c>
      <c r="O891" s="25" t="str">
        <f>TEXT(tbl_Ledger[[#This Row],[Date]],"yyyy-mm") &amp; TRIM(tbl_Ledger[[#This Row],[Currency]])</f>
        <v>2025-08NGN</v>
      </c>
      <c r="P891" s="25">
        <f>_xlfn.XLOOKUP(tbl_Ledger[[#This Row],[Key]], tbl_FX[Key], tbl_FX[Rate_to_NGN])</f>
        <v>1</v>
      </c>
      <c r="Q891" s="37">
        <f>IF(tbl_Ledger[[#This Row],[Account_Type]]="Expense",-ABS(tbl_Ledger[[#This Row],[Amount]]*tbl_Ledger[[#This Row],[Rate_to_NGN]]),tbl_Ledger[[#This Row],[Amount]]*tbl_Ledger[[#This Row],[Rate_to_NGN]])</f>
        <v>27800</v>
      </c>
      <c r="R891" s="25" t="str">
        <f>_xlfn.XLOOKUP(tbl_Ledger[[#This Row],[Account_Code]], tbl_Accounts[Account_Code], tbl_Accounts[Type])</f>
        <v>Revenue</v>
      </c>
      <c r="S891" s="25" t="str">
        <f>_xlfn.XLOOKUP(tbl_Ledger[[#This Row],[Account_Code]], tbl_Accounts[Account_Code], tbl_Accounts[PL_Bucket])</f>
        <v>Revenue</v>
      </c>
      <c r="T891" s="25">
        <f t="shared" si="13"/>
        <v>27800</v>
      </c>
    </row>
    <row r="892" spans="1:20">
      <c r="A892" t="s">
        <v>2403</v>
      </c>
      <c r="B892" s="7">
        <v>45896</v>
      </c>
      <c r="C892" t="s">
        <v>93</v>
      </c>
      <c r="D892" t="s">
        <v>111</v>
      </c>
      <c r="E892" t="s">
        <v>112</v>
      </c>
      <c r="F892" s="12" t="s">
        <v>24</v>
      </c>
      <c r="G892" t="s">
        <v>25</v>
      </c>
      <c r="H892" t="s">
        <v>2404</v>
      </c>
      <c r="I892" t="s">
        <v>71</v>
      </c>
      <c r="J892" s="6">
        <v>50100</v>
      </c>
      <c r="K892" t="s">
        <v>3</v>
      </c>
      <c r="L892" t="s">
        <v>2405</v>
      </c>
      <c r="M892" t="s">
        <v>3</v>
      </c>
      <c r="N892" s="25" t="str">
        <f>TEXT(tbl_Ledger[[#This Row],[Date]],"yyyy-mm")</f>
        <v>2025-08</v>
      </c>
      <c r="O892" s="25" t="str">
        <f>TEXT(tbl_Ledger[[#This Row],[Date]],"yyyy-mm") &amp; TRIM(tbl_Ledger[[#This Row],[Currency]])</f>
        <v>2025-08NGN</v>
      </c>
      <c r="P892" s="25">
        <f>_xlfn.XLOOKUP(tbl_Ledger[[#This Row],[Key]], tbl_FX[Key], tbl_FX[Rate_to_NGN])</f>
        <v>1</v>
      </c>
      <c r="Q892" s="37">
        <f>IF(tbl_Ledger[[#This Row],[Account_Type]]="Expense",-ABS(tbl_Ledger[[#This Row],[Amount]]*tbl_Ledger[[#This Row],[Rate_to_NGN]]),tbl_Ledger[[#This Row],[Amount]]*tbl_Ledger[[#This Row],[Rate_to_NGN]])</f>
        <v>50100</v>
      </c>
      <c r="R892" s="25" t="str">
        <f>_xlfn.XLOOKUP(tbl_Ledger[[#This Row],[Account_Code]], tbl_Accounts[Account_Code], tbl_Accounts[Type])</f>
        <v>Revenue</v>
      </c>
      <c r="S892" s="25" t="str">
        <f>_xlfn.XLOOKUP(tbl_Ledger[[#This Row],[Account_Code]], tbl_Accounts[Account_Code], tbl_Accounts[PL_Bucket])</f>
        <v>Revenue</v>
      </c>
      <c r="T892" s="25">
        <f t="shared" si="13"/>
        <v>50100</v>
      </c>
    </row>
    <row r="893" spans="1:20">
      <c r="A893" t="s">
        <v>2406</v>
      </c>
      <c r="B893" s="7">
        <v>45896</v>
      </c>
      <c r="C893" t="s">
        <v>93</v>
      </c>
      <c r="D893" t="s">
        <v>111</v>
      </c>
      <c r="E893" t="s">
        <v>116</v>
      </c>
      <c r="F893" s="12" t="s">
        <v>24</v>
      </c>
      <c r="G893" t="s">
        <v>25</v>
      </c>
      <c r="H893" t="s">
        <v>2407</v>
      </c>
      <c r="I893" t="s">
        <v>71</v>
      </c>
      <c r="J893" s="6">
        <v>53200</v>
      </c>
      <c r="K893" t="s">
        <v>3</v>
      </c>
      <c r="L893" t="s">
        <v>2405</v>
      </c>
      <c r="M893" t="s">
        <v>3</v>
      </c>
      <c r="N893" s="25" t="str">
        <f>TEXT(tbl_Ledger[[#This Row],[Date]],"yyyy-mm")</f>
        <v>2025-08</v>
      </c>
      <c r="O893" s="25" t="str">
        <f>TEXT(tbl_Ledger[[#This Row],[Date]],"yyyy-mm") &amp; TRIM(tbl_Ledger[[#This Row],[Currency]])</f>
        <v>2025-08NGN</v>
      </c>
      <c r="P893" s="25">
        <f>_xlfn.XLOOKUP(tbl_Ledger[[#This Row],[Key]], tbl_FX[Key], tbl_FX[Rate_to_NGN])</f>
        <v>1</v>
      </c>
      <c r="Q893" s="37">
        <f>IF(tbl_Ledger[[#This Row],[Account_Type]]="Expense",-ABS(tbl_Ledger[[#This Row],[Amount]]*tbl_Ledger[[#This Row],[Rate_to_NGN]]),tbl_Ledger[[#This Row],[Amount]]*tbl_Ledger[[#This Row],[Rate_to_NGN]])</f>
        <v>53200</v>
      </c>
      <c r="R893" s="25" t="str">
        <f>_xlfn.XLOOKUP(tbl_Ledger[[#This Row],[Account_Code]], tbl_Accounts[Account_Code], tbl_Accounts[Type])</f>
        <v>Revenue</v>
      </c>
      <c r="S893" s="25" t="str">
        <f>_xlfn.XLOOKUP(tbl_Ledger[[#This Row],[Account_Code]], tbl_Accounts[Account_Code], tbl_Accounts[PL_Bucket])</f>
        <v>Revenue</v>
      </c>
      <c r="T893" s="25">
        <f t="shared" si="13"/>
        <v>53200</v>
      </c>
    </row>
    <row r="894" spans="1:20">
      <c r="A894" t="s">
        <v>2408</v>
      </c>
      <c r="B894" s="7">
        <v>45896</v>
      </c>
      <c r="C894" t="s">
        <v>93</v>
      </c>
      <c r="D894" t="s">
        <v>111</v>
      </c>
      <c r="E894" t="s">
        <v>170</v>
      </c>
      <c r="F894" s="12" t="s">
        <v>24</v>
      </c>
      <c r="G894" t="s">
        <v>25</v>
      </c>
      <c r="H894" t="s">
        <v>2409</v>
      </c>
      <c r="I894" t="s">
        <v>71</v>
      </c>
      <c r="J894" s="6">
        <v>50100</v>
      </c>
      <c r="K894" t="s">
        <v>3</v>
      </c>
      <c r="L894" t="s">
        <v>2405</v>
      </c>
      <c r="M894" t="s">
        <v>3</v>
      </c>
      <c r="N894" s="25" t="str">
        <f>TEXT(tbl_Ledger[[#This Row],[Date]],"yyyy-mm")</f>
        <v>2025-08</v>
      </c>
      <c r="O894" s="25" t="str">
        <f>TEXT(tbl_Ledger[[#This Row],[Date]],"yyyy-mm") &amp; TRIM(tbl_Ledger[[#This Row],[Currency]])</f>
        <v>2025-08NGN</v>
      </c>
      <c r="P894" s="25">
        <f>_xlfn.XLOOKUP(tbl_Ledger[[#This Row],[Key]], tbl_FX[Key], tbl_FX[Rate_to_NGN])</f>
        <v>1</v>
      </c>
      <c r="Q894" s="37">
        <f>IF(tbl_Ledger[[#This Row],[Account_Type]]="Expense",-ABS(tbl_Ledger[[#This Row],[Amount]]*tbl_Ledger[[#This Row],[Rate_to_NGN]]),tbl_Ledger[[#This Row],[Amount]]*tbl_Ledger[[#This Row],[Rate_to_NGN]])</f>
        <v>50100</v>
      </c>
      <c r="R894" s="25" t="str">
        <f>_xlfn.XLOOKUP(tbl_Ledger[[#This Row],[Account_Code]], tbl_Accounts[Account_Code], tbl_Accounts[Type])</f>
        <v>Revenue</v>
      </c>
      <c r="S894" s="25" t="str">
        <f>_xlfn.XLOOKUP(tbl_Ledger[[#This Row],[Account_Code]], tbl_Accounts[Account_Code], tbl_Accounts[PL_Bucket])</f>
        <v>Revenue</v>
      </c>
      <c r="T894" s="25">
        <f t="shared" si="13"/>
        <v>50100</v>
      </c>
    </row>
    <row r="895" spans="1:20">
      <c r="A895" t="s">
        <v>2410</v>
      </c>
      <c r="B895" s="7">
        <v>45896</v>
      </c>
      <c r="C895" t="s">
        <v>93</v>
      </c>
      <c r="D895" t="s">
        <v>111</v>
      </c>
      <c r="E895" t="s">
        <v>122</v>
      </c>
      <c r="F895" s="12" t="s">
        <v>24</v>
      </c>
      <c r="G895" t="s">
        <v>25</v>
      </c>
      <c r="H895" t="s">
        <v>2411</v>
      </c>
      <c r="I895" t="s">
        <v>71</v>
      </c>
      <c r="J895" s="6">
        <v>51400</v>
      </c>
      <c r="K895" t="s">
        <v>3</v>
      </c>
      <c r="L895" t="s">
        <v>2412</v>
      </c>
      <c r="M895" t="s">
        <v>3</v>
      </c>
      <c r="N895" s="25" t="str">
        <f>TEXT(tbl_Ledger[[#This Row],[Date]],"yyyy-mm")</f>
        <v>2025-08</v>
      </c>
      <c r="O895" s="25" t="str">
        <f>TEXT(tbl_Ledger[[#This Row],[Date]],"yyyy-mm") &amp; TRIM(tbl_Ledger[[#This Row],[Currency]])</f>
        <v>2025-08NGN</v>
      </c>
      <c r="P895" s="25">
        <f>_xlfn.XLOOKUP(tbl_Ledger[[#This Row],[Key]], tbl_FX[Key], tbl_FX[Rate_to_NGN])</f>
        <v>1</v>
      </c>
      <c r="Q895" s="37">
        <f>IF(tbl_Ledger[[#This Row],[Account_Type]]="Expense",-ABS(tbl_Ledger[[#This Row],[Amount]]*tbl_Ledger[[#This Row],[Rate_to_NGN]]),tbl_Ledger[[#This Row],[Amount]]*tbl_Ledger[[#This Row],[Rate_to_NGN]])</f>
        <v>51400</v>
      </c>
      <c r="R895" s="25" t="str">
        <f>_xlfn.XLOOKUP(tbl_Ledger[[#This Row],[Account_Code]], tbl_Accounts[Account_Code], tbl_Accounts[Type])</f>
        <v>Revenue</v>
      </c>
      <c r="S895" s="25" t="str">
        <f>_xlfn.XLOOKUP(tbl_Ledger[[#This Row],[Account_Code]], tbl_Accounts[Account_Code], tbl_Accounts[PL_Bucket])</f>
        <v>Revenue</v>
      </c>
      <c r="T895" s="25">
        <f t="shared" si="13"/>
        <v>51400</v>
      </c>
    </row>
    <row r="896" spans="1:20">
      <c r="A896" t="s">
        <v>2413</v>
      </c>
      <c r="B896" s="7">
        <v>45896</v>
      </c>
      <c r="C896" t="s">
        <v>126</v>
      </c>
      <c r="D896" t="s">
        <v>88</v>
      </c>
      <c r="E896" t="s">
        <v>127</v>
      </c>
      <c r="F896" s="12" t="s">
        <v>29</v>
      </c>
      <c r="G896" t="s">
        <v>30</v>
      </c>
      <c r="H896" t="s">
        <v>2414</v>
      </c>
      <c r="I896" t="s">
        <v>71</v>
      </c>
      <c r="J896" s="6">
        <v>46500</v>
      </c>
      <c r="K896" t="s">
        <v>129</v>
      </c>
      <c r="L896" t="s">
        <v>2415</v>
      </c>
      <c r="M896" t="s">
        <v>3</v>
      </c>
      <c r="N896" s="25" t="str">
        <f>TEXT(tbl_Ledger[[#This Row],[Date]],"yyyy-mm")</f>
        <v>2025-08</v>
      </c>
      <c r="O896" s="25" t="str">
        <f>TEXT(tbl_Ledger[[#This Row],[Date]],"yyyy-mm") &amp; TRIM(tbl_Ledger[[#This Row],[Currency]])</f>
        <v>2025-08NGN</v>
      </c>
      <c r="P896" s="25">
        <f>_xlfn.XLOOKUP(tbl_Ledger[[#This Row],[Key]], tbl_FX[Key], tbl_FX[Rate_to_NGN])</f>
        <v>1</v>
      </c>
      <c r="Q896" s="37">
        <f>IF(tbl_Ledger[[#This Row],[Account_Type]]="Expense",-ABS(tbl_Ledger[[#This Row],[Amount]]*tbl_Ledger[[#This Row],[Rate_to_NGN]]),tbl_Ledger[[#This Row],[Amount]]*tbl_Ledger[[#This Row],[Rate_to_NGN]])</f>
        <v>46500</v>
      </c>
      <c r="R896" s="25" t="str">
        <f>_xlfn.XLOOKUP(tbl_Ledger[[#This Row],[Account_Code]], tbl_Accounts[Account_Code], tbl_Accounts[Type])</f>
        <v>Revenue</v>
      </c>
      <c r="S896" s="25" t="str">
        <f>_xlfn.XLOOKUP(tbl_Ledger[[#This Row],[Account_Code]], tbl_Accounts[Account_Code], tbl_Accounts[PL_Bucket])</f>
        <v>Revenue</v>
      </c>
      <c r="T896" s="25">
        <f t="shared" si="13"/>
        <v>46500</v>
      </c>
    </row>
    <row r="897" spans="1:20">
      <c r="A897" t="s">
        <v>2416</v>
      </c>
      <c r="B897" s="7">
        <v>45896</v>
      </c>
      <c r="C897" t="s">
        <v>126</v>
      </c>
      <c r="D897" t="s">
        <v>88</v>
      </c>
      <c r="E897" t="s">
        <v>132</v>
      </c>
      <c r="F897" s="12" t="s">
        <v>29</v>
      </c>
      <c r="G897" t="s">
        <v>30</v>
      </c>
      <c r="H897" t="s">
        <v>2417</v>
      </c>
      <c r="I897" t="s">
        <v>71</v>
      </c>
      <c r="J897" s="6">
        <v>50200</v>
      </c>
      <c r="K897" t="s">
        <v>134</v>
      </c>
      <c r="L897" t="s">
        <v>2415</v>
      </c>
      <c r="M897" t="s">
        <v>3</v>
      </c>
      <c r="N897" s="25" t="str">
        <f>TEXT(tbl_Ledger[[#This Row],[Date]],"yyyy-mm")</f>
        <v>2025-08</v>
      </c>
      <c r="O897" s="25" t="str">
        <f>TEXT(tbl_Ledger[[#This Row],[Date]],"yyyy-mm") &amp; TRIM(tbl_Ledger[[#This Row],[Currency]])</f>
        <v>2025-08NGN</v>
      </c>
      <c r="P897" s="25">
        <f>_xlfn.XLOOKUP(tbl_Ledger[[#This Row],[Key]], tbl_FX[Key], tbl_FX[Rate_to_NGN])</f>
        <v>1</v>
      </c>
      <c r="Q897" s="37">
        <f>IF(tbl_Ledger[[#This Row],[Account_Type]]="Expense",-ABS(tbl_Ledger[[#This Row],[Amount]]*tbl_Ledger[[#This Row],[Rate_to_NGN]]),tbl_Ledger[[#This Row],[Amount]]*tbl_Ledger[[#This Row],[Rate_to_NGN]])</f>
        <v>50200</v>
      </c>
      <c r="R897" s="25" t="str">
        <f>_xlfn.XLOOKUP(tbl_Ledger[[#This Row],[Account_Code]], tbl_Accounts[Account_Code], tbl_Accounts[Type])</f>
        <v>Revenue</v>
      </c>
      <c r="S897" s="25" t="str">
        <f>_xlfn.XLOOKUP(tbl_Ledger[[#This Row],[Account_Code]], tbl_Accounts[Account_Code], tbl_Accounts[PL_Bucket])</f>
        <v>Revenue</v>
      </c>
      <c r="T897" s="25">
        <f t="shared" si="13"/>
        <v>50200</v>
      </c>
    </row>
    <row r="898" spans="1:20">
      <c r="A898" t="s">
        <v>2418</v>
      </c>
      <c r="B898" s="7">
        <v>45896</v>
      </c>
      <c r="C898" t="s">
        <v>126</v>
      </c>
      <c r="D898" t="s">
        <v>88</v>
      </c>
      <c r="E898" t="s">
        <v>136</v>
      </c>
      <c r="F898" s="12" t="s">
        <v>29</v>
      </c>
      <c r="G898" t="s">
        <v>30</v>
      </c>
      <c r="H898" t="s">
        <v>2419</v>
      </c>
      <c r="I898" t="s">
        <v>71</v>
      </c>
      <c r="J898" s="6">
        <v>52200</v>
      </c>
      <c r="K898" t="s">
        <v>138</v>
      </c>
      <c r="L898" t="s">
        <v>2415</v>
      </c>
      <c r="M898" t="s">
        <v>3</v>
      </c>
      <c r="N898" s="25" t="str">
        <f>TEXT(tbl_Ledger[[#This Row],[Date]],"yyyy-mm")</f>
        <v>2025-08</v>
      </c>
      <c r="O898" s="25" t="str">
        <f>TEXT(tbl_Ledger[[#This Row],[Date]],"yyyy-mm") &amp; TRIM(tbl_Ledger[[#This Row],[Currency]])</f>
        <v>2025-08NGN</v>
      </c>
      <c r="P898" s="25">
        <f>_xlfn.XLOOKUP(tbl_Ledger[[#This Row],[Key]], tbl_FX[Key], tbl_FX[Rate_to_NGN])</f>
        <v>1</v>
      </c>
      <c r="Q898" s="37">
        <f>IF(tbl_Ledger[[#This Row],[Account_Type]]="Expense",-ABS(tbl_Ledger[[#This Row],[Amount]]*tbl_Ledger[[#This Row],[Rate_to_NGN]]),tbl_Ledger[[#This Row],[Amount]]*tbl_Ledger[[#This Row],[Rate_to_NGN]])</f>
        <v>52200</v>
      </c>
      <c r="R898" s="25" t="str">
        <f>_xlfn.XLOOKUP(tbl_Ledger[[#This Row],[Account_Code]], tbl_Accounts[Account_Code], tbl_Accounts[Type])</f>
        <v>Revenue</v>
      </c>
      <c r="S898" s="25" t="str">
        <f>_xlfn.XLOOKUP(tbl_Ledger[[#This Row],[Account_Code]], tbl_Accounts[Account_Code], tbl_Accounts[PL_Bucket])</f>
        <v>Revenue</v>
      </c>
      <c r="T898" s="25">
        <f t="shared" ref="T898:T961" si="14">IF(AND(S898="Revenue",F898&lt;&gt;4900),ABS(Q898),-ABS(Q898))</f>
        <v>52200</v>
      </c>
    </row>
    <row r="899" spans="1:20">
      <c r="A899" t="s">
        <v>2420</v>
      </c>
      <c r="B899" s="7">
        <v>45896</v>
      </c>
      <c r="C899" t="s">
        <v>126</v>
      </c>
      <c r="D899" t="s">
        <v>88</v>
      </c>
      <c r="E899" t="s">
        <v>140</v>
      </c>
      <c r="F899" s="12" t="s">
        <v>29</v>
      </c>
      <c r="G899" t="s">
        <v>30</v>
      </c>
      <c r="H899" t="s">
        <v>2421</v>
      </c>
      <c r="I899" t="s">
        <v>71</v>
      </c>
      <c r="J899" s="6">
        <v>48700</v>
      </c>
      <c r="K899" t="s">
        <v>3</v>
      </c>
      <c r="L899" t="s">
        <v>2422</v>
      </c>
      <c r="M899" t="s">
        <v>3</v>
      </c>
      <c r="N899" s="25" t="str">
        <f>TEXT(tbl_Ledger[[#This Row],[Date]],"yyyy-mm")</f>
        <v>2025-08</v>
      </c>
      <c r="O899" s="25" t="str">
        <f>TEXT(tbl_Ledger[[#This Row],[Date]],"yyyy-mm") &amp; TRIM(tbl_Ledger[[#This Row],[Currency]])</f>
        <v>2025-08NGN</v>
      </c>
      <c r="P899" s="25">
        <f>_xlfn.XLOOKUP(tbl_Ledger[[#This Row],[Key]], tbl_FX[Key], tbl_FX[Rate_to_NGN])</f>
        <v>1</v>
      </c>
      <c r="Q899" s="37">
        <f>IF(tbl_Ledger[[#This Row],[Account_Type]]="Expense",-ABS(tbl_Ledger[[#This Row],[Amount]]*tbl_Ledger[[#This Row],[Rate_to_NGN]]),tbl_Ledger[[#This Row],[Amount]]*tbl_Ledger[[#This Row],[Rate_to_NGN]])</f>
        <v>48700</v>
      </c>
      <c r="R899" s="25" t="str">
        <f>_xlfn.XLOOKUP(tbl_Ledger[[#This Row],[Account_Code]], tbl_Accounts[Account_Code], tbl_Accounts[Type])</f>
        <v>Revenue</v>
      </c>
      <c r="S899" s="25" t="str">
        <f>_xlfn.XLOOKUP(tbl_Ledger[[#This Row],[Account_Code]], tbl_Accounts[Account_Code], tbl_Accounts[PL_Bucket])</f>
        <v>Revenue</v>
      </c>
      <c r="T899" s="25">
        <f t="shared" si="14"/>
        <v>48700</v>
      </c>
    </row>
    <row r="900" spans="1:20">
      <c r="A900" t="s">
        <v>2423</v>
      </c>
      <c r="B900" s="7">
        <v>45896</v>
      </c>
      <c r="C900" t="s">
        <v>93</v>
      </c>
      <c r="D900" t="s">
        <v>94</v>
      </c>
      <c r="E900" t="s">
        <v>95</v>
      </c>
      <c r="F900" s="12" t="s">
        <v>31</v>
      </c>
      <c r="G900" t="s">
        <v>32</v>
      </c>
      <c r="H900" t="s">
        <v>2424</v>
      </c>
      <c r="I900" t="s">
        <v>71</v>
      </c>
      <c r="J900" s="6">
        <v>-44691</v>
      </c>
      <c r="K900" t="s">
        <v>3</v>
      </c>
      <c r="L900" t="s">
        <v>2425</v>
      </c>
      <c r="M900" t="s">
        <v>3</v>
      </c>
      <c r="N900" s="25" t="str">
        <f>TEXT(tbl_Ledger[[#This Row],[Date]],"yyyy-mm")</f>
        <v>2025-08</v>
      </c>
      <c r="O900" s="25" t="str">
        <f>TEXT(tbl_Ledger[[#This Row],[Date]],"yyyy-mm") &amp; TRIM(tbl_Ledger[[#This Row],[Currency]])</f>
        <v>2025-08NGN</v>
      </c>
      <c r="P900" s="25">
        <f>_xlfn.XLOOKUP(tbl_Ledger[[#This Row],[Key]], tbl_FX[Key], tbl_FX[Rate_to_NGN])</f>
        <v>1</v>
      </c>
      <c r="Q900" s="37">
        <f>IF(tbl_Ledger[[#This Row],[Account_Type]]="Expense",-ABS(tbl_Ledger[[#This Row],[Amount]]*tbl_Ledger[[#This Row],[Rate_to_NGN]]),tbl_Ledger[[#This Row],[Amount]]*tbl_Ledger[[#This Row],[Rate_to_NGN]])</f>
        <v>-44691</v>
      </c>
      <c r="R900" s="25" t="str">
        <f>_xlfn.XLOOKUP(tbl_Ledger[[#This Row],[Account_Code]], tbl_Accounts[Account_Code], tbl_Accounts[Type])</f>
        <v>Revenue</v>
      </c>
      <c r="S900" s="25" t="str">
        <f>_xlfn.XLOOKUP(tbl_Ledger[[#This Row],[Account_Code]], tbl_Accounts[Account_Code], tbl_Accounts[PL_Bucket])</f>
        <v>Revenue</v>
      </c>
      <c r="T900" s="25">
        <f t="shared" si="14"/>
        <v>44691</v>
      </c>
    </row>
    <row r="901" spans="1:20">
      <c r="A901" t="s">
        <v>2426</v>
      </c>
      <c r="B901" s="7">
        <v>45896</v>
      </c>
      <c r="C901" t="s">
        <v>87</v>
      </c>
      <c r="D901" t="s">
        <v>94</v>
      </c>
      <c r="E901" t="s">
        <v>3</v>
      </c>
      <c r="F901" s="12" t="s">
        <v>33</v>
      </c>
      <c r="G901" t="s">
        <v>34</v>
      </c>
      <c r="H901" t="s">
        <v>1630</v>
      </c>
      <c r="I901" t="s">
        <v>71</v>
      </c>
      <c r="J901" s="6">
        <v>-690000</v>
      </c>
      <c r="K901" t="s">
        <v>316</v>
      </c>
      <c r="L901" t="s">
        <v>2427</v>
      </c>
      <c r="M901" t="s">
        <v>3</v>
      </c>
      <c r="N901" s="25" t="str">
        <f>TEXT(tbl_Ledger[[#This Row],[Date]],"yyyy-mm")</f>
        <v>2025-08</v>
      </c>
      <c r="O901" s="25" t="str">
        <f>TEXT(tbl_Ledger[[#This Row],[Date]],"yyyy-mm") &amp; TRIM(tbl_Ledger[[#This Row],[Currency]])</f>
        <v>2025-08NGN</v>
      </c>
      <c r="P901" s="25">
        <f>_xlfn.XLOOKUP(tbl_Ledger[[#This Row],[Key]], tbl_FX[Key], tbl_FX[Rate_to_NGN])</f>
        <v>1</v>
      </c>
      <c r="Q901" s="37">
        <f>IF(tbl_Ledger[[#This Row],[Account_Type]]="Expense",-ABS(tbl_Ledger[[#This Row],[Amount]]*tbl_Ledger[[#This Row],[Rate_to_NGN]]),tbl_Ledger[[#This Row],[Amount]]*tbl_Ledger[[#This Row],[Rate_to_NGN]])</f>
        <v>-690000</v>
      </c>
      <c r="R901" s="25" t="str">
        <f>_xlfn.XLOOKUP(tbl_Ledger[[#This Row],[Account_Code]], tbl_Accounts[Account_Code], tbl_Accounts[Type])</f>
        <v>COGS</v>
      </c>
      <c r="S901" s="25" t="str">
        <f>_xlfn.XLOOKUP(tbl_Ledger[[#This Row],[Account_Code]], tbl_Accounts[Account_Code], tbl_Accounts[PL_Bucket])</f>
        <v>COGS</v>
      </c>
      <c r="T901" s="25">
        <f t="shared" si="14"/>
        <v>-690000</v>
      </c>
    </row>
    <row r="902" spans="1:20">
      <c r="A902" t="s">
        <v>2428</v>
      </c>
      <c r="B902" s="7">
        <v>45897</v>
      </c>
      <c r="C902" t="s">
        <v>93</v>
      </c>
      <c r="D902" t="s">
        <v>94</v>
      </c>
      <c r="E902" t="s">
        <v>95</v>
      </c>
      <c r="F902" s="12" t="s">
        <v>24</v>
      </c>
      <c r="G902" t="s">
        <v>25</v>
      </c>
      <c r="H902" t="s">
        <v>2429</v>
      </c>
      <c r="I902" t="s">
        <v>71</v>
      </c>
      <c r="J902" s="6">
        <v>31600</v>
      </c>
      <c r="K902" t="s">
        <v>3</v>
      </c>
      <c r="L902" t="s">
        <v>2430</v>
      </c>
      <c r="M902" t="s">
        <v>3</v>
      </c>
      <c r="N902" s="25" t="str">
        <f>TEXT(tbl_Ledger[[#This Row],[Date]],"yyyy-mm")</f>
        <v>2025-08</v>
      </c>
      <c r="O902" s="25" t="str">
        <f>TEXT(tbl_Ledger[[#This Row],[Date]],"yyyy-mm") &amp; TRIM(tbl_Ledger[[#This Row],[Currency]])</f>
        <v>2025-08NGN</v>
      </c>
      <c r="P902" s="25">
        <f>_xlfn.XLOOKUP(tbl_Ledger[[#This Row],[Key]], tbl_FX[Key], tbl_FX[Rate_to_NGN])</f>
        <v>1</v>
      </c>
      <c r="Q902" s="37">
        <f>IF(tbl_Ledger[[#This Row],[Account_Type]]="Expense",-ABS(tbl_Ledger[[#This Row],[Amount]]*tbl_Ledger[[#This Row],[Rate_to_NGN]]),tbl_Ledger[[#This Row],[Amount]]*tbl_Ledger[[#This Row],[Rate_to_NGN]])</f>
        <v>31600</v>
      </c>
      <c r="R902" s="25" t="str">
        <f>_xlfn.XLOOKUP(tbl_Ledger[[#This Row],[Account_Code]], tbl_Accounts[Account_Code], tbl_Accounts[Type])</f>
        <v>Revenue</v>
      </c>
      <c r="S902" s="25" t="str">
        <f>_xlfn.XLOOKUP(tbl_Ledger[[#This Row],[Account_Code]], tbl_Accounts[Account_Code], tbl_Accounts[PL_Bucket])</f>
        <v>Revenue</v>
      </c>
      <c r="T902" s="25">
        <f t="shared" si="14"/>
        <v>31600</v>
      </c>
    </row>
    <row r="903" spans="1:20">
      <c r="A903" t="s">
        <v>2431</v>
      </c>
      <c r="B903" s="7">
        <v>45897</v>
      </c>
      <c r="C903" t="s">
        <v>93</v>
      </c>
      <c r="D903" t="s">
        <v>94</v>
      </c>
      <c r="E903" t="s">
        <v>99</v>
      </c>
      <c r="F903" s="12" t="s">
        <v>24</v>
      </c>
      <c r="G903" t="s">
        <v>25</v>
      </c>
      <c r="H903" t="s">
        <v>2432</v>
      </c>
      <c r="I903" t="s">
        <v>71</v>
      </c>
      <c r="J903" s="6">
        <v>32900</v>
      </c>
      <c r="K903" t="s">
        <v>3</v>
      </c>
      <c r="L903" t="s">
        <v>2433</v>
      </c>
      <c r="M903" t="s">
        <v>3</v>
      </c>
      <c r="N903" s="25" t="str">
        <f>TEXT(tbl_Ledger[[#This Row],[Date]],"yyyy-mm")</f>
        <v>2025-08</v>
      </c>
      <c r="O903" s="25" t="str">
        <f>TEXT(tbl_Ledger[[#This Row],[Date]],"yyyy-mm") &amp; TRIM(tbl_Ledger[[#This Row],[Currency]])</f>
        <v>2025-08NGN</v>
      </c>
      <c r="P903" s="25">
        <f>_xlfn.XLOOKUP(tbl_Ledger[[#This Row],[Key]], tbl_FX[Key], tbl_FX[Rate_to_NGN])</f>
        <v>1</v>
      </c>
      <c r="Q903" s="37">
        <f>IF(tbl_Ledger[[#This Row],[Account_Type]]="Expense",-ABS(tbl_Ledger[[#This Row],[Amount]]*tbl_Ledger[[#This Row],[Rate_to_NGN]]),tbl_Ledger[[#This Row],[Amount]]*tbl_Ledger[[#This Row],[Rate_to_NGN]])</f>
        <v>32900</v>
      </c>
      <c r="R903" s="25" t="str">
        <f>_xlfn.XLOOKUP(tbl_Ledger[[#This Row],[Account_Code]], tbl_Accounts[Account_Code], tbl_Accounts[Type])</f>
        <v>Revenue</v>
      </c>
      <c r="S903" s="25" t="str">
        <f>_xlfn.XLOOKUP(tbl_Ledger[[#This Row],[Account_Code]], tbl_Accounts[Account_Code], tbl_Accounts[PL_Bucket])</f>
        <v>Revenue</v>
      </c>
      <c r="T903" s="25">
        <f t="shared" si="14"/>
        <v>32900</v>
      </c>
    </row>
    <row r="904" spans="1:20">
      <c r="A904" t="s">
        <v>2434</v>
      </c>
      <c r="B904" s="7">
        <v>45897</v>
      </c>
      <c r="C904" t="s">
        <v>93</v>
      </c>
      <c r="D904" t="s">
        <v>94</v>
      </c>
      <c r="E904" t="s">
        <v>103</v>
      </c>
      <c r="F904" s="12" t="s">
        <v>24</v>
      </c>
      <c r="G904" t="s">
        <v>25</v>
      </c>
      <c r="H904" t="s">
        <v>2435</v>
      </c>
      <c r="I904" t="s">
        <v>71</v>
      </c>
      <c r="J904" s="6">
        <v>27700</v>
      </c>
      <c r="K904" t="s">
        <v>3</v>
      </c>
      <c r="L904" t="s">
        <v>2436</v>
      </c>
      <c r="M904" t="s">
        <v>3</v>
      </c>
      <c r="N904" s="25" t="str">
        <f>TEXT(tbl_Ledger[[#This Row],[Date]],"yyyy-mm")</f>
        <v>2025-08</v>
      </c>
      <c r="O904" s="25" t="str">
        <f>TEXT(tbl_Ledger[[#This Row],[Date]],"yyyy-mm") &amp; TRIM(tbl_Ledger[[#This Row],[Currency]])</f>
        <v>2025-08NGN</v>
      </c>
      <c r="P904" s="25">
        <f>_xlfn.XLOOKUP(tbl_Ledger[[#This Row],[Key]], tbl_FX[Key], tbl_FX[Rate_to_NGN])</f>
        <v>1</v>
      </c>
      <c r="Q904" s="37">
        <f>IF(tbl_Ledger[[#This Row],[Account_Type]]="Expense",-ABS(tbl_Ledger[[#This Row],[Amount]]*tbl_Ledger[[#This Row],[Rate_to_NGN]]),tbl_Ledger[[#This Row],[Amount]]*tbl_Ledger[[#This Row],[Rate_to_NGN]])</f>
        <v>27700</v>
      </c>
      <c r="R904" s="25" t="str">
        <f>_xlfn.XLOOKUP(tbl_Ledger[[#This Row],[Account_Code]], tbl_Accounts[Account_Code], tbl_Accounts[Type])</f>
        <v>Revenue</v>
      </c>
      <c r="S904" s="25" t="str">
        <f>_xlfn.XLOOKUP(tbl_Ledger[[#This Row],[Account_Code]], tbl_Accounts[Account_Code], tbl_Accounts[PL_Bucket])</f>
        <v>Revenue</v>
      </c>
      <c r="T904" s="25">
        <f t="shared" si="14"/>
        <v>27700</v>
      </c>
    </row>
    <row r="905" spans="1:20">
      <c r="A905" t="s">
        <v>2437</v>
      </c>
      <c r="B905" s="7">
        <v>45897</v>
      </c>
      <c r="C905" t="s">
        <v>93</v>
      </c>
      <c r="D905" t="s">
        <v>94</v>
      </c>
      <c r="E905" t="s">
        <v>160</v>
      </c>
      <c r="F905" s="12" t="s">
        <v>24</v>
      </c>
      <c r="G905" t="s">
        <v>25</v>
      </c>
      <c r="H905" t="s">
        <v>2438</v>
      </c>
      <c r="I905" t="s">
        <v>71</v>
      </c>
      <c r="J905" s="6">
        <v>32800</v>
      </c>
      <c r="K905" t="s">
        <v>3</v>
      </c>
      <c r="L905" t="s">
        <v>2436</v>
      </c>
      <c r="M905" t="s">
        <v>3</v>
      </c>
      <c r="N905" s="25" t="str">
        <f>TEXT(tbl_Ledger[[#This Row],[Date]],"yyyy-mm")</f>
        <v>2025-08</v>
      </c>
      <c r="O905" s="25" t="str">
        <f>TEXT(tbl_Ledger[[#This Row],[Date]],"yyyy-mm") &amp; TRIM(tbl_Ledger[[#This Row],[Currency]])</f>
        <v>2025-08NGN</v>
      </c>
      <c r="P905" s="25">
        <f>_xlfn.XLOOKUP(tbl_Ledger[[#This Row],[Key]], tbl_FX[Key], tbl_FX[Rate_to_NGN])</f>
        <v>1</v>
      </c>
      <c r="Q905" s="37">
        <f>IF(tbl_Ledger[[#This Row],[Account_Type]]="Expense",-ABS(tbl_Ledger[[#This Row],[Amount]]*tbl_Ledger[[#This Row],[Rate_to_NGN]]),tbl_Ledger[[#This Row],[Amount]]*tbl_Ledger[[#This Row],[Rate_to_NGN]])</f>
        <v>32800</v>
      </c>
      <c r="R905" s="25" t="str">
        <f>_xlfn.XLOOKUP(tbl_Ledger[[#This Row],[Account_Code]], tbl_Accounts[Account_Code], tbl_Accounts[Type])</f>
        <v>Revenue</v>
      </c>
      <c r="S905" s="25" t="str">
        <f>_xlfn.XLOOKUP(tbl_Ledger[[#This Row],[Account_Code]], tbl_Accounts[Account_Code], tbl_Accounts[PL_Bucket])</f>
        <v>Revenue</v>
      </c>
      <c r="T905" s="25">
        <f t="shared" si="14"/>
        <v>32800</v>
      </c>
    </row>
    <row r="906" spans="1:20">
      <c r="A906" t="s">
        <v>2439</v>
      </c>
      <c r="B906" s="7">
        <v>45897</v>
      </c>
      <c r="C906" t="s">
        <v>93</v>
      </c>
      <c r="D906" t="s">
        <v>94</v>
      </c>
      <c r="E906" t="s">
        <v>107</v>
      </c>
      <c r="F906" s="12" t="s">
        <v>24</v>
      </c>
      <c r="G906" t="s">
        <v>25</v>
      </c>
      <c r="H906" t="s">
        <v>2440</v>
      </c>
      <c r="I906" t="s">
        <v>71</v>
      </c>
      <c r="J906" s="6">
        <v>32100</v>
      </c>
      <c r="K906" t="s">
        <v>3</v>
      </c>
      <c r="L906" t="s">
        <v>2441</v>
      </c>
      <c r="M906" t="s">
        <v>3</v>
      </c>
      <c r="N906" s="25" t="str">
        <f>TEXT(tbl_Ledger[[#This Row],[Date]],"yyyy-mm")</f>
        <v>2025-08</v>
      </c>
      <c r="O906" s="25" t="str">
        <f>TEXT(tbl_Ledger[[#This Row],[Date]],"yyyy-mm") &amp; TRIM(tbl_Ledger[[#This Row],[Currency]])</f>
        <v>2025-08NGN</v>
      </c>
      <c r="P906" s="25">
        <f>_xlfn.XLOOKUP(tbl_Ledger[[#This Row],[Key]], tbl_FX[Key], tbl_FX[Rate_to_NGN])</f>
        <v>1</v>
      </c>
      <c r="Q906" s="37">
        <f>IF(tbl_Ledger[[#This Row],[Account_Type]]="Expense",-ABS(tbl_Ledger[[#This Row],[Amount]]*tbl_Ledger[[#This Row],[Rate_to_NGN]]),tbl_Ledger[[#This Row],[Amount]]*tbl_Ledger[[#This Row],[Rate_to_NGN]])</f>
        <v>32100</v>
      </c>
      <c r="R906" s="25" t="str">
        <f>_xlfn.XLOOKUP(tbl_Ledger[[#This Row],[Account_Code]], tbl_Accounts[Account_Code], tbl_Accounts[Type])</f>
        <v>Revenue</v>
      </c>
      <c r="S906" s="25" t="str">
        <f>_xlfn.XLOOKUP(tbl_Ledger[[#This Row],[Account_Code]], tbl_Accounts[Account_Code], tbl_Accounts[PL_Bucket])</f>
        <v>Revenue</v>
      </c>
      <c r="T906" s="25">
        <f t="shared" si="14"/>
        <v>32100</v>
      </c>
    </row>
    <row r="907" spans="1:20">
      <c r="A907" t="s">
        <v>2442</v>
      </c>
      <c r="B907" s="7">
        <v>45897</v>
      </c>
      <c r="C907" t="s">
        <v>93</v>
      </c>
      <c r="D907" t="s">
        <v>111</v>
      </c>
      <c r="E907" t="s">
        <v>112</v>
      </c>
      <c r="F907" s="12" t="s">
        <v>24</v>
      </c>
      <c r="G907" t="s">
        <v>25</v>
      </c>
      <c r="H907" t="s">
        <v>2443</v>
      </c>
      <c r="I907" t="s">
        <v>71</v>
      </c>
      <c r="J907" s="6">
        <v>53100</v>
      </c>
      <c r="K907" t="s">
        <v>3</v>
      </c>
      <c r="L907" t="s">
        <v>2444</v>
      </c>
      <c r="M907" t="s">
        <v>3</v>
      </c>
      <c r="N907" s="25" t="str">
        <f>TEXT(tbl_Ledger[[#This Row],[Date]],"yyyy-mm")</f>
        <v>2025-08</v>
      </c>
      <c r="O907" s="25" t="str">
        <f>TEXT(tbl_Ledger[[#This Row],[Date]],"yyyy-mm") &amp; TRIM(tbl_Ledger[[#This Row],[Currency]])</f>
        <v>2025-08NGN</v>
      </c>
      <c r="P907" s="25">
        <f>_xlfn.XLOOKUP(tbl_Ledger[[#This Row],[Key]], tbl_FX[Key], tbl_FX[Rate_to_NGN])</f>
        <v>1</v>
      </c>
      <c r="Q907" s="37">
        <f>IF(tbl_Ledger[[#This Row],[Account_Type]]="Expense",-ABS(tbl_Ledger[[#This Row],[Amount]]*tbl_Ledger[[#This Row],[Rate_to_NGN]]),tbl_Ledger[[#This Row],[Amount]]*tbl_Ledger[[#This Row],[Rate_to_NGN]])</f>
        <v>53100</v>
      </c>
      <c r="R907" s="25" t="str">
        <f>_xlfn.XLOOKUP(tbl_Ledger[[#This Row],[Account_Code]], tbl_Accounts[Account_Code], tbl_Accounts[Type])</f>
        <v>Revenue</v>
      </c>
      <c r="S907" s="25" t="str">
        <f>_xlfn.XLOOKUP(tbl_Ledger[[#This Row],[Account_Code]], tbl_Accounts[Account_Code], tbl_Accounts[PL_Bucket])</f>
        <v>Revenue</v>
      </c>
      <c r="T907" s="25">
        <f t="shared" si="14"/>
        <v>53100</v>
      </c>
    </row>
    <row r="908" spans="1:20">
      <c r="A908" t="s">
        <v>2445</v>
      </c>
      <c r="B908" s="7">
        <v>45897</v>
      </c>
      <c r="C908" t="s">
        <v>93</v>
      </c>
      <c r="D908" t="s">
        <v>111</v>
      </c>
      <c r="E908" t="s">
        <v>116</v>
      </c>
      <c r="F908" s="12" t="s">
        <v>24</v>
      </c>
      <c r="G908" t="s">
        <v>25</v>
      </c>
      <c r="H908" t="s">
        <v>2446</v>
      </c>
      <c r="I908" t="s">
        <v>71</v>
      </c>
      <c r="J908" s="6">
        <v>50900</v>
      </c>
      <c r="K908" t="s">
        <v>3</v>
      </c>
      <c r="L908" t="s">
        <v>2444</v>
      </c>
      <c r="M908" t="s">
        <v>3</v>
      </c>
      <c r="N908" s="25" t="str">
        <f>TEXT(tbl_Ledger[[#This Row],[Date]],"yyyy-mm")</f>
        <v>2025-08</v>
      </c>
      <c r="O908" s="25" t="str">
        <f>TEXT(tbl_Ledger[[#This Row],[Date]],"yyyy-mm") &amp; TRIM(tbl_Ledger[[#This Row],[Currency]])</f>
        <v>2025-08NGN</v>
      </c>
      <c r="P908" s="25">
        <f>_xlfn.XLOOKUP(tbl_Ledger[[#This Row],[Key]], tbl_FX[Key], tbl_FX[Rate_to_NGN])</f>
        <v>1</v>
      </c>
      <c r="Q908" s="37">
        <f>IF(tbl_Ledger[[#This Row],[Account_Type]]="Expense",-ABS(tbl_Ledger[[#This Row],[Amount]]*tbl_Ledger[[#This Row],[Rate_to_NGN]]),tbl_Ledger[[#This Row],[Amount]]*tbl_Ledger[[#This Row],[Rate_to_NGN]])</f>
        <v>50900</v>
      </c>
      <c r="R908" s="25" t="str">
        <f>_xlfn.XLOOKUP(tbl_Ledger[[#This Row],[Account_Code]], tbl_Accounts[Account_Code], tbl_Accounts[Type])</f>
        <v>Revenue</v>
      </c>
      <c r="S908" s="25" t="str">
        <f>_xlfn.XLOOKUP(tbl_Ledger[[#This Row],[Account_Code]], tbl_Accounts[Account_Code], tbl_Accounts[PL_Bucket])</f>
        <v>Revenue</v>
      </c>
      <c r="T908" s="25">
        <f t="shared" si="14"/>
        <v>50900</v>
      </c>
    </row>
    <row r="909" spans="1:20">
      <c r="A909" t="s">
        <v>2447</v>
      </c>
      <c r="B909" s="7">
        <v>45897</v>
      </c>
      <c r="C909" t="s">
        <v>93</v>
      </c>
      <c r="D909" t="s">
        <v>111</v>
      </c>
      <c r="E909" t="s">
        <v>119</v>
      </c>
      <c r="F909" s="12" t="s">
        <v>24</v>
      </c>
      <c r="G909" t="s">
        <v>25</v>
      </c>
      <c r="H909" t="s">
        <v>2448</v>
      </c>
      <c r="I909" t="s">
        <v>71</v>
      </c>
      <c r="J909" s="6">
        <v>50500</v>
      </c>
      <c r="K909" t="s">
        <v>3</v>
      </c>
      <c r="L909" t="s">
        <v>2444</v>
      </c>
      <c r="M909" t="s">
        <v>3</v>
      </c>
      <c r="N909" s="25" t="str">
        <f>TEXT(tbl_Ledger[[#This Row],[Date]],"yyyy-mm")</f>
        <v>2025-08</v>
      </c>
      <c r="O909" s="25" t="str">
        <f>TEXT(tbl_Ledger[[#This Row],[Date]],"yyyy-mm") &amp; TRIM(tbl_Ledger[[#This Row],[Currency]])</f>
        <v>2025-08NGN</v>
      </c>
      <c r="P909" s="25">
        <f>_xlfn.XLOOKUP(tbl_Ledger[[#This Row],[Key]], tbl_FX[Key], tbl_FX[Rate_to_NGN])</f>
        <v>1</v>
      </c>
      <c r="Q909" s="37">
        <f>IF(tbl_Ledger[[#This Row],[Account_Type]]="Expense",-ABS(tbl_Ledger[[#This Row],[Amount]]*tbl_Ledger[[#This Row],[Rate_to_NGN]]),tbl_Ledger[[#This Row],[Amount]]*tbl_Ledger[[#This Row],[Rate_to_NGN]])</f>
        <v>50500</v>
      </c>
      <c r="R909" s="25" t="str">
        <f>_xlfn.XLOOKUP(tbl_Ledger[[#This Row],[Account_Code]], tbl_Accounts[Account_Code], tbl_Accounts[Type])</f>
        <v>Revenue</v>
      </c>
      <c r="S909" s="25" t="str">
        <f>_xlfn.XLOOKUP(tbl_Ledger[[#This Row],[Account_Code]], tbl_Accounts[Account_Code], tbl_Accounts[PL_Bucket])</f>
        <v>Revenue</v>
      </c>
      <c r="T909" s="25">
        <f t="shared" si="14"/>
        <v>50500</v>
      </c>
    </row>
    <row r="910" spans="1:20">
      <c r="A910" t="s">
        <v>2449</v>
      </c>
      <c r="B910" s="7">
        <v>45897</v>
      </c>
      <c r="C910" t="s">
        <v>93</v>
      </c>
      <c r="D910" t="s">
        <v>111</v>
      </c>
      <c r="E910" t="s">
        <v>170</v>
      </c>
      <c r="F910" s="12" t="s">
        <v>24</v>
      </c>
      <c r="G910" t="s">
        <v>25</v>
      </c>
      <c r="H910" t="s">
        <v>2450</v>
      </c>
      <c r="I910" t="s">
        <v>71</v>
      </c>
      <c r="J910" s="6">
        <v>50900</v>
      </c>
      <c r="K910" t="s">
        <v>3</v>
      </c>
      <c r="L910" t="s">
        <v>2444</v>
      </c>
      <c r="M910" t="s">
        <v>3</v>
      </c>
      <c r="N910" s="25" t="str">
        <f>TEXT(tbl_Ledger[[#This Row],[Date]],"yyyy-mm")</f>
        <v>2025-08</v>
      </c>
      <c r="O910" s="25" t="str">
        <f>TEXT(tbl_Ledger[[#This Row],[Date]],"yyyy-mm") &amp; TRIM(tbl_Ledger[[#This Row],[Currency]])</f>
        <v>2025-08NGN</v>
      </c>
      <c r="P910" s="25">
        <f>_xlfn.XLOOKUP(tbl_Ledger[[#This Row],[Key]], tbl_FX[Key], tbl_FX[Rate_to_NGN])</f>
        <v>1</v>
      </c>
      <c r="Q910" s="37">
        <f>IF(tbl_Ledger[[#This Row],[Account_Type]]="Expense",-ABS(tbl_Ledger[[#This Row],[Amount]]*tbl_Ledger[[#This Row],[Rate_to_NGN]]),tbl_Ledger[[#This Row],[Amount]]*tbl_Ledger[[#This Row],[Rate_to_NGN]])</f>
        <v>50900</v>
      </c>
      <c r="R910" s="25" t="str">
        <f>_xlfn.XLOOKUP(tbl_Ledger[[#This Row],[Account_Code]], tbl_Accounts[Account_Code], tbl_Accounts[Type])</f>
        <v>Revenue</v>
      </c>
      <c r="S910" s="25" t="str">
        <f>_xlfn.XLOOKUP(tbl_Ledger[[#This Row],[Account_Code]], tbl_Accounts[Account_Code], tbl_Accounts[PL_Bucket])</f>
        <v>Revenue</v>
      </c>
      <c r="T910" s="25">
        <f t="shared" si="14"/>
        <v>50900</v>
      </c>
    </row>
    <row r="911" spans="1:20">
      <c r="A911" t="s">
        <v>2451</v>
      </c>
      <c r="B911" s="7">
        <v>45897</v>
      </c>
      <c r="C911" t="s">
        <v>93</v>
      </c>
      <c r="D911" t="s">
        <v>111</v>
      </c>
      <c r="E911" t="s">
        <v>122</v>
      </c>
      <c r="F911" s="12" t="s">
        <v>24</v>
      </c>
      <c r="G911" t="s">
        <v>25</v>
      </c>
      <c r="H911" t="s">
        <v>2452</v>
      </c>
      <c r="I911" t="s">
        <v>71</v>
      </c>
      <c r="J911" s="6">
        <v>49300</v>
      </c>
      <c r="K911" t="s">
        <v>3</v>
      </c>
      <c r="L911" t="s">
        <v>2453</v>
      </c>
      <c r="M911" t="s">
        <v>3</v>
      </c>
      <c r="N911" s="25" t="str">
        <f>TEXT(tbl_Ledger[[#This Row],[Date]],"yyyy-mm")</f>
        <v>2025-08</v>
      </c>
      <c r="O911" s="25" t="str">
        <f>TEXT(tbl_Ledger[[#This Row],[Date]],"yyyy-mm") &amp; TRIM(tbl_Ledger[[#This Row],[Currency]])</f>
        <v>2025-08NGN</v>
      </c>
      <c r="P911" s="25">
        <f>_xlfn.XLOOKUP(tbl_Ledger[[#This Row],[Key]], tbl_FX[Key], tbl_FX[Rate_to_NGN])</f>
        <v>1</v>
      </c>
      <c r="Q911" s="37">
        <f>IF(tbl_Ledger[[#This Row],[Account_Type]]="Expense",-ABS(tbl_Ledger[[#This Row],[Amount]]*tbl_Ledger[[#This Row],[Rate_to_NGN]]),tbl_Ledger[[#This Row],[Amount]]*tbl_Ledger[[#This Row],[Rate_to_NGN]])</f>
        <v>49300</v>
      </c>
      <c r="R911" s="25" t="str">
        <f>_xlfn.XLOOKUP(tbl_Ledger[[#This Row],[Account_Code]], tbl_Accounts[Account_Code], tbl_Accounts[Type])</f>
        <v>Revenue</v>
      </c>
      <c r="S911" s="25" t="str">
        <f>_xlfn.XLOOKUP(tbl_Ledger[[#This Row],[Account_Code]], tbl_Accounts[Account_Code], tbl_Accounts[PL_Bucket])</f>
        <v>Revenue</v>
      </c>
      <c r="T911" s="25">
        <f t="shared" si="14"/>
        <v>49300</v>
      </c>
    </row>
    <row r="912" spans="1:20">
      <c r="A912" t="s">
        <v>2454</v>
      </c>
      <c r="B912" s="7">
        <v>45897</v>
      </c>
      <c r="C912" t="s">
        <v>126</v>
      </c>
      <c r="D912" t="s">
        <v>88</v>
      </c>
      <c r="E912" t="s">
        <v>127</v>
      </c>
      <c r="F912" s="12" t="s">
        <v>29</v>
      </c>
      <c r="G912" t="s">
        <v>30</v>
      </c>
      <c r="H912" t="s">
        <v>2455</v>
      </c>
      <c r="I912" t="s">
        <v>71</v>
      </c>
      <c r="J912" s="6">
        <v>48200</v>
      </c>
      <c r="K912" t="s">
        <v>129</v>
      </c>
      <c r="L912" t="s">
        <v>2456</v>
      </c>
      <c r="M912" t="s">
        <v>3</v>
      </c>
      <c r="N912" s="25" t="str">
        <f>TEXT(tbl_Ledger[[#This Row],[Date]],"yyyy-mm")</f>
        <v>2025-08</v>
      </c>
      <c r="O912" s="25" t="str">
        <f>TEXT(tbl_Ledger[[#This Row],[Date]],"yyyy-mm") &amp; TRIM(tbl_Ledger[[#This Row],[Currency]])</f>
        <v>2025-08NGN</v>
      </c>
      <c r="P912" s="25">
        <f>_xlfn.XLOOKUP(tbl_Ledger[[#This Row],[Key]], tbl_FX[Key], tbl_FX[Rate_to_NGN])</f>
        <v>1</v>
      </c>
      <c r="Q912" s="37">
        <f>IF(tbl_Ledger[[#This Row],[Account_Type]]="Expense",-ABS(tbl_Ledger[[#This Row],[Amount]]*tbl_Ledger[[#This Row],[Rate_to_NGN]]),tbl_Ledger[[#This Row],[Amount]]*tbl_Ledger[[#This Row],[Rate_to_NGN]])</f>
        <v>48200</v>
      </c>
      <c r="R912" s="25" t="str">
        <f>_xlfn.XLOOKUP(tbl_Ledger[[#This Row],[Account_Code]], tbl_Accounts[Account_Code], tbl_Accounts[Type])</f>
        <v>Revenue</v>
      </c>
      <c r="S912" s="25" t="str">
        <f>_xlfn.XLOOKUP(tbl_Ledger[[#This Row],[Account_Code]], tbl_Accounts[Account_Code], tbl_Accounts[PL_Bucket])</f>
        <v>Revenue</v>
      </c>
      <c r="T912" s="25">
        <f t="shared" si="14"/>
        <v>48200</v>
      </c>
    </row>
    <row r="913" spans="1:20">
      <c r="A913" t="s">
        <v>2457</v>
      </c>
      <c r="B913" s="7">
        <v>45897</v>
      </c>
      <c r="C913" t="s">
        <v>126</v>
      </c>
      <c r="D913" t="s">
        <v>88</v>
      </c>
      <c r="E913" t="s">
        <v>132</v>
      </c>
      <c r="F913" s="12" t="s">
        <v>29</v>
      </c>
      <c r="G913" t="s">
        <v>30</v>
      </c>
      <c r="H913" t="s">
        <v>2458</v>
      </c>
      <c r="I913" t="s">
        <v>71</v>
      </c>
      <c r="J913" s="6">
        <v>48600</v>
      </c>
      <c r="K913" t="s">
        <v>134</v>
      </c>
      <c r="L913" t="s">
        <v>2456</v>
      </c>
      <c r="M913" t="s">
        <v>3</v>
      </c>
      <c r="N913" s="25" t="str">
        <f>TEXT(tbl_Ledger[[#This Row],[Date]],"yyyy-mm")</f>
        <v>2025-08</v>
      </c>
      <c r="O913" s="25" t="str">
        <f>TEXT(tbl_Ledger[[#This Row],[Date]],"yyyy-mm") &amp; TRIM(tbl_Ledger[[#This Row],[Currency]])</f>
        <v>2025-08NGN</v>
      </c>
      <c r="P913" s="25">
        <f>_xlfn.XLOOKUP(tbl_Ledger[[#This Row],[Key]], tbl_FX[Key], tbl_FX[Rate_to_NGN])</f>
        <v>1</v>
      </c>
      <c r="Q913" s="37">
        <f>IF(tbl_Ledger[[#This Row],[Account_Type]]="Expense",-ABS(tbl_Ledger[[#This Row],[Amount]]*tbl_Ledger[[#This Row],[Rate_to_NGN]]),tbl_Ledger[[#This Row],[Amount]]*tbl_Ledger[[#This Row],[Rate_to_NGN]])</f>
        <v>48600</v>
      </c>
      <c r="R913" s="25" t="str">
        <f>_xlfn.XLOOKUP(tbl_Ledger[[#This Row],[Account_Code]], tbl_Accounts[Account_Code], tbl_Accounts[Type])</f>
        <v>Revenue</v>
      </c>
      <c r="S913" s="25" t="str">
        <f>_xlfn.XLOOKUP(tbl_Ledger[[#This Row],[Account_Code]], tbl_Accounts[Account_Code], tbl_Accounts[PL_Bucket])</f>
        <v>Revenue</v>
      </c>
      <c r="T913" s="25">
        <f t="shared" si="14"/>
        <v>48600</v>
      </c>
    </row>
    <row r="914" spans="1:20">
      <c r="A914" t="s">
        <v>2459</v>
      </c>
      <c r="B914" s="7">
        <v>45897</v>
      </c>
      <c r="C914" t="s">
        <v>126</v>
      </c>
      <c r="D914" t="s">
        <v>88</v>
      </c>
      <c r="E914" t="s">
        <v>136</v>
      </c>
      <c r="F914" s="12" t="s">
        <v>29</v>
      </c>
      <c r="G914" t="s">
        <v>30</v>
      </c>
      <c r="H914" t="s">
        <v>2460</v>
      </c>
      <c r="I914" t="s">
        <v>72</v>
      </c>
      <c r="J914" s="6">
        <v>29.52</v>
      </c>
      <c r="K914" t="s">
        <v>138</v>
      </c>
      <c r="L914" t="s">
        <v>2456</v>
      </c>
      <c r="M914" t="s">
        <v>3</v>
      </c>
      <c r="N914" s="25" t="str">
        <f>TEXT(tbl_Ledger[[#This Row],[Date]],"yyyy-mm")</f>
        <v>2025-08</v>
      </c>
      <c r="O914" s="25" t="str">
        <f>TEXT(tbl_Ledger[[#This Row],[Date]],"yyyy-mm") &amp; TRIM(tbl_Ledger[[#This Row],[Currency]])</f>
        <v>2025-08USD</v>
      </c>
      <c r="P914" s="25">
        <f>_xlfn.XLOOKUP(tbl_Ledger[[#This Row],[Key]], tbl_FX[Key], tbl_FX[Rate_to_NGN])</f>
        <v>1572</v>
      </c>
      <c r="Q914" s="37">
        <f>IF(tbl_Ledger[[#This Row],[Account_Type]]="Expense",-ABS(tbl_Ledger[[#This Row],[Amount]]*tbl_Ledger[[#This Row],[Rate_to_NGN]]),tbl_Ledger[[#This Row],[Amount]]*tbl_Ledger[[#This Row],[Rate_to_NGN]])</f>
        <v>46405.440000000002</v>
      </c>
      <c r="R914" s="25" t="str">
        <f>_xlfn.XLOOKUP(tbl_Ledger[[#This Row],[Account_Code]], tbl_Accounts[Account_Code], tbl_Accounts[Type])</f>
        <v>Revenue</v>
      </c>
      <c r="S914" s="25" t="str">
        <f>_xlfn.XLOOKUP(tbl_Ledger[[#This Row],[Account_Code]], tbl_Accounts[Account_Code], tbl_Accounts[PL_Bucket])</f>
        <v>Revenue</v>
      </c>
      <c r="T914" s="25">
        <f t="shared" si="14"/>
        <v>46405.440000000002</v>
      </c>
    </row>
    <row r="915" spans="1:20">
      <c r="A915" t="s">
        <v>2461</v>
      </c>
      <c r="B915" s="7">
        <v>45897</v>
      </c>
      <c r="C915" t="s">
        <v>126</v>
      </c>
      <c r="D915" t="s">
        <v>88</v>
      </c>
      <c r="E915" t="s">
        <v>140</v>
      </c>
      <c r="F915" s="12" t="s">
        <v>29</v>
      </c>
      <c r="G915" t="s">
        <v>30</v>
      </c>
      <c r="H915" t="s">
        <v>2462</v>
      </c>
      <c r="I915" t="s">
        <v>71</v>
      </c>
      <c r="J915" s="6">
        <v>53700</v>
      </c>
      <c r="K915" t="s">
        <v>3</v>
      </c>
      <c r="L915" t="s">
        <v>2463</v>
      </c>
      <c r="M915" t="s">
        <v>3</v>
      </c>
      <c r="N915" s="25" t="str">
        <f>TEXT(tbl_Ledger[[#This Row],[Date]],"yyyy-mm")</f>
        <v>2025-08</v>
      </c>
      <c r="O915" s="25" t="str">
        <f>TEXT(tbl_Ledger[[#This Row],[Date]],"yyyy-mm") &amp; TRIM(tbl_Ledger[[#This Row],[Currency]])</f>
        <v>2025-08NGN</v>
      </c>
      <c r="P915" s="25">
        <f>_xlfn.XLOOKUP(tbl_Ledger[[#This Row],[Key]], tbl_FX[Key], tbl_FX[Rate_to_NGN])</f>
        <v>1</v>
      </c>
      <c r="Q915" s="37">
        <f>IF(tbl_Ledger[[#This Row],[Account_Type]]="Expense",-ABS(tbl_Ledger[[#This Row],[Amount]]*tbl_Ledger[[#This Row],[Rate_to_NGN]]),tbl_Ledger[[#This Row],[Amount]]*tbl_Ledger[[#This Row],[Rate_to_NGN]])</f>
        <v>53700</v>
      </c>
      <c r="R915" s="25" t="str">
        <f>_xlfn.XLOOKUP(tbl_Ledger[[#This Row],[Account_Code]], tbl_Accounts[Account_Code], tbl_Accounts[Type])</f>
        <v>Revenue</v>
      </c>
      <c r="S915" s="25" t="str">
        <f>_xlfn.XLOOKUP(tbl_Ledger[[#This Row],[Account_Code]], tbl_Accounts[Account_Code], tbl_Accounts[PL_Bucket])</f>
        <v>Revenue</v>
      </c>
      <c r="T915" s="25">
        <f t="shared" si="14"/>
        <v>53700</v>
      </c>
    </row>
    <row r="916" spans="1:20">
      <c r="A916" t="s">
        <v>2464</v>
      </c>
      <c r="B916" s="7">
        <v>45897</v>
      </c>
      <c r="C916" t="s">
        <v>87</v>
      </c>
      <c r="D916" t="s">
        <v>88</v>
      </c>
      <c r="E916" t="s">
        <v>3</v>
      </c>
      <c r="F916" s="12" t="s">
        <v>40</v>
      </c>
      <c r="G916" t="s">
        <v>41</v>
      </c>
      <c r="H916" t="s">
        <v>1471</v>
      </c>
      <c r="I916" t="s">
        <v>71</v>
      </c>
      <c r="J916" s="6">
        <v>-184000</v>
      </c>
      <c r="K916" t="s">
        <v>280</v>
      </c>
      <c r="L916" t="s">
        <v>2465</v>
      </c>
      <c r="M916" t="s">
        <v>3</v>
      </c>
      <c r="N916" s="25" t="str">
        <f>TEXT(tbl_Ledger[[#This Row],[Date]],"yyyy-mm")</f>
        <v>2025-08</v>
      </c>
      <c r="O916" s="25" t="str">
        <f>TEXT(tbl_Ledger[[#This Row],[Date]],"yyyy-mm") &amp; TRIM(tbl_Ledger[[#This Row],[Currency]])</f>
        <v>2025-08NGN</v>
      </c>
      <c r="P916" s="25">
        <f>_xlfn.XLOOKUP(tbl_Ledger[[#This Row],[Key]], tbl_FX[Key], tbl_FX[Rate_to_NGN])</f>
        <v>1</v>
      </c>
      <c r="Q916" s="37">
        <f>IF(tbl_Ledger[[#This Row],[Account_Type]]="Expense",-ABS(tbl_Ledger[[#This Row],[Amount]]*tbl_Ledger[[#This Row],[Rate_to_NGN]]),tbl_Ledger[[#This Row],[Amount]]*tbl_Ledger[[#This Row],[Rate_to_NGN]])</f>
        <v>-184000</v>
      </c>
      <c r="R916" s="25" t="str">
        <f>_xlfn.XLOOKUP(tbl_Ledger[[#This Row],[Account_Code]], tbl_Accounts[Account_Code], tbl_Accounts[Type])</f>
        <v>COGS</v>
      </c>
      <c r="S916" s="25" t="str">
        <f>_xlfn.XLOOKUP(tbl_Ledger[[#This Row],[Account_Code]], tbl_Accounts[Account_Code], tbl_Accounts[PL_Bucket])</f>
        <v>COGS</v>
      </c>
      <c r="T916" s="25">
        <f t="shared" si="14"/>
        <v>-184000</v>
      </c>
    </row>
    <row r="917" spans="1:20">
      <c r="A917" t="s">
        <v>2466</v>
      </c>
      <c r="B917" s="7">
        <v>45898</v>
      </c>
      <c r="C917" t="s">
        <v>93</v>
      </c>
      <c r="D917" t="s">
        <v>94</v>
      </c>
      <c r="E917" t="s">
        <v>95</v>
      </c>
      <c r="F917" s="12" t="s">
        <v>24</v>
      </c>
      <c r="G917" t="s">
        <v>25</v>
      </c>
      <c r="H917" t="s">
        <v>2467</v>
      </c>
      <c r="I917" t="s">
        <v>71</v>
      </c>
      <c r="J917" s="6">
        <v>29400</v>
      </c>
      <c r="K917" t="s">
        <v>3</v>
      </c>
      <c r="L917" t="s">
        <v>2468</v>
      </c>
      <c r="M917" t="s">
        <v>3</v>
      </c>
      <c r="N917" s="25" t="str">
        <f>TEXT(tbl_Ledger[[#This Row],[Date]],"yyyy-mm")</f>
        <v>2025-08</v>
      </c>
      <c r="O917" s="25" t="str">
        <f>TEXT(tbl_Ledger[[#This Row],[Date]],"yyyy-mm") &amp; TRIM(tbl_Ledger[[#This Row],[Currency]])</f>
        <v>2025-08NGN</v>
      </c>
      <c r="P917" s="25">
        <f>_xlfn.XLOOKUP(tbl_Ledger[[#This Row],[Key]], tbl_FX[Key], tbl_FX[Rate_to_NGN])</f>
        <v>1</v>
      </c>
      <c r="Q917" s="37">
        <f>IF(tbl_Ledger[[#This Row],[Account_Type]]="Expense",-ABS(tbl_Ledger[[#This Row],[Amount]]*tbl_Ledger[[#This Row],[Rate_to_NGN]]),tbl_Ledger[[#This Row],[Amount]]*tbl_Ledger[[#This Row],[Rate_to_NGN]])</f>
        <v>29400</v>
      </c>
      <c r="R917" s="25" t="str">
        <f>_xlfn.XLOOKUP(tbl_Ledger[[#This Row],[Account_Code]], tbl_Accounts[Account_Code], tbl_Accounts[Type])</f>
        <v>Revenue</v>
      </c>
      <c r="S917" s="25" t="str">
        <f>_xlfn.XLOOKUP(tbl_Ledger[[#This Row],[Account_Code]], tbl_Accounts[Account_Code], tbl_Accounts[PL_Bucket])</f>
        <v>Revenue</v>
      </c>
      <c r="T917" s="25">
        <f t="shared" si="14"/>
        <v>29400</v>
      </c>
    </row>
    <row r="918" spans="1:20">
      <c r="A918" t="s">
        <v>2469</v>
      </c>
      <c r="B918" s="7">
        <v>45898</v>
      </c>
      <c r="C918" t="s">
        <v>93</v>
      </c>
      <c r="D918" t="s">
        <v>94</v>
      </c>
      <c r="E918" t="s">
        <v>99</v>
      </c>
      <c r="F918" s="12" t="s">
        <v>24</v>
      </c>
      <c r="G918" t="s">
        <v>25</v>
      </c>
      <c r="H918" t="s">
        <v>2470</v>
      </c>
      <c r="I918" t="s">
        <v>71</v>
      </c>
      <c r="J918" s="6">
        <v>27600</v>
      </c>
      <c r="K918" t="s">
        <v>3</v>
      </c>
      <c r="L918" t="s">
        <v>2471</v>
      </c>
      <c r="M918" t="s">
        <v>3</v>
      </c>
      <c r="N918" s="25" t="str">
        <f>TEXT(tbl_Ledger[[#This Row],[Date]],"yyyy-mm")</f>
        <v>2025-08</v>
      </c>
      <c r="O918" s="25" t="str">
        <f>TEXT(tbl_Ledger[[#This Row],[Date]],"yyyy-mm") &amp; TRIM(tbl_Ledger[[#This Row],[Currency]])</f>
        <v>2025-08NGN</v>
      </c>
      <c r="P918" s="25">
        <f>_xlfn.XLOOKUP(tbl_Ledger[[#This Row],[Key]], tbl_FX[Key], tbl_FX[Rate_to_NGN])</f>
        <v>1</v>
      </c>
      <c r="Q918" s="37">
        <f>IF(tbl_Ledger[[#This Row],[Account_Type]]="Expense",-ABS(tbl_Ledger[[#This Row],[Amount]]*tbl_Ledger[[#This Row],[Rate_to_NGN]]),tbl_Ledger[[#This Row],[Amount]]*tbl_Ledger[[#This Row],[Rate_to_NGN]])</f>
        <v>27600</v>
      </c>
      <c r="R918" s="25" t="str">
        <f>_xlfn.XLOOKUP(tbl_Ledger[[#This Row],[Account_Code]], tbl_Accounts[Account_Code], tbl_Accounts[Type])</f>
        <v>Revenue</v>
      </c>
      <c r="S918" s="25" t="str">
        <f>_xlfn.XLOOKUP(tbl_Ledger[[#This Row],[Account_Code]], tbl_Accounts[Account_Code], tbl_Accounts[PL_Bucket])</f>
        <v>Revenue</v>
      </c>
      <c r="T918" s="25">
        <f t="shared" si="14"/>
        <v>27600</v>
      </c>
    </row>
    <row r="919" spans="1:20">
      <c r="A919" t="s">
        <v>2472</v>
      </c>
      <c r="B919" s="7">
        <v>45898</v>
      </c>
      <c r="C919" t="s">
        <v>93</v>
      </c>
      <c r="D919" t="s">
        <v>94</v>
      </c>
      <c r="E919" t="s">
        <v>160</v>
      </c>
      <c r="F919" s="12" t="s">
        <v>24</v>
      </c>
      <c r="G919" t="s">
        <v>25</v>
      </c>
      <c r="H919" t="s">
        <v>2473</v>
      </c>
      <c r="I919" t="s">
        <v>71</v>
      </c>
      <c r="J919" s="6">
        <v>28900</v>
      </c>
      <c r="K919" t="s">
        <v>3</v>
      </c>
      <c r="L919" t="s">
        <v>2474</v>
      </c>
      <c r="M919" t="s">
        <v>3</v>
      </c>
      <c r="N919" s="25" t="str">
        <f>TEXT(tbl_Ledger[[#This Row],[Date]],"yyyy-mm")</f>
        <v>2025-08</v>
      </c>
      <c r="O919" s="25" t="str">
        <f>TEXT(tbl_Ledger[[#This Row],[Date]],"yyyy-mm") &amp; TRIM(tbl_Ledger[[#This Row],[Currency]])</f>
        <v>2025-08NGN</v>
      </c>
      <c r="P919" s="25">
        <f>_xlfn.XLOOKUP(tbl_Ledger[[#This Row],[Key]], tbl_FX[Key], tbl_FX[Rate_to_NGN])</f>
        <v>1</v>
      </c>
      <c r="Q919" s="37">
        <f>IF(tbl_Ledger[[#This Row],[Account_Type]]="Expense",-ABS(tbl_Ledger[[#This Row],[Amount]]*tbl_Ledger[[#This Row],[Rate_to_NGN]]),tbl_Ledger[[#This Row],[Amount]]*tbl_Ledger[[#This Row],[Rate_to_NGN]])</f>
        <v>28900</v>
      </c>
      <c r="R919" s="25" t="str">
        <f>_xlfn.XLOOKUP(tbl_Ledger[[#This Row],[Account_Code]], tbl_Accounts[Account_Code], tbl_Accounts[Type])</f>
        <v>Revenue</v>
      </c>
      <c r="S919" s="25" t="str">
        <f>_xlfn.XLOOKUP(tbl_Ledger[[#This Row],[Account_Code]], tbl_Accounts[Account_Code], tbl_Accounts[PL_Bucket])</f>
        <v>Revenue</v>
      </c>
      <c r="T919" s="25">
        <f t="shared" si="14"/>
        <v>28900</v>
      </c>
    </row>
    <row r="920" spans="1:20">
      <c r="A920" t="s">
        <v>2475</v>
      </c>
      <c r="B920" s="7">
        <v>45898</v>
      </c>
      <c r="C920" t="s">
        <v>93</v>
      </c>
      <c r="D920" t="s">
        <v>94</v>
      </c>
      <c r="E920" t="s">
        <v>107</v>
      </c>
      <c r="F920" s="12" t="s">
        <v>24</v>
      </c>
      <c r="G920" t="s">
        <v>25</v>
      </c>
      <c r="H920" t="s">
        <v>2476</v>
      </c>
      <c r="I920" t="s">
        <v>71</v>
      </c>
      <c r="J920" s="6">
        <v>28700</v>
      </c>
      <c r="K920" t="s">
        <v>3</v>
      </c>
      <c r="L920" t="s">
        <v>2477</v>
      </c>
      <c r="M920" t="s">
        <v>3</v>
      </c>
      <c r="N920" s="25" t="str">
        <f>TEXT(tbl_Ledger[[#This Row],[Date]],"yyyy-mm")</f>
        <v>2025-08</v>
      </c>
      <c r="O920" s="25" t="str">
        <f>TEXT(tbl_Ledger[[#This Row],[Date]],"yyyy-mm") &amp; TRIM(tbl_Ledger[[#This Row],[Currency]])</f>
        <v>2025-08NGN</v>
      </c>
      <c r="P920" s="25">
        <f>_xlfn.XLOOKUP(tbl_Ledger[[#This Row],[Key]], tbl_FX[Key], tbl_FX[Rate_to_NGN])</f>
        <v>1</v>
      </c>
      <c r="Q920" s="37">
        <f>IF(tbl_Ledger[[#This Row],[Account_Type]]="Expense",-ABS(tbl_Ledger[[#This Row],[Amount]]*tbl_Ledger[[#This Row],[Rate_to_NGN]]),tbl_Ledger[[#This Row],[Amount]]*tbl_Ledger[[#This Row],[Rate_to_NGN]])</f>
        <v>28700</v>
      </c>
      <c r="R920" s="25" t="str">
        <f>_xlfn.XLOOKUP(tbl_Ledger[[#This Row],[Account_Code]], tbl_Accounts[Account_Code], tbl_Accounts[Type])</f>
        <v>Revenue</v>
      </c>
      <c r="S920" s="25" t="str">
        <f>_xlfn.XLOOKUP(tbl_Ledger[[#This Row],[Account_Code]], tbl_Accounts[Account_Code], tbl_Accounts[PL_Bucket])</f>
        <v>Revenue</v>
      </c>
      <c r="T920" s="25">
        <f t="shared" si="14"/>
        <v>28700</v>
      </c>
    </row>
    <row r="921" spans="1:20">
      <c r="A921" t="s">
        <v>2478</v>
      </c>
      <c r="B921" s="7">
        <v>45898</v>
      </c>
      <c r="C921" t="s">
        <v>93</v>
      </c>
      <c r="D921" t="s">
        <v>111</v>
      </c>
      <c r="E921" t="s">
        <v>112</v>
      </c>
      <c r="F921" s="12" t="s">
        <v>24</v>
      </c>
      <c r="G921" t="s">
        <v>25</v>
      </c>
      <c r="H921" t="s">
        <v>2479</v>
      </c>
      <c r="I921" t="s">
        <v>71</v>
      </c>
      <c r="J921" s="6">
        <v>52000</v>
      </c>
      <c r="K921" t="s">
        <v>3</v>
      </c>
      <c r="L921" t="s">
        <v>2480</v>
      </c>
      <c r="M921" t="s">
        <v>3</v>
      </c>
      <c r="N921" s="25" t="str">
        <f>TEXT(tbl_Ledger[[#This Row],[Date]],"yyyy-mm")</f>
        <v>2025-08</v>
      </c>
      <c r="O921" s="25" t="str">
        <f>TEXT(tbl_Ledger[[#This Row],[Date]],"yyyy-mm") &amp; TRIM(tbl_Ledger[[#This Row],[Currency]])</f>
        <v>2025-08NGN</v>
      </c>
      <c r="P921" s="25">
        <f>_xlfn.XLOOKUP(tbl_Ledger[[#This Row],[Key]], tbl_FX[Key], tbl_FX[Rate_to_NGN])</f>
        <v>1</v>
      </c>
      <c r="Q921" s="37">
        <f>IF(tbl_Ledger[[#This Row],[Account_Type]]="Expense",-ABS(tbl_Ledger[[#This Row],[Amount]]*tbl_Ledger[[#This Row],[Rate_to_NGN]]),tbl_Ledger[[#This Row],[Amount]]*tbl_Ledger[[#This Row],[Rate_to_NGN]])</f>
        <v>52000</v>
      </c>
      <c r="R921" s="25" t="str">
        <f>_xlfn.XLOOKUP(tbl_Ledger[[#This Row],[Account_Code]], tbl_Accounts[Account_Code], tbl_Accounts[Type])</f>
        <v>Revenue</v>
      </c>
      <c r="S921" s="25" t="str">
        <f>_xlfn.XLOOKUP(tbl_Ledger[[#This Row],[Account_Code]], tbl_Accounts[Account_Code], tbl_Accounts[PL_Bucket])</f>
        <v>Revenue</v>
      </c>
      <c r="T921" s="25">
        <f t="shared" si="14"/>
        <v>52000</v>
      </c>
    </row>
    <row r="922" spans="1:20">
      <c r="A922" t="s">
        <v>2481</v>
      </c>
      <c r="B922" s="7">
        <v>45898</v>
      </c>
      <c r="C922" t="s">
        <v>93</v>
      </c>
      <c r="D922" t="s">
        <v>111</v>
      </c>
      <c r="E922" t="s">
        <v>116</v>
      </c>
      <c r="F922" s="12" t="s">
        <v>24</v>
      </c>
      <c r="G922" t="s">
        <v>25</v>
      </c>
      <c r="H922" t="s">
        <v>2482</v>
      </c>
      <c r="I922" t="s">
        <v>71</v>
      </c>
      <c r="J922" s="6">
        <v>48200</v>
      </c>
      <c r="K922" t="s">
        <v>3</v>
      </c>
      <c r="L922" t="s">
        <v>2480</v>
      </c>
      <c r="M922" t="s">
        <v>3</v>
      </c>
      <c r="N922" s="25" t="str">
        <f>TEXT(tbl_Ledger[[#This Row],[Date]],"yyyy-mm")</f>
        <v>2025-08</v>
      </c>
      <c r="O922" s="25" t="str">
        <f>TEXT(tbl_Ledger[[#This Row],[Date]],"yyyy-mm") &amp; TRIM(tbl_Ledger[[#This Row],[Currency]])</f>
        <v>2025-08NGN</v>
      </c>
      <c r="P922" s="25">
        <f>_xlfn.XLOOKUP(tbl_Ledger[[#This Row],[Key]], tbl_FX[Key], tbl_FX[Rate_to_NGN])</f>
        <v>1</v>
      </c>
      <c r="Q922" s="37">
        <f>IF(tbl_Ledger[[#This Row],[Account_Type]]="Expense",-ABS(tbl_Ledger[[#This Row],[Amount]]*tbl_Ledger[[#This Row],[Rate_to_NGN]]),tbl_Ledger[[#This Row],[Amount]]*tbl_Ledger[[#This Row],[Rate_to_NGN]])</f>
        <v>48200</v>
      </c>
      <c r="R922" s="25" t="str">
        <f>_xlfn.XLOOKUP(tbl_Ledger[[#This Row],[Account_Code]], tbl_Accounts[Account_Code], tbl_Accounts[Type])</f>
        <v>Revenue</v>
      </c>
      <c r="S922" s="25" t="str">
        <f>_xlfn.XLOOKUP(tbl_Ledger[[#This Row],[Account_Code]], tbl_Accounts[Account_Code], tbl_Accounts[PL_Bucket])</f>
        <v>Revenue</v>
      </c>
      <c r="T922" s="25">
        <f t="shared" si="14"/>
        <v>48200</v>
      </c>
    </row>
    <row r="923" spans="1:20">
      <c r="A923" t="s">
        <v>2483</v>
      </c>
      <c r="B923" s="7">
        <v>45898</v>
      </c>
      <c r="C923" t="s">
        <v>93</v>
      </c>
      <c r="D923" t="s">
        <v>111</v>
      </c>
      <c r="E923" t="s">
        <v>119</v>
      </c>
      <c r="F923" s="12" t="s">
        <v>24</v>
      </c>
      <c r="G923" t="s">
        <v>25</v>
      </c>
      <c r="H923" t="s">
        <v>2484</v>
      </c>
      <c r="I923" t="s">
        <v>71</v>
      </c>
      <c r="J923" s="6">
        <v>48300</v>
      </c>
      <c r="K923" t="s">
        <v>3</v>
      </c>
      <c r="L923" t="s">
        <v>2480</v>
      </c>
      <c r="M923" t="s">
        <v>3</v>
      </c>
      <c r="N923" s="25" t="str">
        <f>TEXT(tbl_Ledger[[#This Row],[Date]],"yyyy-mm")</f>
        <v>2025-08</v>
      </c>
      <c r="O923" s="25" t="str">
        <f>TEXT(tbl_Ledger[[#This Row],[Date]],"yyyy-mm") &amp; TRIM(tbl_Ledger[[#This Row],[Currency]])</f>
        <v>2025-08NGN</v>
      </c>
      <c r="P923" s="25">
        <f>_xlfn.XLOOKUP(tbl_Ledger[[#This Row],[Key]], tbl_FX[Key], tbl_FX[Rate_to_NGN])</f>
        <v>1</v>
      </c>
      <c r="Q923" s="37">
        <f>IF(tbl_Ledger[[#This Row],[Account_Type]]="Expense",-ABS(tbl_Ledger[[#This Row],[Amount]]*tbl_Ledger[[#This Row],[Rate_to_NGN]]),tbl_Ledger[[#This Row],[Amount]]*tbl_Ledger[[#This Row],[Rate_to_NGN]])</f>
        <v>48300</v>
      </c>
      <c r="R923" s="25" t="str">
        <f>_xlfn.XLOOKUP(tbl_Ledger[[#This Row],[Account_Code]], tbl_Accounts[Account_Code], tbl_Accounts[Type])</f>
        <v>Revenue</v>
      </c>
      <c r="S923" s="25" t="str">
        <f>_xlfn.XLOOKUP(tbl_Ledger[[#This Row],[Account_Code]], tbl_Accounts[Account_Code], tbl_Accounts[PL_Bucket])</f>
        <v>Revenue</v>
      </c>
      <c r="T923" s="25">
        <f t="shared" si="14"/>
        <v>48300</v>
      </c>
    </row>
    <row r="924" spans="1:20">
      <c r="A924" t="s">
        <v>2485</v>
      </c>
      <c r="B924" s="7">
        <v>45898</v>
      </c>
      <c r="C924" t="s">
        <v>93</v>
      </c>
      <c r="D924" t="s">
        <v>111</v>
      </c>
      <c r="E924" t="s">
        <v>170</v>
      </c>
      <c r="F924" s="12" t="s">
        <v>24</v>
      </c>
      <c r="G924" t="s">
        <v>25</v>
      </c>
      <c r="H924" t="s">
        <v>2486</v>
      </c>
      <c r="I924" t="s">
        <v>71</v>
      </c>
      <c r="J924" s="6">
        <v>47900</v>
      </c>
      <c r="K924" t="s">
        <v>3</v>
      </c>
      <c r="L924" t="s">
        <v>2480</v>
      </c>
      <c r="M924" t="s">
        <v>3</v>
      </c>
      <c r="N924" s="25" t="str">
        <f>TEXT(tbl_Ledger[[#This Row],[Date]],"yyyy-mm")</f>
        <v>2025-08</v>
      </c>
      <c r="O924" s="25" t="str">
        <f>TEXT(tbl_Ledger[[#This Row],[Date]],"yyyy-mm") &amp; TRIM(tbl_Ledger[[#This Row],[Currency]])</f>
        <v>2025-08NGN</v>
      </c>
      <c r="P924" s="25">
        <f>_xlfn.XLOOKUP(tbl_Ledger[[#This Row],[Key]], tbl_FX[Key], tbl_FX[Rate_to_NGN])</f>
        <v>1</v>
      </c>
      <c r="Q924" s="37">
        <f>IF(tbl_Ledger[[#This Row],[Account_Type]]="Expense",-ABS(tbl_Ledger[[#This Row],[Amount]]*tbl_Ledger[[#This Row],[Rate_to_NGN]]),tbl_Ledger[[#This Row],[Amount]]*tbl_Ledger[[#This Row],[Rate_to_NGN]])</f>
        <v>47900</v>
      </c>
      <c r="R924" s="25" t="str">
        <f>_xlfn.XLOOKUP(tbl_Ledger[[#This Row],[Account_Code]], tbl_Accounts[Account_Code], tbl_Accounts[Type])</f>
        <v>Revenue</v>
      </c>
      <c r="S924" s="25" t="str">
        <f>_xlfn.XLOOKUP(tbl_Ledger[[#This Row],[Account_Code]], tbl_Accounts[Account_Code], tbl_Accounts[PL_Bucket])</f>
        <v>Revenue</v>
      </c>
      <c r="T924" s="25">
        <f t="shared" si="14"/>
        <v>47900</v>
      </c>
    </row>
    <row r="925" spans="1:20">
      <c r="A925" t="s">
        <v>2487</v>
      </c>
      <c r="B925" s="7">
        <v>45898</v>
      </c>
      <c r="C925" t="s">
        <v>93</v>
      </c>
      <c r="D925" t="s">
        <v>111</v>
      </c>
      <c r="E925" t="s">
        <v>122</v>
      </c>
      <c r="F925" s="12" t="s">
        <v>24</v>
      </c>
      <c r="G925" t="s">
        <v>25</v>
      </c>
      <c r="H925" t="s">
        <v>2488</v>
      </c>
      <c r="I925" t="s">
        <v>71</v>
      </c>
      <c r="J925" s="6">
        <v>49600</v>
      </c>
      <c r="K925" t="s">
        <v>3</v>
      </c>
      <c r="L925" t="s">
        <v>2489</v>
      </c>
      <c r="M925" t="s">
        <v>3</v>
      </c>
      <c r="N925" s="25" t="str">
        <f>TEXT(tbl_Ledger[[#This Row],[Date]],"yyyy-mm")</f>
        <v>2025-08</v>
      </c>
      <c r="O925" s="25" t="str">
        <f>TEXT(tbl_Ledger[[#This Row],[Date]],"yyyy-mm") &amp; TRIM(tbl_Ledger[[#This Row],[Currency]])</f>
        <v>2025-08NGN</v>
      </c>
      <c r="P925" s="25">
        <f>_xlfn.XLOOKUP(tbl_Ledger[[#This Row],[Key]], tbl_FX[Key], tbl_FX[Rate_to_NGN])</f>
        <v>1</v>
      </c>
      <c r="Q925" s="37">
        <f>IF(tbl_Ledger[[#This Row],[Account_Type]]="Expense",-ABS(tbl_Ledger[[#This Row],[Amount]]*tbl_Ledger[[#This Row],[Rate_to_NGN]]),tbl_Ledger[[#This Row],[Amount]]*tbl_Ledger[[#This Row],[Rate_to_NGN]])</f>
        <v>49600</v>
      </c>
      <c r="R925" s="25" t="str">
        <f>_xlfn.XLOOKUP(tbl_Ledger[[#This Row],[Account_Code]], tbl_Accounts[Account_Code], tbl_Accounts[Type])</f>
        <v>Revenue</v>
      </c>
      <c r="S925" s="25" t="str">
        <f>_xlfn.XLOOKUP(tbl_Ledger[[#This Row],[Account_Code]], tbl_Accounts[Account_Code], tbl_Accounts[PL_Bucket])</f>
        <v>Revenue</v>
      </c>
      <c r="T925" s="25">
        <f t="shared" si="14"/>
        <v>49600</v>
      </c>
    </row>
    <row r="926" spans="1:20">
      <c r="A926" t="s">
        <v>2490</v>
      </c>
      <c r="B926" s="7">
        <v>45898</v>
      </c>
      <c r="C926" t="s">
        <v>126</v>
      </c>
      <c r="D926" t="s">
        <v>88</v>
      </c>
      <c r="E926" t="s">
        <v>127</v>
      </c>
      <c r="F926" s="12" t="s">
        <v>29</v>
      </c>
      <c r="G926" t="s">
        <v>30</v>
      </c>
      <c r="H926" t="s">
        <v>2491</v>
      </c>
      <c r="I926" t="s">
        <v>72</v>
      </c>
      <c r="J926" s="6">
        <v>31.17</v>
      </c>
      <c r="K926" t="s">
        <v>129</v>
      </c>
      <c r="L926" t="s">
        <v>2492</v>
      </c>
      <c r="M926" t="s">
        <v>3</v>
      </c>
      <c r="N926" s="25" t="str">
        <f>TEXT(tbl_Ledger[[#This Row],[Date]],"yyyy-mm")</f>
        <v>2025-08</v>
      </c>
      <c r="O926" s="25" t="str">
        <f>TEXT(tbl_Ledger[[#This Row],[Date]],"yyyy-mm") &amp; TRIM(tbl_Ledger[[#This Row],[Currency]])</f>
        <v>2025-08USD</v>
      </c>
      <c r="P926" s="25">
        <f>_xlfn.XLOOKUP(tbl_Ledger[[#This Row],[Key]], tbl_FX[Key], tbl_FX[Rate_to_NGN])</f>
        <v>1572</v>
      </c>
      <c r="Q926" s="37">
        <f>IF(tbl_Ledger[[#This Row],[Account_Type]]="Expense",-ABS(tbl_Ledger[[#This Row],[Amount]]*tbl_Ledger[[#This Row],[Rate_to_NGN]]),tbl_Ledger[[#This Row],[Amount]]*tbl_Ledger[[#This Row],[Rate_to_NGN]])</f>
        <v>48999.240000000005</v>
      </c>
      <c r="R926" s="25" t="str">
        <f>_xlfn.XLOOKUP(tbl_Ledger[[#This Row],[Account_Code]], tbl_Accounts[Account_Code], tbl_Accounts[Type])</f>
        <v>Revenue</v>
      </c>
      <c r="S926" s="25" t="str">
        <f>_xlfn.XLOOKUP(tbl_Ledger[[#This Row],[Account_Code]], tbl_Accounts[Account_Code], tbl_Accounts[PL_Bucket])</f>
        <v>Revenue</v>
      </c>
      <c r="T926" s="25">
        <f t="shared" si="14"/>
        <v>48999.240000000005</v>
      </c>
    </row>
    <row r="927" spans="1:20">
      <c r="A927" t="s">
        <v>2493</v>
      </c>
      <c r="B927" s="7">
        <v>45898</v>
      </c>
      <c r="C927" t="s">
        <v>126</v>
      </c>
      <c r="D927" t="s">
        <v>88</v>
      </c>
      <c r="E927" t="s">
        <v>132</v>
      </c>
      <c r="F927" s="12" t="s">
        <v>29</v>
      </c>
      <c r="G927" t="s">
        <v>30</v>
      </c>
      <c r="H927" t="s">
        <v>2494</v>
      </c>
      <c r="I927" t="s">
        <v>71</v>
      </c>
      <c r="J927" s="6">
        <v>43700</v>
      </c>
      <c r="K927" t="s">
        <v>134</v>
      </c>
      <c r="L927" t="s">
        <v>2492</v>
      </c>
      <c r="M927" t="s">
        <v>3</v>
      </c>
      <c r="N927" s="25" t="str">
        <f>TEXT(tbl_Ledger[[#This Row],[Date]],"yyyy-mm")</f>
        <v>2025-08</v>
      </c>
      <c r="O927" s="25" t="str">
        <f>TEXT(tbl_Ledger[[#This Row],[Date]],"yyyy-mm") &amp; TRIM(tbl_Ledger[[#This Row],[Currency]])</f>
        <v>2025-08NGN</v>
      </c>
      <c r="P927" s="25">
        <f>_xlfn.XLOOKUP(tbl_Ledger[[#This Row],[Key]], tbl_FX[Key], tbl_FX[Rate_to_NGN])</f>
        <v>1</v>
      </c>
      <c r="Q927" s="37">
        <f>IF(tbl_Ledger[[#This Row],[Account_Type]]="Expense",-ABS(tbl_Ledger[[#This Row],[Amount]]*tbl_Ledger[[#This Row],[Rate_to_NGN]]),tbl_Ledger[[#This Row],[Amount]]*tbl_Ledger[[#This Row],[Rate_to_NGN]])</f>
        <v>43700</v>
      </c>
      <c r="R927" s="25" t="str">
        <f>_xlfn.XLOOKUP(tbl_Ledger[[#This Row],[Account_Code]], tbl_Accounts[Account_Code], tbl_Accounts[Type])</f>
        <v>Revenue</v>
      </c>
      <c r="S927" s="25" t="str">
        <f>_xlfn.XLOOKUP(tbl_Ledger[[#This Row],[Account_Code]], tbl_Accounts[Account_Code], tbl_Accounts[PL_Bucket])</f>
        <v>Revenue</v>
      </c>
      <c r="T927" s="25">
        <f t="shared" si="14"/>
        <v>43700</v>
      </c>
    </row>
    <row r="928" spans="1:20">
      <c r="A928" t="s">
        <v>2495</v>
      </c>
      <c r="B928" s="7">
        <v>45898</v>
      </c>
      <c r="C928" t="s">
        <v>126</v>
      </c>
      <c r="D928" t="s">
        <v>88</v>
      </c>
      <c r="E928" t="s">
        <v>136</v>
      </c>
      <c r="F928" s="12" t="s">
        <v>29</v>
      </c>
      <c r="G928" t="s">
        <v>30</v>
      </c>
      <c r="H928" t="s">
        <v>2496</v>
      </c>
      <c r="I928" t="s">
        <v>71</v>
      </c>
      <c r="J928" s="6">
        <v>54500</v>
      </c>
      <c r="K928" t="s">
        <v>138</v>
      </c>
      <c r="L928" t="s">
        <v>2492</v>
      </c>
      <c r="M928" t="s">
        <v>3</v>
      </c>
      <c r="N928" s="25" t="str">
        <f>TEXT(tbl_Ledger[[#This Row],[Date]],"yyyy-mm")</f>
        <v>2025-08</v>
      </c>
      <c r="O928" s="25" t="str">
        <f>TEXT(tbl_Ledger[[#This Row],[Date]],"yyyy-mm") &amp; TRIM(tbl_Ledger[[#This Row],[Currency]])</f>
        <v>2025-08NGN</v>
      </c>
      <c r="P928" s="25">
        <f>_xlfn.XLOOKUP(tbl_Ledger[[#This Row],[Key]], tbl_FX[Key], tbl_FX[Rate_to_NGN])</f>
        <v>1</v>
      </c>
      <c r="Q928" s="37">
        <f>IF(tbl_Ledger[[#This Row],[Account_Type]]="Expense",-ABS(tbl_Ledger[[#This Row],[Amount]]*tbl_Ledger[[#This Row],[Rate_to_NGN]]),tbl_Ledger[[#This Row],[Amount]]*tbl_Ledger[[#This Row],[Rate_to_NGN]])</f>
        <v>54500</v>
      </c>
      <c r="R928" s="25" t="str">
        <f>_xlfn.XLOOKUP(tbl_Ledger[[#This Row],[Account_Code]], tbl_Accounts[Account_Code], tbl_Accounts[Type])</f>
        <v>Revenue</v>
      </c>
      <c r="S928" s="25" t="str">
        <f>_xlfn.XLOOKUP(tbl_Ledger[[#This Row],[Account_Code]], tbl_Accounts[Account_Code], tbl_Accounts[PL_Bucket])</f>
        <v>Revenue</v>
      </c>
      <c r="T928" s="25">
        <f t="shared" si="14"/>
        <v>54500</v>
      </c>
    </row>
    <row r="929" spans="1:20">
      <c r="A929" t="s">
        <v>2497</v>
      </c>
      <c r="B929" s="7">
        <v>45898</v>
      </c>
      <c r="C929" t="s">
        <v>87</v>
      </c>
      <c r="D929" t="s">
        <v>94</v>
      </c>
      <c r="E929" t="s">
        <v>3</v>
      </c>
      <c r="F929" s="12" t="s">
        <v>42</v>
      </c>
      <c r="G929" t="s">
        <v>43</v>
      </c>
      <c r="H929" t="s">
        <v>1387</v>
      </c>
      <c r="I929" t="s">
        <v>71</v>
      </c>
      <c r="J929" s="6">
        <v>-555000</v>
      </c>
      <c r="K929" t="s">
        <v>187</v>
      </c>
      <c r="L929" t="s">
        <v>2498</v>
      </c>
      <c r="M929" t="s">
        <v>3</v>
      </c>
      <c r="N929" s="25" t="str">
        <f>TEXT(tbl_Ledger[[#This Row],[Date]],"yyyy-mm")</f>
        <v>2025-08</v>
      </c>
      <c r="O929" s="25" t="str">
        <f>TEXT(tbl_Ledger[[#This Row],[Date]],"yyyy-mm") &amp; TRIM(tbl_Ledger[[#This Row],[Currency]])</f>
        <v>2025-08NGN</v>
      </c>
      <c r="P929" s="25">
        <f>_xlfn.XLOOKUP(tbl_Ledger[[#This Row],[Key]], tbl_FX[Key], tbl_FX[Rate_to_NGN])</f>
        <v>1</v>
      </c>
      <c r="Q929" s="37">
        <f>IF(tbl_Ledger[[#This Row],[Account_Type]]="Expense",-ABS(tbl_Ledger[[#This Row],[Amount]]*tbl_Ledger[[#This Row],[Rate_to_NGN]]),tbl_Ledger[[#This Row],[Amount]]*tbl_Ledger[[#This Row],[Rate_to_NGN]])</f>
        <v>-555000</v>
      </c>
      <c r="R929" s="25" t="str">
        <f>_xlfn.XLOOKUP(tbl_Ledger[[#This Row],[Account_Code]], tbl_Accounts[Account_Code], tbl_Accounts[Type])</f>
        <v>COGS</v>
      </c>
      <c r="S929" s="25" t="str">
        <f>_xlfn.XLOOKUP(tbl_Ledger[[#This Row],[Account_Code]], tbl_Accounts[Account_Code], tbl_Accounts[PL_Bucket])</f>
        <v>COGS</v>
      </c>
      <c r="T929" s="25">
        <f t="shared" si="14"/>
        <v>-555000</v>
      </c>
    </row>
    <row r="930" spans="1:20">
      <c r="A930" t="s">
        <v>2499</v>
      </c>
      <c r="B930" s="7">
        <v>45898</v>
      </c>
      <c r="C930" t="s">
        <v>87</v>
      </c>
      <c r="D930" t="s">
        <v>111</v>
      </c>
      <c r="E930" t="s">
        <v>3</v>
      </c>
      <c r="F930" s="12" t="s">
        <v>36</v>
      </c>
      <c r="G930" t="s">
        <v>37</v>
      </c>
      <c r="H930" t="s">
        <v>1879</v>
      </c>
      <c r="I930" t="s">
        <v>71</v>
      </c>
      <c r="J930" s="6">
        <v>-1375000</v>
      </c>
      <c r="K930" t="s">
        <v>145</v>
      </c>
      <c r="L930" t="s">
        <v>2500</v>
      </c>
      <c r="M930" t="s">
        <v>3</v>
      </c>
      <c r="N930" s="25" t="str">
        <f>TEXT(tbl_Ledger[[#This Row],[Date]],"yyyy-mm")</f>
        <v>2025-08</v>
      </c>
      <c r="O930" s="25" t="str">
        <f>TEXT(tbl_Ledger[[#This Row],[Date]],"yyyy-mm") &amp; TRIM(tbl_Ledger[[#This Row],[Currency]])</f>
        <v>2025-08NGN</v>
      </c>
      <c r="P930" s="25">
        <f>_xlfn.XLOOKUP(tbl_Ledger[[#This Row],[Key]], tbl_FX[Key], tbl_FX[Rate_to_NGN])</f>
        <v>1</v>
      </c>
      <c r="Q930" s="37">
        <f>IF(tbl_Ledger[[#This Row],[Account_Type]]="Expense",-ABS(tbl_Ledger[[#This Row],[Amount]]*tbl_Ledger[[#This Row],[Rate_to_NGN]]),tbl_Ledger[[#This Row],[Amount]]*tbl_Ledger[[#This Row],[Rate_to_NGN]])</f>
        <v>-1375000</v>
      </c>
      <c r="R930" s="25" t="str">
        <f>_xlfn.XLOOKUP(tbl_Ledger[[#This Row],[Account_Code]], tbl_Accounts[Account_Code], tbl_Accounts[Type])</f>
        <v>COGS</v>
      </c>
      <c r="S930" s="25" t="str">
        <f>_xlfn.XLOOKUP(tbl_Ledger[[#This Row],[Account_Code]], tbl_Accounts[Account_Code], tbl_Accounts[PL_Bucket])</f>
        <v>COGS</v>
      </c>
      <c r="T930" s="25">
        <f t="shared" si="14"/>
        <v>-1375000</v>
      </c>
    </row>
    <row r="931" spans="1:20">
      <c r="A931" t="s">
        <v>2501</v>
      </c>
      <c r="B931" s="7">
        <v>45898</v>
      </c>
      <c r="C931" t="s">
        <v>87</v>
      </c>
      <c r="D931" t="s">
        <v>111</v>
      </c>
      <c r="E931" t="s">
        <v>3</v>
      </c>
      <c r="F931" s="12" t="s">
        <v>36</v>
      </c>
      <c r="G931" t="s">
        <v>37</v>
      </c>
      <c r="H931" t="s">
        <v>1593</v>
      </c>
      <c r="I931" t="s">
        <v>71</v>
      </c>
      <c r="J931" s="6">
        <v>-1467000</v>
      </c>
      <c r="K931" t="s">
        <v>987</v>
      </c>
      <c r="L931" t="s">
        <v>2502</v>
      </c>
      <c r="M931" t="s">
        <v>3</v>
      </c>
      <c r="N931" s="25" t="str">
        <f>TEXT(tbl_Ledger[[#This Row],[Date]],"yyyy-mm")</f>
        <v>2025-08</v>
      </c>
      <c r="O931" s="25" t="str">
        <f>TEXT(tbl_Ledger[[#This Row],[Date]],"yyyy-mm") &amp; TRIM(tbl_Ledger[[#This Row],[Currency]])</f>
        <v>2025-08NGN</v>
      </c>
      <c r="P931" s="25">
        <f>_xlfn.XLOOKUP(tbl_Ledger[[#This Row],[Key]], tbl_FX[Key], tbl_FX[Rate_to_NGN])</f>
        <v>1</v>
      </c>
      <c r="Q931" s="37">
        <f>IF(tbl_Ledger[[#This Row],[Account_Type]]="Expense",-ABS(tbl_Ledger[[#This Row],[Amount]]*tbl_Ledger[[#This Row],[Rate_to_NGN]]),tbl_Ledger[[#This Row],[Amount]]*tbl_Ledger[[#This Row],[Rate_to_NGN]])</f>
        <v>-1467000</v>
      </c>
      <c r="R931" s="25" t="str">
        <f>_xlfn.XLOOKUP(tbl_Ledger[[#This Row],[Account_Code]], tbl_Accounts[Account_Code], tbl_Accounts[Type])</f>
        <v>COGS</v>
      </c>
      <c r="S931" s="25" t="str">
        <f>_xlfn.XLOOKUP(tbl_Ledger[[#This Row],[Account_Code]], tbl_Accounts[Account_Code], tbl_Accounts[PL_Bucket])</f>
        <v>COGS</v>
      </c>
      <c r="T931" s="25">
        <f t="shared" si="14"/>
        <v>-1467000</v>
      </c>
    </row>
    <row r="932" spans="1:20">
      <c r="A932" t="s">
        <v>2503</v>
      </c>
      <c r="B932" s="7">
        <v>45898</v>
      </c>
      <c r="C932" t="s">
        <v>1274</v>
      </c>
      <c r="D932" t="s">
        <v>94</v>
      </c>
      <c r="E932" t="s">
        <v>3</v>
      </c>
      <c r="F932" s="12" t="s">
        <v>59</v>
      </c>
      <c r="G932" t="s">
        <v>60</v>
      </c>
      <c r="H932" t="s">
        <v>2504</v>
      </c>
      <c r="I932" t="s">
        <v>71</v>
      </c>
      <c r="J932" s="6">
        <v>-87818</v>
      </c>
      <c r="K932" t="s">
        <v>1276</v>
      </c>
      <c r="L932" t="s">
        <v>2505</v>
      </c>
      <c r="M932" t="s">
        <v>3</v>
      </c>
      <c r="N932" s="25" t="str">
        <f>TEXT(tbl_Ledger[[#This Row],[Date]],"yyyy-mm")</f>
        <v>2025-08</v>
      </c>
      <c r="O932" s="25" t="str">
        <f>TEXT(tbl_Ledger[[#This Row],[Date]],"yyyy-mm") &amp; TRIM(tbl_Ledger[[#This Row],[Currency]])</f>
        <v>2025-08NGN</v>
      </c>
      <c r="P932" s="25">
        <f>_xlfn.XLOOKUP(tbl_Ledger[[#This Row],[Key]], tbl_FX[Key], tbl_FX[Rate_to_NGN])</f>
        <v>1</v>
      </c>
      <c r="Q932" s="37">
        <f>IF(tbl_Ledger[[#This Row],[Account_Type]]="Expense",-ABS(tbl_Ledger[[#This Row],[Amount]]*tbl_Ledger[[#This Row],[Rate_to_NGN]]),tbl_Ledger[[#This Row],[Amount]]*tbl_Ledger[[#This Row],[Rate_to_NGN]])</f>
        <v>-87818</v>
      </c>
      <c r="R932" s="25" t="str">
        <f>_xlfn.XLOOKUP(tbl_Ledger[[#This Row],[Account_Code]], tbl_Accounts[Account_Code], tbl_Accounts[Type])</f>
        <v>Opex</v>
      </c>
      <c r="S932" s="25" t="str">
        <f>_xlfn.XLOOKUP(tbl_Ledger[[#This Row],[Account_Code]], tbl_Accounts[Account_Code], tbl_Accounts[PL_Bucket])</f>
        <v>Opex</v>
      </c>
      <c r="T932" s="25">
        <f t="shared" si="14"/>
        <v>-87818</v>
      </c>
    </row>
    <row r="933" spans="1:20">
      <c r="A933" t="s">
        <v>2506</v>
      </c>
      <c r="B933" s="7">
        <v>45898</v>
      </c>
      <c r="C933" t="s">
        <v>1274</v>
      </c>
      <c r="D933" t="s">
        <v>111</v>
      </c>
      <c r="E933" t="s">
        <v>3</v>
      </c>
      <c r="F933" s="12" t="s">
        <v>59</v>
      </c>
      <c r="G933" t="s">
        <v>60</v>
      </c>
      <c r="H933" t="s">
        <v>2504</v>
      </c>
      <c r="I933" t="s">
        <v>71</v>
      </c>
      <c r="J933" s="6">
        <v>-161531</v>
      </c>
      <c r="K933" t="s">
        <v>1276</v>
      </c>
      <c r="L933" t="s">
        <v>2507</v>
      </c>
      <c r="M933" t="s">
        <v>3</v>
      </c>
      <c r="N933" s="25" t="str">
        <f>TEXT(tbl_Ledger[[#This Row],[Date]],"yyyy-mm")</f>
        <v>2025-08</v>
      </c>
      <c r="O933" s="25" t="str">
        <f>TEXT(tbl_Ledger[[#This Row],[Date]],"yyyy-mm") &amp; TRIM(tbl_Ledger[[#This Row],[Currency]])</f>
        <v>2025-08NGN</v>
      </c>
      <c r="P933" s="25">
        <f>_xlfn.XLOOKUP(tbl_Ledger[[#This Row],[Key]], tbl_FX[Key], tbl_FX[Rate_to_NGN])</f>
        <v>1</v>
      </c>
      <c r="Q933" s="37">
        <f>IF(tbl_Ledger[[#This Row],[Account_Type]]="Expense",-ABS(tbl_Ledger[[#This Row],[Amount]]*tbl_Ledger[[#This Row],[Rate_to_NGN]]),tbl_Ledger[[#This Row],[Amount]]*tbl_Ledger[[#This Row],[Rate_to_NGN]])</f>
        <v>-161531</v>
      </c>
      <c r="R933" s="25" t="str">
        <f>_xlfn.XLOOKUP(tbl_Ledger[[#This Row],[Account_Code]], tbl_Accounts[Account_Code], tbl_Accounts[Type])</f>
        <v>Opex</v>
      </c>
      <c r="S933" s="25" t="str">
        <f>_xlfn.XLOOKUP(tbl_Ledger[[#This Row],[Account_Code]], tbl_Accounts[Account_Code], tbl_Accounts[PL_Bucket])</f>
        <v>Opex</v>
      </c>
      <c r="T933" s="25">
        <f t="shared" si="14"/>
        <v>-161531</v>
      </c>
    </row>
    <row r="934" spans="1:20">
      <c r="A934" t="s">
        <v>2508</v>
      </c>
      <c r="B934" s="7">
        <v>45898</v>
      </c>
      <c r="C934" t="s">
        <v>1274</v>
      </c>
      <c r="D934" t="s">
        <v>88</v>
      </c>
      <c r="E934" t="s">
        <v>3</v>
      </c>
      <c r="F934" s="12" t="s">
        <v>59</v>
      </c>
      <c r="G934" t="s">
        <v>60</v>
      </c>
      <c r="H934" t="s">
        <v>2504</v>
      </c>
      <c r="I934" t="s">
        <v>71</v>
      </c>
      <c r="J934" s="6">
        <v>-100722</v>
      </c>
      <c r="K934" t="s">
        <v>1276</v>
      </c>
      <c r="L934" t="s">
        <v>2509</v>
      </c>
      <c r="M934" t="s">
        <v>3</v>
      </c>
      <c r="N934" s="25" t="str">
        <f>TEXT(tbl_Ledger[[#This Row],[Date]],"yyyy-mm")</f>
        <v>2025-08</v>
      </c>
      <c r="O934" s="25" t="str">
        <f>TEXT(tbl_Ledger[[#This Row],[Date]],"yyyy-mm") &amp; TRIM(tbl_Ledger[[#This Row],[Currency]])</f>
        <v>2025-08NGN</v>
      </c>
      <c r="P934" s="25">
        <f>_xlfn.XLOOKUP(tbl_Ledger[[#This Row],[Key]], tbl_FX[Key], tbl_FX[Rate_to_NGN])</f>
        <v>1</v>
      </c>
      <c r="Q934" s="37">
        <f>IF(tbl_Ledger[[#This Row],[Account_Type]]="Expense",-ABS(tbl_Ledger[[#This Row],[Amount]]*tbl_Ledger[[#This Row],[Rate_to_NGN]]),tbl_Ledger[[#This Row],[Amount]]*tbl_Ledger[[#This Row],[Rate_to_NGN]])</f>
        <v>-100722</v>
      </c>
      <c r="R934" s="25" t="str">
        <f>_xlfn.XLOOKUP(tbl_Ledger[[#This Row],[Account_Code]], tbl_Accounts[Account_Code], tbl_Accounts[Type])</f>
        <v>Opex</v>
      </c>
      <c r="S934" s="25" t="str">
        <f>_xlfn.XLOOKUP(tbl_Ledger[[#This Row],[Account_Code]], tbl_Accounts[Account_Code], tbl_Accounts[PL_Bucket])</f>
        <v>Opex</v>
      </c>
      <c r="T934" s="25">
        <f t="shared" si="14"/>
        <v>-100722</v>
      </c>
    </row>
    <row r="935" spans="1:20">
      <c r="A935" t="s">
        <v>2510</v>
      </c>
      <c r="B935" s="7">
        <v>45899</v>
      </c>
      <c r="C935" t="s">
        <v>93</v>
      </c>
      <c r="D935" t="s">
        <v>94</v>
      </c>
      <c r="E935" t="s">
        <v>95</v>
      </c>
      <c r="F935" s="12" t="s">
        <v>24</v>
      </c>
      <c r="G935" t="s">
        <v>25</v>
      </c>
      <c r="H935" t="s">
        <v>2511</v>
      </c>
      <c r="I935" t="s">
        <v>71</v>
      </c>
      <c r="J935" s="6">
        <v>40800</v>
      </c>
      <c r="K935" t="s">
        <v>3</v>
      </c>
      <c r="L935" t="s">
        <v>2512</v>
      </c>
      <c r="M935" t="s">
        <v>3</v>
      </c>
      <c r="N935" s="25" t="str">
        <f>TEXT(tbl_Ledger[[#This Row],[Date]],"yyyy-mm")</f>
        <v>2025-08</v>
      </c>
      <c r="O935" s="25" t="str">
        <f>TEXT(tbl_Ledger[[#This Row],[Date]],"yyyy-mm") &amp; TRIM(tbl_Ledger[[#This Row],[Currency]])</f>
        <v>2025-08NGN</v>
      </c>
      <c r="P935" s="25">
        <f>_xlfn.XLOOKUP(tbl_Ledger[[#This Row],[Key]], tbl_FX[Key], tbl_FX[Rate_to_NGN])</f>
        <v>1</v>
      </c>
      <c r="Q935" s="37">
        <f>IF(tbl_Ledger[[#This Row],[Account_Type]]="Expense",-ABS(tbl_Ledger[[#This Row],[Amount]]*tbl_Ledger[[#This Row],[Rate_to_NGN]]),tbl_Ledger[[#This Row],[Amount]]*tbl_Ledger[[#This Row],[Rate_to_NGN]])</f>
        <v>40800</v>
      </c>
      <c r="R935" s="25" t="str">
        <f>_xlfn.XLOOKUP(tbl_Ledger[[#This Row],[Account_Code]], tbl_Accounts[Account_Code], tbl_Accounts[Type])</f>
        <v>Revenue</v>
      </c>
      <c r="S935" s="25" t="str">
        <f>_xlfn.XLOOKUP(tbl_Ledger[[#This Row],[Account_Code]], tbl_Accounts[Account_Code], tbl_Accounts[PL_Bucket])</f>
        <v>Revenue</v>
      </c>
      <c r="T935" s="25">
        <f t="shared" si="14"/>
        <v>40800</v>
      </c>
    </row>
    <row r="936" spans="1:20">
      <c r="A936" t="s">
        <v>2513</v>
      </c>
      <c r="B936" s="7">
        <v>45899</v>
      </c>
      <c r="C936" t="s">
        <v>93</v>
      </c>
      <c r="D936" t="s">
        <v>94</v>
      </c>
      <c r="E936" t="s">
        <v>99</v>
      </c>
      <c r="F936" s="12" t="s">
        <v>24</v>
      </c>
      <c r="G936" t="s">
        <v>25</v>
      </c>
      <c r="H936" t="s">
        <v>2514</v>
      </c>
      <c r="I936" t="s">
        <v>71</v>
      </c>
      <c r="J936" s="6">
        <v>35100</v>
      </c>
      <c r="K936" t="s">
        <v>3</v>
      </c>
      <c r="L936" t="s">
        <v>2515</v>
      </c>
      <c r="M936" t="s">
        <v>3</v>
      </c>
      <c r="N936" s="25" t="str">
        <f>TEXT(tbl_Ledger[[#This Row],[Date]],"yyyy-mm")</f>
        <v>2025-08</v>
      </c>
      <c r="O936" s="25" t="str">
        <f>TEXT(tbl_Ledger[[#This Row],[Date]],"yyyy-mm") &amp; TRIM(tbl_Ledger[[#This Row],[Currency]])</f>
        <v>2025-08NGN</v>
      </c>
      <c r="P936" s="25">
        <f>_xlfn.XLOOKUP(tbl_Ledger[[#This Row],[Key]], tbl_FX[Key], tbl_FX[Rate_to_NGN])</f>
        <v>1</v>
      </c>
      <c r="Q936" s="37">
        <f>IF(tbl_Ledger[[#This Row],[Account_Type]]="Expense",-ABS(tbl_Ledger[[#This Row],[Amount]]*tbl_Ledger[[#This Row],[Rate_to_NGN]]),tbl_Ledger[[#This Row],[Amount]]*tbl_Ledger[[#This Row],[Rate_to_NGN]])</f>
        <v>35100</v>
      </c>
      <c r="R936" s="25" t="str">
        <f>_xlfn.XLOOKUP(tbl_Ledger[[#This Row],[Account_Code]], tbl_Accounts[Account_Code], tbl_Accounts[Type])</f>
        <v>Revenue</v>
      </c>
      <c r="S936" s="25" t="str">
        <f>_xlfn.XLOOKUP(tbl_Ledger[[#This Row],[Account_Code]], tbl_Accounts[Account_Code], tbl_Accounts[PL_Bucket])</f>
        <v>Revenue</v>
      </c>
      <c r="T936" s="25">
        <f t="shared" si="14"/>
        <v>35100</v>
      </c>
    </row>
    <row r="937" spans="1:20">
      <c r="A937" t="s">
        <v>2516</v>
      </c>
      <c r="B937" s="7">
        <v>45899</v>
      </c>
      <c r="C937" t="s">
        <v>93</v>
      </c>
      <c r="D937" t="s">
        <v>94</v>
      </c>
      <c r="E937" t="s">
        <v>103</v>
      </c>
      <c r="F937" s="12" t="s">
        <v>24</v>
      </c>
      <c r="G937" t="s">
        <v>25</v>
      </c>
      <c r="H937" t="s">
        <v>2517</v>
      </c>
      <c r="I937" t="s">
        <v>71</v>
      </c>
      <c r="J937" s="6">
        <v>36700</v>
      </c>
      <c r="K937" t="s">
        <v>3</v>
      </c>
      <c r="L937" t="s">
        <v>2518</v>
      </c>
      <c r="M937" t="s">
        <v>3</v>
      </c>
      <c r="N937" s="25" t="str">
        <f>TEXT(tbl_Ledger[[#This Row],[Date]],"yyyy-mm")</f>
        <v>2025-08</v>
      </c>
      <c r="O937" s="25" t="str">
        <f>TEXT(tbl_Ledger[[#This Row],[Date]],"yyyy-mm") &amp; TRIM(tbl_Ledger[[#This Row],[Currency]])</f>
        <v>2025-08NGN</v>
      </c>
      <c r="P937" s="25">
        <f>_xlfn.XLOOKUP(tbl_Ledger[[#This Row],[Key]], tbl_FX[Key], tbl_FX[Rate_to_NGN])</f>
        <v>1</v>
      </c>
      <c r="Q937" s="37">
        <f>IF(tbl_Ledger[[#This Row],[Account_Type]]="Expense",-ABS(tbl_Ledger[[#This Row],[Amount]]*tbl_Ledger[[#This Row],[Rate_to_NGN]]),tbl_Ledger[[#This Row],[Amount]]*tbl_Ledger[[#This Row],[Rate_to_NGN]])</f>
        <v>36700</v>
      </c>
      <c r="R937" s="25" t="str">
        <f>_xlfn.XLOOKUP(tbl_Ledger[[#This Row],[Account_Code]], tbl_Accounts[Account_Code], tbl_Accounts[Type])</f>
        <v>Revenue</v>
      </c>
      <c r="S937" s="25" t="str">
        <f>_xlfn.XLOOKUP(tbl_Ledger[[#This Row],[Account_Code]], tbl_Accounts[Account_Code], tbl_Accounts[PL_Bucket])</f>
        <v>Revenue</v>
      </c>
      <c r="T937" s="25">
        <f t="shared" si="14"/>
        <v>36700</v>
      </c>
    </row>
    <row r="938" spans="1:20">
      <c r="A938" t="s">
        <v>2519</v>
      </c>
      <c r="B938" s="7">
        <v>45899</v>
      </c>
      <c r="C938" t="s">
        <v>93</v>
      </c>
      <c r="D938" t="s">
        <v>94</v>
      </c>
      <c r="E938" t="s">
        <v>160</v>
      </c>
      <c r="F938" s="12" t="s">
        <v>24</v>
      </c>
      <c r="G938" t="s">
        <v>25</v>
      </c>
      <c r="H938" t="s">
        <v>2520</v>
      </c>
      <c r="I938" t="s">
        <v>71</v>
      </c>
      <c r="J938" s="6">
        <v>39300</v>
      </c>
      <c r="K938" t="s">
        <v>3</v>
      </c>
      <c r="L938" t="s">
        <v>2518</v>
      </c>
      <c r="M938" t="s">
        <v>3</v>
      </c>
      <c r="N938" s="25" t="str">
        <f>TEXT(tbl_Ledger[[#This Row],[Date]],"yyyy-mm")</f>
        <v>2025-08</v>
      </c>
      <c r="O938" s="25" t="str">
        <f>TEXT(tbl_Ledger[[#This Row],[Date]],"yyyy-mm") &amp; TRIM(tbl_Ledger[[#This Row],[Currency]])</f>
        <v>2025-08NGN</v>
      </c>
      <c r="P938" s="25">
        <f>_xlfn.XLOOKUP(tbl_Ledger[[#This Row],[Key]], tbl_FX[Key], tbl_FX[Rate_to_NGN])</f>
        <v>1</v>
      </c>
      <c r="Q938" s="37">
        <f>IF(tbl_Ledger[[#This Row],[Account_Type]]="Expense",-ABS(tbl_Ledger[[#This Row],[Amount]]*tbl_Ledger[[#This Row],[Rate_to_NGN]]),tbl_Ledger[[#This Row],[Amount]]*tbl_Ledger[[#This Row],[Rate_to_NGN]])</f>
        <v>39300</v>
      </c>
      <c r="R938" s="25" t="str">
        <f>_xlfn.XLOOKUP(tbl_Ledger[[#This Row],[Account_Code]], tbl_Accounts[Account_Code], tbl_Accounts[Type])</f>
        <v>Revenue</v>
      </c>
      <c r="S938" s="25" t="str">
        <f>_xlfn.XLOOKUP(tbl_Ledger[[#This Row],[Account_Code]], tbl_Accounts[Account_Code], tbl_Accounts[PL_Bucket])</f>
        <v>Revenue</v>
      </c>
      <c r="T938" s="25">
        <f t="shared" si="14"/>
        <v>39300</v>
      </c>
    </row>
    <row r="939" spans="1:20">
      <c r="A939" t="s">
        <v>2521</v>
      </c>
      <c r="B939" s="7">
        <v>45899</v>
      </c>
      <c r="C939" t="s">
        <v>93</v>
      </c>
      <c r="D939" t="s">
        <v>94</v>
      </c>
      <c r="E939" t="s">
        <v>107</v>
      </c>
      <c r="F939" s="12" t="s">
        <v>24</v>
      </c>
      <c r="G939" t="s">
        <v>25</v>
      </c>
      <c r="H939" t="s">
        <v>2522</v>
      </c>
      <c r="I939" t="s">
        <v>71</v>
      </c>
      <c r="J939" s="6">
        <v>34300</v>
      </c>
      <c r="K939" t="s">
        <v>3</v>
      </c>
      <c r="L939" t="s">
        <v>2523</v>
      </c>
      <c r="M939" t="s">
        <v>3</v>
      </c>
      <c r="N939" s="25" t="str">
        <f>TEXT(tbl_Ledger[[#This Row],[Date]],"yyyy-mm")</f>
        <v>2025-08</v>
      </c>
      <c r="O939" s="25" t="str">
        <f>TEXT(tbl_Ledger[[#This Row],[Date]],"yyyy-mm") &amp; TRIM(tbl_Ledger[[#This Row],[Currency]])</f>
        <v>2025-08NGN</v>
      </c>
      <c r="P939" s="25">
        <f>_xlfn.XLOOKUP(tbl_Ledger[[#This Row],[Key]], tbl_FX[Key], tbl_FX[Rate_to_NGN])</f>
        <v>1</v>
      </c>
      <c r="Q939" s="37">
        <f>IF(tbl_Ledger[[#This Row],[Account_Type]]="Expense",-ABS(tbl_Ledger[[#This Row],[Amount]]*tbl_Ledger[[#This Row],[Rate_to_NGN]]),tbl_Ledger[[#This Row],[Amount]]*tbl_Ledger[[#This Row],[Rate_to_NGN]])</f>
        <v>34300</v>
      </c>
      <c r="R939" s="25" t="str">
        <f>_xlfn.XLOOKUP(tbl_Ledger[[#This Row],[Account_Code]], tbl_Accounts[Account_Code], tbl_Accounts[Type])</f>
        <v>Revenue</v>
      </c>
      <c r="S939" s="25" t="str">
        <f>_xlfn.XLOOKUP(tbl_Ledger[[#This Row],[Account_Code]], tbl_Accounts[Account_Code], tbl_Accounts[PL_Bucket])</f>
        <v>Revenue</v>
      </c>
      <c r="T939" s="25">
        <f t="shared" si="14"/>
        <v>34300</v>
      </c>
    </row>
    <row r="940" spans="1:20">
      <c r="A940" t="s">
        <v>2524</v>
      </c>
      <c r="B940" s="7">
        <v>45899</v>
      </c>
      <c r="C940" t="s">
        <v>93</v>
      </c>
      <c r="D940" t="s">
        <v>111</v>
      </c>
      <c r="E940" t="s">
        <v>112</v>
      </c>
      <c r="F940" s="12" t="s">
        <v>24</v>
      </c>
      <c r="G940" t="s">
        <v>25</v>
      </c>
      <c r="H940" t="s">
        <v>2525</v>
      </c>
      <c r="I940" t="s">
        <v>71</v>
      </c>
      <c r="J940" s="6">
        <v>67100</v>
      </c>
      <c r="K940" t="s">
        <v>3</v>
      </c>
      <c r="L940" t="s">
        <v>2526</v>
      </c>
      <c r="M940" t="s">
        <v>3</v>
      </c>
      <c r="N940" s="25" t="str">
        <f>TEXT(tbl_Ledger[[#This Row],[Date]],"yyyy-mm")</f>
        <v>2025-08</v>
      </c>
      <c r="O940" s="25" t="str">
        <f>TEXT(tbl_Ledger[[#This Row],[Date]],"yyyy-mm") &amp; TRIM(tbl_Ledger[[#This Row],[Currency]])</f>
        <v>2025-08NGN</v>
      </c>
      <c r="P940" s="25">
        <f>_xlfn.XLOOKUP(tbl_Ledger[[#This Row],[Key]], tbl_FX[Key], tbl_FX[Rate_to_NGN])</f>
        <v>1</v>
      </c>
      <c r="Q940" s="37">
        <f>IF(tbl_Ledger[[#This Row],[Account_Type]]="Expense",-ABS(tbl_Ledger[[#This Row],[Amount]]*tbl_Ledger[[#This Row],[Rate_to_NGN]]),tbl_Ledger[[#This Row],[Amount]]*tbl_Ledger[[#This Row],[Rate_to_NGN]])</f>
        <v>67100</v>
      </c>
      <c r="R940" s="25" t="str">
        <f>_xlfn.XLOOKUP(tbl_Ledger[[#This Row],[Account_Code]], tbl_Accounts[Account_Code], tbl_Accounts[Type])</f>
        <v>Revenue</v>
      </c>
      <c r="S940" s="25" t="str">
        <f>_xlfn.XLOOKUP(tbl_Ledger[[#This Row],[Account_Code]], tbl_Accounts[Account_Code], tbl_Accounts[PL_Bucket])</f>
        <v>Revenue</v>
      </c>
      <c r="T940" s="25">
        <f t="shared" si="14"/>
        <v>67100</v>
      </c>
    </row>
    <row r="941" spans="1:20">
      <c r="A941" t="s">
        <v>2527</v>
      </c>
      <c r="B941" s="7">
        <v>45899</v>
      </c>
      <c r="C941" t="s">
        <v>93</v>
      </c>
      <c r="D941" t="s">
        <v>111</v>
      </c>
      <c r="E941" t="s">
        <v>116</v>
      </c>
      <c r="F941" s="12" t="s">
        <v>24</v>
      </c>
      <c r="G941" t="s">
        <v>25</v>
      </c>
      <c r="H941" t="s">
        <v>2528</v>
      </c>
      <c r="I941" t="s">
        <v>71</v>
      </c>
      <c r="J941" s="6">
        <v>63400</v>
      </c>
      <c r="K941" t="s">
        <v>3</v>
      </c>
      <c r="L941" t="s">
        <v>2526</v>
      </c>
      <c r="M941" t="s">
        <v>3</v>
      </c>
      <c r="N941" s="25" t="str">
        <f>TEXT(tbl_Ledger[[#This Row],[Date]],"yyyy-mm")</f>
        <v>2025-08</v>
      </c>
      <c r="O941" s="25" t="str">
        <f>TEXT(tbl_Ledger[[#This Row],[Date]],"yyyy-mm") &amp; TRIM(tbl_Ledger[[#This Row],[Currency]])</f>
        <v>2025-08NGN</v>
      </c>
      <c r="P941" s="25">
        <f>_xlfn.XLOOKUP(tbl_Ledger[[#This Row],[Key]], tbl_FX[Key], tbl_FX[Rate_to_NGN])</f>
        <v>1</v>
      </c>
      <c r="Q941" s="37">
        <f>IF(tbl_Ledger[[#This Row],[Account_Type]]="Expense",-ABS(tbl_Ledger[[#This Row],[Amount]]*tbl_Ledger[[#This Row],[Rate_to_NGN]]),tbl_Ledger[[#This Row],[Amount]]*tbl_Ledger[[#This Row],[Rate_to_NGN]])</f>
        <v>63400</v>
      </c>
      <c r="R941" s="25" t="str">
        <f>_xlfn.XLOOKUP(tbl_Ledger[[#This Row],[Account_Code]], tbl_Accounts[Account_Code], tbl_Accounts[Type])</f>
        <v>Revenue</v>
      </c>
      <c r="S941" s="25" t="str">
        <f>_xlfn.XLOOKUP(tbl_Ledger[[#This Row],[Account_Code]], tbl_Accounts[Account_Code], tbl_Accounts[PL_Bucket])</f>
        <v>Revenue</v>
      </c>
      <c r="T941" s="25">
        <f t="shared" si="14"/>
        <v>63400</v>
      </c>
    </row>
    <row r="942" spans="1:20">
      <c r="A942" t="s">
        <v>2529</v>
      </c>
      <c r="B942" s="7">
        <v>45899</v>
      </c>
      <c r="C942" t="s">
        <v>93</v>
      </c>
      <c r="D942" t="s">
        <v>111</v>
      </c>
      <c r="E942" t="s">
        <v>119</v>
      </c>
      <c r="F942" s="12" t="s">
        <v>24</v>
      </c>
      <c r="G942" t="s">
        <v>25</v>
      </c>
      <c r="H942" t="s">
        <v>2530</v>
      </c>
      <c r="I942" t="s">
        <v>71</v>
      </c>
      <c r="J942" s="6">
        <v>61200</v>
      </c>
      <c r="K942" t="s">
        <v>3</v>
      </c>
      <c r="L942" t="s">
        <v>2526</v>
      </c>
      <c r="M942" t="s">
        <v>3</v>
      </c>
      <c r="N942" s="25" t="str">
        <f>TEXT(tbl_Ledger[[#This Row],[Date]],"yyyy-mm")</f>
        <v>2025-08</v>
      </c>
      <c r="O942" s="25" t="str">
        <f>TEXT(tbl_Ledger[[#This Row],[Date]],"yyyy-mm") &amp; TRIM(tbl_Ledger[[#This Row],[Currency]])</f>
        <v>2025-08NGN</v>
      </c>
      <c r="P942" s="25">
        <f>_xlfn.XLOOKUP(tbl_Ledger[[#This Row],[Key]], tbl_FX[Key], tbl_FX[Rate_to_NGN])</f>
        <v>1</v>
      </c>
      <c r="Q942" s="37">
        <f>IF(tbl_Ledger[[#This Row],[Account_Type]]="Expense",-ABS(tbl_Ledger[[#This Row],[Amount]]*tbl_Ledger[[#This Row],[Rate_to_NGN]]),tbl_Ledger[[#This Row],[Amount]]*tbl_Ledger[[#This Row],[Rate_to_NGN]])</f>
        <v>61200</v>
      </c>
      <c r="R942" s="25" t="str">
        <f>_xlfn.XLOOKUP(tbl_Ledger[[#This Row],[Account_Code]], tbl_Accounts[Account_Code], tbl_Accounts[Type])</f>
        <v>Revenue</v>
      </c>
      <c r="S942" s="25" t="str">
        <f>_xlfn.XLOOKUP(tbl_Ledger[[#This Row],[Account_Code]], tbl_Accounts[Account_Code], tbl_Accounts[PL_Bucket])</f>
        <v>Revenue</v>
      </c>
      <c r="T942" s="25">
        <f t="shared" si="14"/>
        <v>61200</v>
      </c>
    </row>
    <row r="943" spans="1:20">
      <c r="A943" t="s">
        <v>2531</v>
      </c>
      <c r="B943" s="7">
        <v>45899</v>
      </c>
      <c r="C943" t="s">
        <v>93</v>
      </c>
      <c r="D943" t="s">
        <v>111</v>
      </c>
      <c r="E943" t="s">
        <v>122</v>
      </c>
      <c r="F943" s="12" t="s">
        <v>24</v>
      </c>
      <c r="G943" t="s">
        <v>25</v>
      </c>
      <c r="H943" t="s">
        <v>2532</v>
      </c>
      <c r="I943" t="s">
        <v>71</v>
      </c>
      <c r="J943" s="6">
        <v>67300</v>
      </c>
      <c r="K943" t="s">
        <v>3</v>
      </c>
      <c r="L943" t="s">
        <v>2533</v>
      </c>
      <c r="M943" t="s">
        <v>3</v>
      </c>
      <c r="N943" s="25" t="str">
        <f>TEXT(tbl_Ledger[[#This Row],[Date]],"yyyy-mm")</f>
        <v>2025-08</v>
      </c>
      <c r="O943" s="25" t="str">
        <f>TEXT(tbl_Ledger[[#This Row],[Date]],"yyyy-mm") &amp; TRIM(tbl_Ledger[[#This Row],[Currency]])</f>
        <v>2025-08NGN</v>
      </c>
      <c r="P943" s="25">
        <f>_xlfn.XLOOKUP(tbl_Ledger[[#This Row],[Key]], tbl_FX[Key], tbl_FX[Rate_to_NGN])</f>
        <v>1</v>
      </c>
      <c r="Q943" s="37">
        <f>IF(tbl_Ledger[[#This Row],[Account_Type]]="Expense",-ABS(tbl_Ledger[[#This Row],[Amount]]*tbl_Ledger[[#This Row],[Rate_to_NGN]]),tbl_Ledger[[#This Row],[Amount]]*tbl_Ledger[[#This Row],[Rate_to_NGN]])</f>
        <v>67300</v>
      </c>
      <c r="R943" s="25" t="str">
        <f>_xlfn.XLOOKUP(tbl_Ledger[[#This Row],[Account_Code]], tbl_Accounts[Account_Code], tbl_Accounts[Type])</f>
        <v>Revenue</v>
      </c>
      <c r="S943" s="25" t="str">
        <f>_xlfn.XLOOKUP(tbl_Ledger[[#This Row],[Account_Code]], tbl_Accounts[Account_Code], tbl_Accounts[PL_Bucket])</f>
        <v>Revenue</v>
      </c>
      <c r="T943" s="25">
        <f t="shared" si="14"/>
        <v>67300</v>
      </c>
    </row>
    <row r="944" spans="1:20">
      <c r="A944" t="s">
        <v>2534</v>
      </c>
      <c r="B944" s="7">
        <v>45899</v>
      </c>
      <c r="C944" t="s">
        <v>126</v>
      </c>
      <c r="D944" t="s">
        <v>88</v>
      </c>
      <c r="E944" t="s">
        <v>127</v>
      </c>
      <c r="F944" s="12" t="s">
        <v>29</v>
      </c>
      <c r="G944" t="s">
        <v>30</v>
      </c>
      <c r="H944" t="s">
        <v>2535</v>
      </c>
      <c r="I944" t="s">
        <v>71</v>
      </c>
      <c r="J944" s="6">
        <v>45800</v>
      </c>
      <c r="K944" t="s">
        <v>129</v>
      </c>
      <c r="L944" t="s">
        <v>2536</v>
      </c>
      <c r="M944" t="s">
        <v>3</v>
      </c>
      <c r="N944" s="25" t="str">
        <f>TEXT(tbl_Ledger[[#This Row],[Date]],"yyyy-mm")</f>
        <v>2025-08</v>
      </c>
      <c r="O944" s="25" t="str">
        <f>TEXT(tbl_Ledger[[#This Row],[Date]],"yyyy-mm") &amp; TRIM(tbl_Ledger[[#This Row],[Currency]])</f>
        <v>2025-08NGN</v>
      </c>
      <c r="P944" s="25">
        <f>_xlfn.XLOOKUP(tbl_Ledger[[#This Row],[Key]], tbl_FX[Key], tbl_FX[Rate_to_NGN])</f>
        <v>1</v>
      </c>
      <c r="Q944" s="37">
        <f>IF(tbl_Ledger[[#This Row],[Account_Type]]="Expense",-ABS(tbl_Ledger[[#This Row],[Amount]]*tbl_Ledger[[#This Row],[Rate_to_NGN]]),tbl_Ledger[[#This Row],[Amount]]*tbl_Ledger[[#This Row],[Rate_to_NGN]])</f>
        <v>45800</v>
      </c>
      <c r="R944" s="25" t="str">
        <f>_xlfn.XLOOKUP(tbl_Ledger[[#This Row],[Account_Code]], tbl_Accounts[Account_Code], tbl_Accounts[Type])</f>
        <v>Revenue</v>
      </c>
      <c r="S944" s="25" t="str">
        <f>_xlfn.XLOOKUP(tbl_Ledger[[#This Row],[Account_Code]], tbl_Accounts[Account_Code], tbl_Accounts[PL_Bucket])</f>
        <v>Revenue</v>
      </c>
      <c r="T944" s="25">
        <f t="shared" si="14"/>
        <v>45800</v>
      </c>
    </row>
    <row r="945" spans="1:20">
      <c r="A945" t="s">
        <v>2537</v>
      </c>
      <c r="B945" s="7">
        <v>45899</v>
      </c>
      <c r="C945" t="s">
        <v>126</v>
      </c>
      <c r="D945" t="s">
        <v>88</v>
      </c>
      <c r="E945" t="s">
        <v>132</v>
      </c>
      <c r="F945" s="12" t="s">
        <v>29</v>
      </c>
      <c r="G945" t="s">
        <v>30</v>
      </c>
      <c r="H945" t="s">
        <v>2538</v>
      </c>
      <c r="I945" t="s">
        <v>71</v>
      </c>
      <c r="J945" s="6">
        <v>52700</v>
      </c>
      <c r="K945" t="s">
        <v>134</v>
      </c>
      <c r="L945" t="s">
        <v>2536</v>
      </c>
      <c r="M945" t="s">
        <v>3</v>
      </c>
      <c r="N945" s="25" t="str">
        <f>TEXT(tbl_Ledger[[#This Row],[Date]],"yyyy-mm")</f>
        <v>2025-08</v>
      </c>
      <c r="O945" s="25" t="str">
        <f>TEXT(tbl_Ledger[[#This Row],[Date]],"yyyy-mm") &amp; TRIM(tbl_Ledger[[#This Row],[Currency]])</f>
        <v>2025-08NGN</v>
      </c>
      <c r="P945" s="25">
        <f>_xlfn.XLOOKUP(tbl_Ledger[[#This Row],[Key]], tbl_FX[Key], tbl_FX[Rate_to_NGN])</f>
        <v>1</v>
      </c>
      <c r="Q945" s="37">
        <f>IF(tbl_Ledger[[#This Row],[Account_Type]]="Expense",-ABS(tbl_Ledger[[#This Row],[Amount]]*tbl_Ledger[[#This Row],[Rate_to_NGN]]),tbl_Ledger[[#This Row],[Amount]]*tbl_Ledger[[#This Row],[Rate_to_NGN]])</f>
        <v>52700</v>
      </c>
      <c r="R945" s="25" t="str">
        <f>_xlfn.XLOOKUP(tbl_Ledger[[#This Row],[Account_Code]], tbl_Accounts[Account_Code], tbl_Accounts[Type])</f>
        <v>Revenue</v>
      </c>
      <c r="S945" s="25" t="str">
        <f>_xlfn.XLOOKUP(tbl_Ledger[[#This Row],[Account_Code]], tbl_Accounts[Account_Code], tbl_Accounts[PL_Bucket])</f>
        <v>Revenue</v>
      </c>
      <c r="T945" s="25">
        <f t="shared" si="14"/>
        <v>52700</v>
      </c>
    </row>
    <row r="946" spans="1:20">
      <c r="A946" t="s">
        <v>2539</v>
      </c>
      <c r="B946" s="7">
        <v>45899</v>
      </c>
      <c r="C946" t="s">
        <v>126</v>
      </c>
      <c r="D946" t="s">
        <v>88</v>
      </c>
      <c r="E946" t="s">
        <v>136</v>
      </c>
      <c r="F946" s="12" t="s">
        <v>29</v>
      </c>
      <c r="G946" t="s">
        <v>30</v>
      </c>
      <c r="H946" t="s">
        <v>2540</v>
      </c>
      <c r="I946" t="s">
        <v>72</v>
      </c>
      <c r="J946" s="6">
        <v>33.14</v>
      </c>
      <c r="K946" t="s">
        <v>138</v>
      </c>
      <c r="L946" t="s">
        <v>2536</v>
      </c>
      <c r="M946" t="s">
        <v>3</v>
      </c>
      <c r="N946" s="25" t="str">
        <f>TEXT(tbl_Ledger[[#This Row],[Date]],"yyyy-mm")</f>
        <v>2025-08</v>
      </c>
      <c r="O946" s="25" t="str">
        <f>TEXT(tbl_Ledger[[#This Row],[Date]],"yyyy-mm") &amp; TRIM(tbl_Ledger[[#This Row],[Currency]])</f>
        <v>2025-08USD</v>
      </c>
      <c r="P946" s="25">
        <f>_xlfn.XLOOKUP(tbl_Ledger[[#This Row],[Key]], tbl_FX[Key], tbl_FX[Rate_to_NGN])</f>
        <v>1572</v>
      </c>
      <c r="Q946" s="37">
        <f>IF(tbl_Ledger[[#This Row],[Account_Type]]="Expense",-ABS(tbl_Ledger[[#This Row],[Amount]]*tbl_Ledger[[#This Row],[Rate_to_NGN]]),tbl_Ledger[[#This Row],[Amount]]*tbl_Ledger[[#This Row],[Rate_to_NGN]])</f>
        <v>52096.08</v>
      </c>
      <c r="R946" s="25" t="str">
        <f>_xlfn.XLOOKUP(tbl_Ledger[[#This Row],[Account_Code]], tbl_Accounts[Account_Code], tbl_Accounts[Type])</f>
        <v>Revenue</v>
      </c>
      <c r="S946" s="25" t="str">
        <f>_xlfn.XLOOKUP(tbl_Ledger[[#This Row],[Account_Code]], tbl_Accounts[Account_Code], tbl_Accounts[PL_Bucket])</f>
        <v>Revenue</v>
      </c>
      <c r="T946" s="25">
        <f t="shared" si="14"/>
        <v>52096.08</v>
      </c>
    </row>
    <row r="947" spans="1:20">
      <c r="A947" t="s">
        <v>2541</v>
      </c>
      <c r="B947" s="7">
        <v>45899</v>
      </c>
      <c r="C947" t="s">
        <v>126</v>
      </c>
      <c r="D947" t="s">
        <v>88</v>
      </c>
      <c r="E947" t="s">
        <v>140</v>
      </c>
      <c r="F947" s="12" t="s">
        <v>29</v>
      </c>
      <c r="G947" t="s">
        <v>30</v>
      </c>
      <c r="H947" t="s">
        <v>2542</v>
      </c>
      <c r="I947" t="s">
        <v>71</v>
      </c>
      <c r="J947" s="6">
        <v>45400</v>
      </c>
      <c r="K947" t="s">
        <v>3</v>
      </c>
      <c r="L947" t="s">
        <v>2543</v>
      </c>
      <c r="M947" t="s">
        <v>3</v>
      </c>
      <c r="N947" s="25" t="str">
        <f>TEXT(tbl_Ledger[[#This Row],[Date]],"yyyy-mm")</f>
        <v>2025-08</v>
      </c>
      <c r="O947" s="25" t="str">
        <f>TEXT(tbl_Ledger[[#This Row],[Date]],"yyyy-mm") &amp; TRIM(tbl_Ledger[[#This Row],[Currency]])</f>
        <v>2025-08NGN</v>
      </c>
      <c r="P947" s="25">
        <f>_xlfn.XLOOKUP(tbl_Ledger[[#This Row],[Key]], tbl_FX[Key], tbl_FX[Rate_to_NGN])</f>
        <v>1</v>
      </c>
      <c r="Q947" s="37">
        <f>IF(tbl_Ledger[[#This Row],[Account_Type]]="Expense",-ABS(tbl_Ledger[[#This Row],[Amount]]*tbl_Ledger[[#This Row],[Rate_to_NGN]]),tbl_Ledger[[#This Row],[Amount]]*tbl_Ledger[[#This Row],[Rate_to_NGN]])</f>
        <v>45400</v>
      </c>
      <c r="R947" s="25" t="str">
        <f>_xlfn.XLOOKUP(tbl_Ledger[[#This Row],[Account_Code]], tbl_Accounts[Account_Code], tbl_Accounts[Type])</f>
        <v>Revenue</v>
      </c>
      <c r="S947" s="25" t="str">
        <f>_xlfn.XLOOKUP(tbl_Ledger[[#This Row],[Account_Code]], tbl_Accounts[Account_Code], tbl_Accounts[PL_Bucket])</f>
        <v>Revenue</v>
      </c>
      <c r="T947" s="25">
        <f t="shared" si="14"/>
        <v>45400</v>
      </c>
    </row>
    <row r="948" spans="1:20">
      <c r="A948" t="s">
        <v>2544</v>
      </c>
      <c r="B948" s="7">
        <v>45899</v>
      </c>
      <c r="C948" t="s">
        <v>87</v>
      </c>
      <c r="D948" t="s">
        <v>94</v>
      </c>
      <c r="E948" t="s">
        <v>3</v>
      </c>
      <c r="F948" s="12" t="s">
        <v>33</v>
      </c>
      <c r="G948" t="s">
        <v>34</v>
      </c>
      <c r="H948" t="s">
        <v>1630</v>
      </c>
      <c r="I948" t="s">
        <v>71</v>
      </c>
      <c r="J948" s="6">
        <v>-582000</v>
      </c>
      <c r="K948" t="s">
        <v>316</v>
      </c>
      <c r="L948" t="s">
        <v>2545</v>
      </c>
      <c r="M948" t="s">
        <v>3</v>
      </c>
      <c r="N948" s="25" t="str">
        <f>TEXT(tbl_Ledger[[#This Row],[Date]],"yyyy-mm")</f>
        <v>2025-08</v>
      </c>
      <c r="O948" s="25" t="str">
        <f>TEXT(tbl_Ledger[[#This Row],[Date]],"yyyy-mm") &amp; TRIM(tbl_Ledger[[#This Row],[Currency]])</f>
        <v>2025-08NGN</v>
      </c>
      <c r="P948" s="25">
        <f>_xlfn.XLOOKUP(tbl_Ledger[[#This Row],[Key]], tbl_FX[Key], tbl_FX[Rate_to_NGN])</f>
        <v>1</v>
      </c>
      <c r="Q948" s="37">
        <f>IF(tbl_Ledger[[#This Row],[Account_Type]]="Expense",-ABS(tbl_Ledger[[#This Row],[Amount]]*tbl_Ledger[[#This Row],[Rate_to_NGN]]),tbl_Ledger[[#This Row],[Amount]]*tbl_Ledger[[#This Row],[Rate_to_NGN]])</f>
        <v>-582000</v>
      </c>
      <c r="R948" s="25" t="str">
        <f>_xlfn.XLOOKUP(tbl_Ledger[[#This Row],[Account_Code]], tbl_Accounts[Account_Code], tbl_Accounts[Type])</f>
        <v>COGS</v>
      </c>
      <c r="S948" s="25" t="str">
        <f>_xlfn.XLOOKUP(tbl_Ledger[[#This Row],[Account_Code]], tbl_Accounts[Account_Code], tbl_Accounts[PL_Bucket])</f>
        <v>COGS</v>
      </c>
      <c r="T948" s="25">
        <f t="shared" si="14"/>
        <v>-582000</v>
      </c>
    </row>
    <row r="949" spans="1:20">
      <c r="A949" t="s">
        <v>2546</v>
      </c>
      <c r="B949" s="7">
        <v>45899</v>
      </c>
      <c r="C949" t="s">
        <v>87</v>
      </c>
      <c r="D949" t="s">
        <v>88</v>
      </c>
      <c r="E949" t="s">
        <v>3</v>
      </c>
      <c r="F949" s="12" t="s">
        <v>40</v>
      </c>
      <c r="G949" t="s">
        <v>41</v>
      </c>
      <c r="H949" t="s">
        <v>1428</v>
      </c>
      <c r="I949" t="s">
        <v>71</v>
      </c>
      <c r="J949" s="6">
        <v>-679000</v>
      </c>
      <c r="K949" t="s">
        <v>90</v>
      </c>
      <c r="L949" t="s">
        <v>2547</v>
      </c>
      <c r="M949" t="s">
        <v>3</v>
      </c>
      <c r="N949" s="25" t="str">
        <f>TEXT(tbl_Ledger[[#This Row],[Date]],"yyyy-mm")</f>
        <v>2025-08</v>
      </c>
      <c r="O949" s="25" t="str">
        <f>TEXT(tbl_Ledger[[#This Row],[Date]],"yyyy-mm") &amp; TRIM(tbl_Ledger[[#This Row],[Currency]])</f>
        <v>2025-08NGN</v>
      </c>
      <c r="P949" s="25">
        <f>_xlfn.XLOOKUP(tbl_Ledger[[#This Row],[Key]], tbl_FX[Key], tbl_FX[Rate_to_NGN])</f>
        <v>1</v>
      </c>
      <c r="Q949" s="37">
        <f>IF(tbl_Ledger[[#This Row],[Account_Type]]="Expense",-ABS(tbl_Ledger[[#This Row],[Amount]]*tbl_Ledger[[#This Row],[Rate_to_NGN]]),tbl_Ledger[[#This Row],[Amount]]*tbl_Ledger[[#This Row],[Rate_to_NGN]])</f>
        <v>-679000</v>
      </c>
      <c r="R949" s="25" t="str">
        <f>_xlfn.XLOOKUP(tbl_Ledger[[#This Row],[Account_Code]], tbl_Accounts[Account_Code], tbl_Accounts[Type])</f>
        <v>COGS</v>
      </c>
      <c r="S949" s="25" t="str">
        <f>_xlfn.XLOOKUP(tbl_Ledger[[#This Row],[Account_Code]], tbl_Accounts[Account_Code], tbl_Accounts[PL_Bucket])</f>
        <v>COGS</v>
      </c>
      <c r="T949" s="25">
        <f t="shared" si="14"/>
        <v>-679000</v>
      </c>
    </row>
    <row r="950" spans="1:20">
      <c r="A950" t="s">
        <v>2548</v>
      </c>
      <c r="B950" s="7">
        <v>45900</v>
      </c>
      <c r="C950" t="s">
        <v>93</v>
      </c>
      <c r="D950" t="s">
        <v>94</v>
      </c>
      <c r="E950" t="s">
        <v>95</v>
      </c>
      <c r="F950" s="12" t="s">
        <v>24</v>
      </c>
      <c r="G950" t="s">
        <v>25</v>
      </c>
      <c r="H950" t="s">
        <v>2549</v>
      </c>
      <c r="I950" t="s">
        <v>71</v>
      </c>
      <c r="J950" s="6">
        <v>34500</v>
      </c>
      <c r="K950" t="s">
        <v>3</v>
      </c>
      <c r="L950" t="s">
        <v>2550</v>
      </c>
      <c r="M950" t="s">
        <v>3</v>
      </c>
      <c r="N950" s="25" t="str">
        <f>TEXT(tbl_Ledger[[#This Row],[Date]],"yyyy-mm")</f>
        <v>2025-08</v>
      </c>
      <c r="O950" s="25" t="str">
        <f>TEXT(tbl_Ledger[[#This Row],[Date]],"yyyy-mm") &amp; TRIM(tbl_Ledger[[#This Row],[Currency]])</f>
        <v>2025-08NGN</v>
      </c>
      <c r="P950" s="25">
        <f>_xlfn.XLOOKUP(tbl_Ledger[[#This Row],[Key]], tbl_FX[Key], tbl_FX[Rate_to_NGN])</f>
        <v>1</v>
      </c>
      <c r="Q950" s="37">
        <f>IF(tbl_Ledger[[#This Row],[Account_Type]]="Expense",-ABS(tbl_Ledger[[#This Row],[Amount]]*tbl_Ledger[[#This Row],[Rate_to_NGN]]),tbl_Ledger[[#This Row],[Amount]]*tbl_Ledger[[#This Row],[Rate_to_NGN]])</f>
        <v>34500</v>
      </c>
      <c r="R950" s="25" t="str">
        <f>_xlfn.XLOOKUP(tbl_Ledger[[#This Row],[Account_Code]], tbl_Accounts[Account_Code], tbl_Accounts[Type])</f>
        <v>Revenue</v>
      </c>
      <c r="S950" s="25" t="str">
        <f>_xlfn.XLOOKUP(tbl_Ledger[[#This Row],[Account_Code]], tbl_Accounts[Account_Code], tbl_Accounts[PL_Bucket])</f>
        <v>Revenue</v>
      </c>
      <c r="T950" s="25">
        <f t="shared" si="14"/>
        <v>34500</v>
      </c>
    </row>
    <row r="951" spans="1:20">
      <c r="A951" t="s">
        <v>2551</v>
      </c>
      <c r="B951" s="7">
        <v>45900</v>
      </c>
      <c r="C951" t="s">
        <v>93</v>
      </c>
      <c r="D951" t="s">
        <v>94</v>
      </c>
      <c r="E951" t="s">
        <v>99</v>
      </c>
      <c r="F951" s="12" t="s">
        <v>24</v>
      </c>
      <c r="G951" t="s">
        <v>25</v>
      </c>
      <c r="H951" t="s">
        <v>2552</v>
      </c>
      <c r="I951" t="s">
        <v>71</v>
      </c>
      <c r="J951" s="6">
        <v>36700</v>
      </c>
      <c r="K951" t="s">
        <v>3</v>
      </c>
      <c r="L951" t="s">
        <v>2553</v>
      </c>
      <c r="M951" t="s">
        <v>3</v>
      </c>
      <c r="N951" s="25" t="str">
        <f>TEXT(tbl_Ledger[[#This Row],[Date]],"yyyy-mm")</f>
        <v>2025-08</v>
      </c>
      <c r="O951" s="25" t="str">
        <f>TEXT(tbl_Ledger[[#This Row],[Date]],"yyyy-mm") &amp; TRIM(tbl_Ledger[[#This Row],[Currency]])</f>
        <v>2025-08NGN</v>
      </c>
      <c r="P951" s="25">
        <f>_xlfn.XLOOKUP(tbl_Ledger[[#This Row],[Key]], tbl_FX[Key], tbl_FX[Rate_to_NGN])</f>
        <v>1</v>
      </c>
      <c r="Q951" s="37">
        <f>IF(tbl_Ledger[[#This Row],[Account_Type]]="Expense",-ABS(tbl_Ledger[[#This Row],[Amount]]*tbl_Ledger[[#This Row],[Rate_to_NGN]]),tbl_Ledger[[#This Row],[Amount]]*tbl_Ledger[[#This Row],[Rate_to_NGN]])</f>
        <v>36700</v>
      </c>
      <c r="R951" s="25" t="str">
        <f>_xlfn.XLOOKUP(tbl_Ledger[[#This Row],[Account_Code]], tbl_Accounts[Account_Code], tbl_Accounts[Type])</f>
        <v>Revenue</v>
      </c>
      <c r="S951" s="25" t="str">
        <f>_xlfn.XLOOKUP(tbl_Ledger[[#This Row],[Account_Code]], tbl_Accounts[Account_Code], tbl_Accounts[PL_Bucket])</f>
        <v>Revenue</v>
      </c>
      <c r="T951" s="25">
        <f t="shared" si="14"/>
        <v>36700</v>
      </c>
    </row>
    <row r="952" spans="1:20">
      <c r="A952" t="s">
        <v>2554</v>
      </c>
      <c r="B952" s="7">
        <v>45900</v>
      </c>
      <c r="C952" t="s">
        <v>93</v>
      </c>
      <c r="D952" t="s">
        <v>94</v>
      </c>
      <c r="E952" t="s">
        <v>103</v>
      </c>
      <c r="F952" s="12" t="s">
        <v>24</v>
      </c>
      <c r="G952" t="s">
        <v>25</v>
      </c>
      <c r="H952" t="s">
        <v>2555</v>
      </c>
      <c r="I952" t="s">
        <v>71</v>
      </c>
      <c r="J952" s="6">
        <v>38300</v>
      </c>
      <c r="K952" t="s">
        <v>3</v>
      </c>
      <c r="L952" t="s">
        <v>2556</v>
      </c>
      <c r="M952" t="s">
        <v>3</v>
      </c>
      <c r="N952" s="25" t="str">
        <f>TEXT(tbl_Ledger[[#This Row],[Date]],"yyyy-mm")</f>
        <v>2025-08</v>
      </c>
      <c r="O952" s="25" t="str">
        <f>TEXT(tbl_Ledger[[#This Row],[Date]],"yyyy-mm") &amp; TRIM(tbl_Ledger[[#This Row],[Currency]])</f>
        <v>2025-08NGN</v>
      </c>
      <c r="P952" s="25">
        <f>_xlfn.XLOOKUP(tbl_Ledger[[#This Row],[Key]], tbl_FX[Key], tbl_FX[Rate_to_NGN])</f>
        <v>1</v>
      </c>
      <c r="Q952" s="37">
        <f>IF(tbl_Ledger[[#This Row],[Account_Type]]="Expense",-ABS(tbl_Ledger[[#This Row],[Amount]]*tbl_Ledger[[#This Row],[Rate_to_NGN]]),tbl_Ledger[[#This Row],[Amount]]*tbl_Ledger[[#This Row],[Rate_to_NGN]])</f>
        <v>38300</v>
      </c>
      <c r="R952" s="25" t="str">
        <f>_xlfn.XLOOKUP(tbl_Ledger[[#This Row],[Account_Code]], tbl_Accounts[Account_Code], tbl_Accounts[Type])</f>
        <v>Revenue</v>
      </c>
      <c r="S952" s="25" t="str">
        <f>_xlfn.XLOOKUP(tbl_Ledger[[#This Row],[Account_Code]], tbl_Accounts[Account_Code], tbl_Accounts[PL_Bucket])</f>
        <v>Revenue</v>
      </c>
      <c r="T952" s="25">
        <f t="shared" si="14"/>
        <v>38300</v>
      </c>
    </row>
    <row r="953" spans="1:20">
      <c r="A953" t="s">
        <v>2557</v>
      </c>
      <c r="B953" s="7">
        <v>45900</v>
      </c>
      <c r="C953" t="s">
        <v>93</v>
      </c>
      <c r="D953" t="s">
        <v>94</v>
      </c>
      <c r="E953" t="s">
        <v>160</v>
      </c>
      <c r="F953" s="12" t="s">
        <v>24</v>
      </c>
      <c r="G953" t="s">
        <v>25</v>
      </c>
      <c r="H953" t="s">
        <v>2558</v>
      </c>
      <c r="I953" t="s">
        <v>71</v>
      </c>
      <c r="J953" s="6">
        <v>38900</v>
      </c>
      <c r="K953" t="s">
        <v>3</v>
      </c>
      <c r="L953" t="s">
        <v>2556</v>
      </c>
      <c r="M953" t="s">
        <v>3</v>
      </c>
      <c r="N953" s="25" t="str">
        <f>TEXT(tbl_Ledger[[#This Row],[Date]],"yyyy-mm")</f>
        <v>2025-08</v>
      </c>
      <c r="O953" s="25" t="str">
        <f>TEXT(tbl_Ledger[[#This Row],[Date]],"yyyy-mm") &amp; TRIM(tbl_Ledger[[#This Row],[Currency]])</f>
        <v>2025-08NGN</v>
      </c>
      <c r="P953" s="25">
        <f>_xlfn.XLOOKUP(tbl_Ledger[[#This Row],[Key]], tbl_FX[Key], tbl_FX[Rate_to_NGN])</f>
        <v>1</v>
      </c>
      <c r="Q953" s="37">
        <f>IF(tbl_Ledger[[#This Row],[Account_Type]]="Expense",-ABS(tbl_Ledger[[#This Row],[Amount]]*tbl_Ledger[[#This Row],[Rate_to_NGN]]),tbl_Ledger[[#This Row],[Amount]]*tbl_Ledger[[#This Row],[Rate_to_NGN]])</f>
        <v>38900</v>
      </c>
      <c r="R953" s="25" t="str">
        <f>_xlfn.XLOOKUP(tbl_Ledger[[#This Row],[Account_Code]], tbl_Accounts[Account_Code], tbl_Accounts[Type])</f>
        <v>Revenue</v>
      </c>
      <c r="S953" s="25" t="str">
        <f>_xlfn.XLOOKUP(tbl_Ledger[[#This Row],[Account_Code]], tbl_Accounts[Account_Code], tbl_Accounts[PL_Bucket])</f>
        <v>Revenue</v>
      </c>
      <c r="T953" s="25">
        <f t="shared" si="14"/>
        <v>38900</v>
      </c>
    </row>
    <row r="954" spans="1:20">
      <c r="A954" t="s">
        <v>2559</v>
      </c>
      <c r="B954" s="7">
        <v>45900</v>
      </c>
      <c r="C954" t="s">
        <v>93</v>
      </c>
      <c r="D954" t="s">
        <v>94</v>
      </c>
      <c r="E954" t="s">
        <v>107</v>
      </c>
      <c r="F954" s="12" t="s">
        <v>24</v>
      </c>
      <c r="G954" t="s">
        <v>25</v>
      </c>
      <c r="H954" t="s">
        <v>2560</v>
      </c>
      <c r="I954" t="s">
        <v>71</v>
      </c>
      <c r="J954" s="6">
        <v>35100</v>
      </c>
      <c r="K954" t="s">
        <v>3</v>
      </c>
      <c r="L954" t="s">
        <v>2561</v>
      </c>
      <c r="M954" t="s">
        <v>3</v>
      </c>
      <c r="N954" s="25" t="str">
        <f>TEXT(tbl_Ledger[[#This Row],[Date]],"yyyy-mm")</f>
        <v>2025-08</v>
      </c>
      <c r="O954" s="25" t="str">
        <f>TEXT(tbl_Ledger[[#This Row],[Date]],"yyyy-mm") &amp; TRIM(tbl_Ledger[[#This Row],[Currency]])</f>
        <v>2025-08NGN</v>
      </c>
      <c r="P954" s="25">
        <f>_xlfn.XLOOKUP(tbl_Ledger[[#This Row],[Key]], tbl_FX[Key], tbl_FX[Rate_to_NGN])</f>
        <v>1</v>
      </c>
      <c r="Q954" s="37">
        <f>IF(tbl_Ledger[[#This Row],[Account_Type]]="Expense",-ABS(tbl_Ledger[[#This Row],[Amount]]*tbl_Ledger[[#This Row],[Rate_to_NGN]]),tbl_Ledger[[#This Row],[Amount]]*tbl_Ledger[[#This Row],[Rate_to_NGN]])</f>
        <v>35100</v>
      </c>
      <c r="R954" s="25" t="str">
        <f>_xlfn.XLOOKUP(tbl_Ledger[[#This Row],[Account_Code]], tbl_Accounts[Account_Code], tbl_Accounts[Type])</f>
        <v>Revenue</v>
      </c>
      <c r="S954" s="25" t="str">
        <f>_xlfn.XLOOKUP(tbl_Ledger[[#This Row],[Account_Code]], tbl_Accounts[Account_Code], tbl_Accounts[PL_Bucket])</f>
        <v>Revenue</v>
      </c>
      <c r="T954" s="25">
        <f t="shared" si="14"/>
        <v>35100</v>
      </c>
    </row>
    <row r="955" spans="1:20">
      <c r="A955" t="s">
        <v>2562</v>
      </c>
      <c r="B955" s="7">
        <v>45900</v>
      </c>
      <c r="C955" t="s">
        <v>93</v>
      </c>
      <c r="D955" t="s">
        <v>111</v>
      </c>
      <c r="E955" t="s">
        <v>116</v>
      </c>
      <c r="F955" s="12" t="s">
        <v>24</v>
      </c>
      <c r="G955" t="s">
        <v>25</v>
      </c>
      <c r="H955" t="s">
        <v>2563</v>
      </c>
      <c r="I955" t="s">
        <v>71</v>
      </c>
      <c r="J955" s="6">
        <v>65700</v>
      </c>
      <c r="K955" t="s">
        <v>3</v>
      </c>
      <c r="L955" t="s">
        <v>2564</v>
      </c>
      <c r="M955" t="s">
        <v>3</v>
      </c>
      <c r="N955" s="25" t="str">
        <f>TEXT(tbl_Ledger[[#This Row],[Date]],"yyyy-mm")</f>
        <v>2025-08</v>
      </c>
      <c r="O955" s="25" t="str">
        <f>TEXT(tbl_Ledger[[#This Row],[Date]],"yyyy-mm") &amp; TRIM(tbl_Ledger[[#This Row],[Currency]])</f>
        <v>2025-08NGN</v>
      </c>
      <c r="P955" s="25">
        <f>_xlfn.XLOOKUP(tbl_Ledger[[#This Row],[Key]], tbl_FX[Key], tbl_FX[Rate_to_NGN])</f>
        <v>1</v>
      </c>
      <c r="Q955" s="37">
        <f>IF(tbl_Ledger[[#This Row],[Account_Type]]="Expense",-ABS(tbl_Ledger[[#This Row],[Amount]]*tbl_Ledger[[#This Row],[Rate_to_NGN]]),tbl_Ledger[[#This Row],[Amount]]*tbl_Ledger[[#This Row],[Rate_to_NGN]])</f>
        <v>65700</v>
      </c>
      <c r="R955" s="25" t="str">
        <f>_xlfn.XLOOKUP(tbl_Ledger[[#This Row],[Account_Code]], tbl_Accounts[Account_Code], tbl_Accounts[Type])</f>
        <v>Revenue</v>
      </c>
      <c r="S955" s="25" t="str">
        <f>_xlfn.XLOOKUP(tbl_Ledger[[#This Row],[Account_Code]], tbl_Accounts[Account_Code], tbl_Accounts[PL_Bucket])</f>
        <v>Revenue</v>
      </c>
      <c r="T955" s="25">
        <f t="shared" si="14"/>
        <v>65700</v>
      </c>
    </row>
    <row r="956" spans="1:20">
      <c r="A956" t="s">
        <v>2565</v>
      </c>
      <c r="B956" s="7">
        <v>45900</v>
      </c>
      <c r="C956" t="s">
        <v>93</v>
      </c>
      <c r="D956" t="s">
        <v>111</v>
      </c>
      <c r="E956" t="s">
        <v>119</v>
      </c>
      <c r="F956" s="12" t="s">
        <v>24</v>
      </c>
      <c r="G956" t="s">
        <v>25</v>
      </c>
      <c r="H956" t="s">
        <v>2566</v>
      </c>
      <c r="I956" t="s">
        <v>71</v>
      </c>
      <c r="J956" s="6">
        <v>66600</v>
      </c>
      <c r="K956" t="s">
        <v>3</v>
      </c>
      <c r="L956" t="s">
        <v>2564</v>
      </c>
      <c r="M956" t="s">
        <v>3</v>
      </c>
      <c r="N956" s="25" t="str">
        <f>TEXT(tbl_Ledger[[#This Row],[Date]],"yyyy-mm")</f>
        <v>2025-08</v>
      </c>
      <c r="O956" s="25" t="str">
        <f>TEXT(tbl_Ledger[[#This Row],[Date]],"yyyy-mm") &amp; TRIM(tbl_Ledger[[#This Row],[Currency]])</f>
        <v>2025-08NGN</v>
      </c>
      <c r="P956" s="25">
        <f>_xlfn.XLOOKUP(tbl_Ledger[[#This Row],[Key]], tbl_FX[Key], tbl_FX[Rate_to_NGN])</f>
        <v>1</v>
      </c>
      <c r="Q956" s="37">
        <f>IF(tbl_Ledger[[#This Row],[Account_Type]]="Expense",-ABS(tbl_Ledger[[#This Row],[Amount]]*tbl_Ledger[[#This Row],[Rate_to_NGN]]),tbl_Ledger[[#This Row],[Amount]]*tbl_Ledger[[#This Row],[Rate_to_NGN]])</f>
        <v>66600</v>
      </c>
      <c r="R956" s="25" t="str">
        <f>_xlfn.XLOOKUP(tbl_Ledger[[#This Row],[Account_Code]], tbl_Accounts[Account_Code], tbl_Accounts[Type])</f>
        <v>Revenue</v>
      </c>
      <c r="S956" s="25" t="str">
        <f>_xlfn.XLOOKUP(tbl_Ledger[[#This Row],[Account_Code]], tbl_Accounts[Account_Code], tbl_Accounts[PL_Bucket])</f>
        <v>Revenue</v>
      </c>
      <c r="T956" s="25">
        <f t="shared" si="14"/>
        <v>66600</v>
      </c>
    </row>
    <row r="957" spans="1:20">
      <c r="A957" t="s">
        <v>2567</v>
      </c>
      <c r="B957" s="7">
        <v>45900</v>
      </c>
      <c r="C957" t="s">
        <v>93</v>
      </c>
      <c r="D957" t="s">
        <v>111</v>
      </c>
      <c r="E957" t="s">
        <v>170</v>
      </c>
      <c r="F957" s="12" t="s">
        <v>24</v>
      </c>
      <c r="G957" t="s">
        <v>25</v>
      </c>
      <c r="H957" t="s">
        <v>2568</v>
      </c>
      <c r="I957" t="s">
        <v>71</v>
      </c>
      <c r="J957" s="6">
        <v>63200</v>
      </c>
      <c r="K957" t="s">
        <v>3</v>
      </c>
      <c r="L957" t="s">
        <v>2564</v>
      </c>
      <c r="M957" t="s">
        <v>3</v>
      </c>
      <c r="N957" s="25" t="str">
        <f>TEXT(tbl_Ledger[[#This Row],[Date]],"yyyy-mm")</f>
        <v>2025-08</v>
      </c>
      <c r="O957" s="25" t="str">
        <f>TEXT(tbl_Ledger[[#This Row],[Date]],"yyyy-mm") &amp; TRIM(tbl_Ledger[[#This Row],[Currency]])</f>
        <v>2025-08NGN</v>
      </c>
      <c r="P957" s="25">
        <f>_xlfn.XLOOKUP(tbl_Ledger[[#This Row],[Key]], tbl_FX[Key], tbl_FX[Rate_to_NGN])</f>
        <v>1</v>
      </c>
      <c r="Q957" s="37">
        <f>IF(tbl_Ledger[[#This Row],[Account_Type]]="Expense",-ABS(tbl_Ledger[[#This Row],[Amount]]*tbl_Ledger[[#This Row],[Rate_to_NGN]]),tbl_Ledger[[#This Row],[Amount]]*tbl_Ledger[[#This Row],[Rate_to_NGN]])</f>
        <v>63200</v>
      </c>
      <c r="R957" s="25" t="str">
        <f>_xlfn.XLOOKUP(tbl_Ledger[[#This Row],[Account_Code]], tbl_Accounts[Account_Code], tbl_Accounts[Type])</f>
        <v>Revenue</v>
      </c>
      <c r="S957" s="25" t="str">
        <f>_xlfn.XLOOKUP(tbl_Ledger[[#This Row],[Account_Code]], tbl_Accounts[Account_Code], tbl_Accounts[PL_Bucket])</f>
        <v>Revenue</v>
      </c>
      <c r="T957" s="25">
        <f t="shared" si="14"/>
        <v>63200</v>
      </c>
    </row>
    <row r="958" spans="1:20">
      <c r="A958" t="s">
        <v>2569</v>
      </c>
      <c r="B958" s="7">
        <v>45900</v>
      </c>
      <c r="C958" t="s">
        <v>93</v>
      </c>
      <c r="D958" t="s">
        <v>111</v>
      </c>
      <c r="E958" t="s">
        <v>122</v>
      </c>
      <c r="F958" s="12" t="s">
        <v>24</v>
      </c>
      <c r="G958" t="s">
        <v>25</v>
      </c>
      <c r="H958" t="s">
        <v>2570</v>
      </c>
      <c r="I958" t="s">
        <v>71</v>
      </c>
      <c r="J958" s="6">
        <v>64500</v>
      </c>
      <c r="K958" t="s">
        <v>3</v>
      </c>
      <c r="L958" t="s">
        <v>2571</v>
      </c>
      <c r="M958" t="s">
        <v>3</v>
      </c>
      <c r="N958" s="25" t="str">
        <f>TEXT(tbl_Ledger[[#This Row],[Date]],"yyyy-mm")</f>
        <v>2025-08</v>
      </c>
      <c r="O958" s="25" t="str">
        <f>TEXT(tbl_Ledger[[#This Row],[Date]],"yyyy-mm") &amp; TRIM(tbl_Ledger[[#This Row],[Currency]])</f>
        <v>2025-08NGN</v>
      </c>
      <c r="P958" s="25">
        <f>_xlfn.XLOOKUP(tbl_Ledger[[#This Row],[Key]], tbl_FX[Key], tbl_FX[Rate_to_NGN])</f>
        <v>1</v>
      </c>
      <c r="Q958" s="37">
        <f>IF(tbl_Ledger[[#This Row],[Account_Type]]="Expense",-ABS(tbl_Ledger[[#This Row],[Amount]]*tbl_Ledger[[#This Row],[Rate_to_NGN]]),tbl_Ledger[[#This Row],[Amount]]*tbl_Ledger[[#This Row],[Rate_to_NGN]])</f>
        <v>64500</v>
      </c>
      <c r="R958" s="25" t="str">
        <f>_xlfn.XLOOKUP(tbl_Ledger[[#This Row],[Account_Code]], tbl_Accounts[Account_Code], tbl_Accounts[Type])</f>
        <v>Revenue</v>
      </c>
      <c r="S958" s="25" t="str">
        <f>_xlfn.XLOOKUP(tbl_Ledger[[#This Row],[Account_Code]], tbl_Accounts[Account_Code], tbl_Accounts[PL_Bucket])</f>
        <v>Revenue</v>
      </c>
      <c r="T958" s="25">
        <f t="shared" si="14"/>
        <v>64500</v>
      </c>
    </row>
    <row r="959" spans="1:20">
      <c r="A959" t="s">
        <v>2572</v>
      </c>
      <c r="B959" s="7">
        <v>45900</v>
      </c>
      <c r="C959" t="s">
        <v>126</v>
      </c>
      <c r="D959" t="s">
        <v>88</v>
      </c>
      <c r="E959" t="s">
        <v>127</v>
      </c>
      <c r="F959" s="12" t="s">
        <v>29</v>
      </c>
      <c r="G959" t="s">
        <v>30</v>
      </c>
      <c r="H959" t="s">
        <v>2573</v>
      </c>
      <c r="I959" t="s">
        <v>72</v>
      </c>
      <c r="J959" s="6">
        <v>31.74</v>
      </c>
      <c r="K959" t="s">
        <v>129</v>
      </c>
      <c r="L959" t="s">
        <v>2574</v>
      </c>
      <c r="M959" t="s">
        <v>3</v>
      </c>
      <c r="N959" s="25" t="str">
        <f>TEXT(tbl_Ledger[[#This Row],[Date]],"yyyy-mm")</f>
        <v>2025-08</v>
      </c>
      <c r="O959" s="25" t="str">
        <f>TEXT(tbl_Ledger[[#This Row],[Date]],"yyyy-mm") &amp; TRIM(tbl_Ledger[[#This Row],[Currency]])</f>
        <v>2025-08USD</v>
      </c>
      <c r="P959" s="25">
        <f>_xlfn.XLOOKUP(tbl_Ledger[[#This Row],[Key]], tbl_FX[Key], tbl_FX[Rate_to_NGN])</f>
        <v>1572</v>
      </c>
      <c r="Q959" s="37">
        <f>IF(tbl_Ledger[[#This Row],[Account_Type]]="Expense",-ABS(tbl_Ledger[[#This Row],[Amount]]*tbl_Ledger[[#This Row],[Rate_to_NGN]]),tbl_Ledger[[#This Row],[Amount]]*tbl_Ledger[[#This Row],[Rate_to_NGN]])</f>
        <v>49895.28</v>
      </c>
      <c r="R959" s="25" t="str">
        <f>_xlfn.XLOOKUP(tbl_Ledger[[#This Row],[Account_Code]], tbl_Accounts[Account_Code], tbl_Accounts[Type])</f>
        <v>Revenue</v>
      </c>
      <c r="S959" s="25" t="str">
        <f>_xlfn.XLOOKUP(tbl_Ledger[[#This Row],[Account_Code]], tbl_Accounts[Account_Code], tbl_Accounts[PL_Bucket])</f>
        <v>Revenue</v>
      </c>
      <c r="T959" s="25">
        <f t="shared" si="14"/>
        <v>49895.28</v>
      </c>
    </row>
    <row r="960" spans="1:20">
      <c r="A960" t="s">
        <v>2575</v>
      </c>
      <c r="B960" s="7">
        <v>45900</v>
      </c>
      <c r="C960" t="s">
        <v>126</v>
      </c>
      <c r="D960" t="s">
        <v>88</v>
      </c>
      <c r="E960" t="s">
        <v>132</v>
      </c>
      <c r="F960" s="12" t="s">
        <v>29</v>
      </c>
      <c r="G960" t="s">
        <v>30</v>
      </c>
      <c r="H960" t="s">
        <v>2576</v>
      </c>
      <c r="I960" t="s">
        <v>72</v>
      </c>
      <c r="J960" s="6">
        <v>33.21</v>
      </c>
      <c r="K960" t="s">
        <v>134</v>
      </c>
      <c r="L960" t="s">
        <v>2574</v>
      </c>
      <c r="M960" t="s">
        <v>3</v>
      </c>
      <c r="N960" s="25" t="str">
        <f>TEXT(tbl_Ledger[[#This Row],[Date]],"yyyy-mm")</f>
        <v>2025-08</v>
      </c>
      <c r="O960" s="25" t="str">
        <f>TEXT(tbl_Ledger[[#This Row],[Date]],"yyyy-mm") &amp; TRIM(tbl_Ledger[[#This Row],[Currency]])</f>
        <v>2025-08USD</v>
      </c>
      <c r="P960" s="25">
        <f>_xlfn.XLOOKUP(tbl_Ledger[[#This Row],[Key]], tbl_FX[Key], tbl_FX[Rate_to_NGN])</f>
        <v>1572</v>
      </c>
      <c r="Q960" s="37">
        <f>IF(tbl_Ledger[[#This Row],[Account_Type]]="Expense",-ABS(tbl_Ledger[[#This Row],[Amount]]*tbl_Ledger[[#This Row],[Rate_to_NGN]]),tbl_Ledger[[#This Row],[Amount]]*tbl_Ledger[[#This Row],[Rate_to_NGN]])</f>
        <v>52206.12</v>
      </c>
      <c r="R960" s="25" t="str">
        <f>_xlfn.XLOOKUP(tbl_Ledger[[#This Row],[Account_Code]], tbl_Accounts[Account_Code], tbl_Accounts[Type])</f>
        <v>Revenue</v>
      </c>
      <c r="S960" s="25" t="str">
        <f>_xlfn.XLOOKUP(tbl_Ledger[[#This Row],[Account_Code]], tbl_Accounts[Account_Code], tbl_Accounts[PL_Bucket])</f>
        <v>Revenue</v>
      </c>
      <c r="T960" s="25">
        <f t="shared" si="14"/>
        <v>52206.12</v>
      </c>
    </row>
    <row r="961" spans="1:20">
      <c r="A961" t="s">
        <v>2577</v>
      </c>
      <c r="B961" s="7">
        <v>45900</v>
      </c>
      <c r="C961" t="s">
        <v>126</v>
      </c>
      <c r="D961" t="s">
        <v>88</v>
      </c>
      <c r="E961" t="s">
        <v>136</v>
      </c>
      <c r="F961" s="12" t="s">
        <v>29</v>
      </c>
      <c r="G961" t="s">
        <v>30</v>
      </c>
      <c r="H961" t="s">
        <v>2578</v>
      </c>
      <c r="I961" t="s">
        <v>71</v>
      </c>
      <c r="J961" s="6">
        <v>44200</v>
      </c>
      <c r="K961" t="s">
        <v>138</v>
      </c>
      <c r="L961" t="s">
        <v>2574</v>
      </c>
      <c r="M961" t="s">
        <v>3</v>
      </c>
      <c r="N961" s="25" t="str">
        <f>TEXT(tbl_Ledger[[#This Row],[Date]],"yyyy-mm")</f>
        <v>2025-08</v>
      </c>
      <c r="O961" s="25" t="str">
        <f>TEXT(tbl_Ledger[[#This Row],[Date]],"yyyy-mm") &amp; TRIM(tbl_Ledger[[#This Row],[Currency]])</f>
        <v>2025-08NGN</v>
      </c>
      <c r="P961" s="25">
        <f>_xlfn.XLOOKUP(tbl_Ledger[[#This Row],[Key]], tbl_FX[Key], tbl_FX[Rate_to_NGN])</f>
        <v>1</v>
      </c>
      <c r="Q961" s="37">
        <f>IF(tbl_Ledger[[#This Row],[Account_Type]]="Expense",-ABS(tbl_Ledger[[#This Row],[Amount]]*tbl_Ledger[[#This Row],[Rate_to_NGN]]),tbl_Ledger[[#This Row],[Amount]]*tbl_Ledger[[#This Row],[Rate_to_NGN]])</f>
        <v>44200</v>
      </c>
      <c r="R961" s="25" t="str">
        <f>_xlfn.XLOOKUP(tbl_Ledger[[#This Row],[Account_Code]], tbl_Accounts[Account_Code], tbl_Accounts[Type])</f>
        <v>Revenue</v>
      </c>
      <c r="S961" s="25" t="str">
        <f>_xlfn.XLOOKUP(tbl_Ledger[[#This Row],[Account_Code]], tbl_Accounts[Account_Code], tbl_Accounts[PL_Bucket])</f>
        <v>Revenue</v>
      </c>
      <c r="T961" s="25">
        <f t="shared" si="14"/>
        <v>44200</v>
      </c>
    </row>
    <row r="962" spans="1:20">
      <c r="A962" t="s">
        <v>2579</v>
      </c>
      <c r="B962" s="7">
        <v>45900</v>
      </c>
      <c r="C962" t="s">
        <v>126</v>
      </c>
      <c r="D962" t="s">
        <v>88</v>
      </c>
      <c r="E962" t="s">
        <v>140</v>
      </c>
      <c r="F962" s="12" t="s">
        <v>29</v>
      </c>
      <c r="G962" t="s">
        <v>30</v>
      </c>
      <c r="H962" t="s">
        <v>2580</v>
      </c>
      <c r="I962" t="s">
        <v>71</v>
      </c>
      <c r="J962" s="6">
        <v>52700</v>
      </c>
      <c r="K962" t="s">
        <v>3</v>
      </c>
      <c r="L962" t="s">
        <v>2581</v>
      </c>
      <c r="M962" t="s">
        <v>3</v>
      </c>
      <c r="N962" s="25" t="str">
        <f>TEXT(tbl_Ledger[[#This Row],[Date]],"yyyy-mm")</f>
        <v>2025-08</v>
      </c>
      <c r="O962" s="25" t="str">
        <f>TEXT(tbl_Ledger[[#This Row],[Date]],"yyyy-mm") &amp; TRIM(tbl_Ledger[[#This Row],[Currency]])</f>
        <v>2025-08NGN</v>
      </c>
      <c r="P962" s="25">
        <f>_xlfn.XLOOKUP(tbl_Ledger[[#This Row],[Key]], tbl_FX[Key], tbl_FX[Rate_to_NGN])</f>
        <v>1</v>
      </c>
      <c r="Q962" s="37">
        <f>IF(tbl_Ledger[[#This Row],[Account_Type]]="Expense",-ABS(tbl_Ledger[[#This Row],[Amount]]*tbl_Ledger[[#This Row],[Rate_to_NGN]]),tbl_Ledger[[#This Row],[Amount]]*tbl_Ledger[[#This Row],[Rate_to_NGN]])</f>
        <v>52700</v>
      </c>
      <c r="R962" s="25" t="str">
        <f>_xlfn.XLOOKUP(tbl_Ledger[[#This Row],[Account_Code]], tbl_Accounts[Account_Code], tbl_Accounts[Type])</f>
        <v>Revenue</v>
      </c>
      <c r="S962" s="25" t="str">
        <f>_xlfn.XLOOKUP(tbl_Ledger[[#This Row],[Account_Code]], tbl_Accounts[Account_Code], tbl_Accounts[PL_Bucket])</f>
        <v>Revenue</v>
      </c>
      <c r="T962" s="25">
        <f t="shared" ref="T962:T1025" si="15">IF(AND(S962="Revenue",F962&lt;&gt;4900),ABS(Q962),-ABS(Q962))</f>
        <v>52700</v>
      </c>
    </row>
    <row r="963" spans="1:20">
      <c r="A963" t="s">
        <v>2582</v>
      </c>
      <c r="B963" s="7">
        <v>45900</v>
      </c>
      <c r="C963" t="s">
        <v>93</v>
      </c>
      <c r="D963" t="s">
        <v>111</v>
      </c>
      <c r="E963" t="s">
        <v>112</v>
      </c>
      <c r="F963" s="12" t="s">
        <v>31</v>
      </c>
      <c r="G963" t="s">
        <v>32</v>
      </c>
      <c r="H963" t="s">
        <v>2583</v>
      </c>
      <c r="I963" t="s">
        <v>71</v>
      </c>
      <c r="J963" s="6">
        <v>-72105</v>
      </c>
      <c r="K963" t="s">
        <v>3</v>
      </c>
      <c r="L963" t="s">
        <v>2584</v>
      </c>
      <c r="M963" t="s">
        <v>3</v>
      </c>
      <c r="N963" s="25" t="str">
        <f>TEXT(tbl_Ledger[[#This Row],[Date]],"yyyy-mm")</f>
        <v>2025-08</v>
      </c>
      <c r="O963" s="25" t="str">
        <f>TEXT(tbl_Ledger[[#This Row],[Date]],"yyyy-mm") &amp; TRIM(tbl_Ledger[[#This Row],[Currency]])</f>
        <v>2025-08NGN</v>
      </c>
      <c r="P963" s="25">
        <f>_xlfn.XLOOKUP(tbl_Ledger[[#This Row],[Key]], tbl_FX[Key], tbl_FX[Rate_to_NGN])</f>
        <v>1</v>
      </c>
      <c r="Q963" s="37">
        <f>IF(tbl_Ledger[[#This Row],[Account_Type]]="Expense",-ABS(tbl_Ledger[[#This Row],[Amount]]*tbl_Ledger[[#This Row],[Rate_to_NGN]]),tbl_Ledger[[#This Row],[Amount]]*tbl_Ledger[[#This Row],[Rate_to_NGN]])</f>
        <v>-72105</v>
      </c>
      <c r="R963" s="25" t="str">
        <f>_xlfn.XLOOKUP(tbl_Ledger[[#This Row],[Account_Code]], tbl_Accounts[Account_Code], tbl_Accounts[Type])</f>
        <v>Revenue</v>
      </c>
      <c r="S963" s="25" t="str">
        <f>_xlfn.XLOOKUP(tbl_Ledger[[#This Row],[Account_Code]], tbl_Accounts[Account_Code], tbl_Accounts[PL_Bucket])</f>
        <v>Revenue</v>
      </c>
      <c r="T963" s="25">
        <f t="shared" si="15"/>
        <v>72105</v>
      </c>
    </row>
    <row r="964" spans="1:20">
      <c r="A964" t="s">
        <v>2585</v>
      </c>
      <c r="B964" s="7">
        <v>45900</v>
      </c>
      <c r="C964" t="s">
        <v>87</v>
      </c>
      <c r="D964" t="s">
        <v>94</v>
      </c>
      <c r="E964" t="s">
        <v>3</v>
      </c>
      <c r="F964" s="12" t="s">
        <v>44</v>
      </c>
      <c r="G964" t="s">
        <v>45</v>
      </c>
      <c r="H964" t="s">
        <v>2157</v>
      </c>
      <c r="I964" t="s">
        <v>71</v>
      </c>
      <c r="J964" s="6">
        <v>-195000</v>
      </c>
      <c r="K964" t="s">
        <v>668</v>
      </c>
      <c r="L964" t="s">
        <v>2586</v>
      </c>
      <c r="M964" t="s">
        <v>3</v>
      </c>
      <c r="N964" s="25" t="str">
        <f>TEXT(tbl_Ledger[[#This Row],[Date]],"yyyy-mm")</f>
        <v>2025-08</v>
      </c>
      <c r="O964" s="25" t="str">
        <f>TEXT(tbl_Ledger[[#This Row],[Date]],"yyyy-mm") &amp; TRIM(tbl_Ledger[[#This Row],[Currency]])</f>
        <v>2025-08NGN</v>
      </c>
      <c r="P964" s="25">
        <f>_xlfn.XLOOKUP(tbl_Ledger[[#This Row],[Key]], tbl_FX[Key], tbl_FX[Rate_to_NGN])</f>
        <v>1</v>
      </c>
      <c r="Q964" s="37">
        <f>IF(tbl_Ledger[[#This Row],[Account_Type]]="Expense",-ABS(tbl_Ledger[[#This Row],[Amount]]*tbl_Ledger[[#This Row],[Rate_to_NGN]]),tbl_Ledger[[#This Row],[Amount]]*tbl_Ledger[[#This Row],[Rate_to_NGN]])</f>
        <v>-195000</v>
      </c>
      <c r="R964" s="25" t="str">
        <f>_xlfn.XLOOKUP(tbl_Ledger[[#This Row],[Account_Code]], tbl_Accounts[Account_Code], tbl_Accounts[Type])</f>
        <v>COGS</v>
      </c>
      <c r="S964" s="25" t="str">
        <f>_xlfn.XLOOKUP(tbl_Ledger[[#This Row],[Account_Code]], tbl_Accounts[Account_Code], tbl_Accounts[PL_Bucket])</f>
        <v>COGS</v>
      </c>
      <c r="T964" s="25">
        <f t="shared" si="15"/>
        <v>-195000</v>
      </c>
    </row>
    <row r="965" spans="1:20">
      <c r="A965" t="s">
        <v>2587</v>
      </c>
      <c r="B965" s="7">
        <v>45900</v>
      </c>
      <c r="C965" t="s">
        <v>87</v>
      </c>
      <c r="D965" t="s">
        <v>88</v>
      </c>
      <c r="E965" t="s">
        <v>3</v>
      </c>
      <c r="F965" s="12" t="s">
        <v>42</v>
      </c>
      <c r="G965" t="s">
        <v>43</v>
      </c>
      <c r="H965" t="s">
        <v>1431</v>
      </c>
      <c r="I965" t="s">
        <v>71</v>
      </c>
      <c r="J965" s="6">
        <v>-641000</v>
      </c>
      <c r="K965" t="s">
        <v>398</v>
      </c>
      <c r="L965" t="s">
        <v>2588</v>
      </c>
      <c r="M965" t="s">
        <v>3</v>
      </c>
      <c r="N965" s="25" t="str">
        <f>TEXT(tbl_Ledger[[#This Row],[Date]],"yyyy-mm")</f>
        <v>2025-08</v>
      </c>
      <c r="O965" s="25" t="str">
        <f>TEXT(tbl_Ledger[[#This Row],[Date]],"yyyy-mm") &amp; TRIM(tbl_Ledger[[#This Row],[Currency]])</f>
        <v>2025-08NGN</v>
      </c>
      <c r="P965" s="25">
        <f>_xlfn.XLOOKUP(tbl_Ledger[[#This Row],[Key]], tbl_FX[Key], tbl_FX[Rate_to_NGN])</f>
        <v>1</v>
      </c>
      <c r="Q965" s="37">
        <f>IF(tbl_Ledger[[#This Row],[Account_Type]]="Expense",-ABS(tbl_Ledger[[#This Row],[Amount]]*tbl_Ledger[[#This Row],[Rate_to_NGN]]),tbl_Ledger[[#This Row],[Amount]]*tbl_Ledger[[#This Row],[Rate_to_NGN]])</f>
        <v>-641000</v>
      </c>
      <c r="R965" s="25" t="str">
        <f>_xlfn.XLOOKUP(tbl_Ledger[[#This Row],[Account_Code]], tbl_Accounts[Account_Code], tbl_Accounts[Type])</f>
        <v>COGS</v>
      </c>
      <c r="S965" s="25" t="str">
        <f>_xlfn.XLOOKUP(tbl_Ledger[[#This Row],[Account_Code]], tbl_Accounts[Account_Code], tbl_Accounts[PL_Bucket])</f>
        <v>COGS</v>
      </c>
      <c r="T965" s="25">
        <f t="shared" si="15"/>
        <v>-641000</v>
      </c>
    </row>
    <row r="966" spans="1:20">
      <c r="A966" t="s">
        <v>2589</v>
      </c>
      <c r="B966" s="7">
        <v>45901</v>
      </c>
      <c r="C966" t="s">
        <v>93</v>
      </c>
      <c r="D966" t="s">
        <v>94</v>
      </c>
      <c r="E966" t="s">
        <v>95</v>
      </c>
      <c r="F966" s="12" t="s">
        <v>24</v>
      </c>
      <c r="G966" t="s">
        <v>25</v>
      </c>
      <c r="H966" t="s">
        <v>2590</v>
      </c>
      <c r="I966" t="s">
        <v>71</v>
      </c>
      <c r="J966" s="6">
        <v>33200</v>
      </c>
      <c r="K966" t="s">
        <v>3</v>
      </c>
      <c r="L966" t="s">
        <v>2591</v>
      </c>
      <c r="M966" t="s">
        <v>3</v>
      </c>
      <c r="N966" s="25" t="str">
        <f>TEXT(tbl_Ledger[[#This Row],[Date]],"yyyy-mm")</f>
        <v>2025-09</v>
      </c>
      <c r="O966" s="25" t="str">
        <f>TEXT(tbl_Ledger[[#This Row],[Date]],"yyyy-mm") &amp; TRIM(tbl_Ledger[[#This Row],[Currency]])</f>
        <v>2025-09NGN</v>
      </c>
      <c r="P966" s="25">
        <f>_xlfn.XLOOKUP(tbl_Ledger[[#This Row],[Key]], tbl_FX[Key], tbl_FX[Rate_to_NGN])</f>
        <v>1</v>
      </c>
      <c r="Q966" s="37">
        <f>IF(tbl_Ledger[[#This Row],[Account_Type]]="Expense",-ABS(tbl_Ledger[[#This Row],[Amount]]*tbl_Ledger[[#This Row],[Rate_to_NGN]]),tbl_Ledger[[#This Row],[Amount]]*tbl_Ledger[[#This Row],[Rate_to_NGN]])</f>
        <v>33200</v>
      </c>
      <c r="R966" s="25" t="str">
        <f>_xlfn.XLOOKUP(tbl_Ledger[[#This Row],[Account_Code]], tbl_Accounts[Account_Code], tbl_Accounts[Type])</f>
        <v>Revenue</v>
      </c>
      <c r="S966" s="25" t="str">
        <f>_xlfn.XLOOKUP(tbl_Ledger[[#This Row],[Account_Code]], tbl_Accounts[Account_Code], tbl_Accounts[PL_Bucket])</f>
        <v>Revenue</v>
      </c>
      <c r="T966" s="25">
        <f t="shared" si="15"/>
        <v>33200</v>
      </c>
    </row>
    <row r="967" spans="1:20">
      <c r="A967" t="s">
        <v>2592</v>
      </c>
      <c r="B967" s="7">
        <v>45901</v>
      </c>
      <c r="C967" t="s">
        <v>93</v>
      </c>
      <c r="D967" t="s">
        <v>94</v>
      </c>
      <c r="E967" t="s">
        <v>99</v>
      </c>
      <c r="F967" s="12" t="s">
        <v>24</v>
      </c>
      <c r="G967" t="s">
        <v>25</v>
      </c>
      <c r="H967" t="s">
        <v>2593</v>
      </c>
      <c r="I967" t="s">
        <v>71</v>
      </c>
      <c r="J967" s="6">
        <v>31600</v>
      </c>
      <c r="K967" t="s">
        <v>3</v>
      </c>
      <c r="L967" t="s">
        <v>2594</v>
      </c>
      <c r="M967" t="s">
        <v>3</v>
      </c>
      <c r="N967" s="25" t="str">
        <f>TEXT(tbl_Ledger[[#This Row],[Date]],"yyyy-mm")</f>
        <v>2025-09</v>
      </c>
      <c r="O967" s="25" t="str">
        <f>TEXT(tbl_Ledger[[#This Row],[Date]],"yyyy-mm") &amp; TRIM(tbl_Ledger[[#This Row],[Currency]])</f>
        <v>2025-09NGN</v>
      </c>
      <c r="P967" s="25">
        <f>_xlfn.XLOOKUP(tbl_Ledger[[#This Row],[Key]], tbl_FX[Key], tbl_FX[Rate_to_NGN])</f>
        <v>1</v>
      </c>
      <c r="Q967" s="37">
        <f>IF(tbl_Ledger[[#This Row],[Account_Type]]="Expense",-ABS(tbl_Ledger[[#This Row],[Amount]]*tbl_Ledger[[#This Row],[Rate_to_NGN]]),tbl_Ledger[[#This Row],[Amount]]*tbl_Ledger[[#This Row],[Rate_to_NGN]])</f>
        <v>31600</v>
      </c>
      <c r="R967" s="25" t="str">
        <f>_xlfn.XLOOKUP(tbl_Ledger[[#This Row],[Account_Code]], tbl_Accounts[Account_Code], tbl_Accounts[Type])</f>
        <v>Revenue</v>
      </c>
      <c r="S967" s="25" t="str">
        <f>_xlfn.XLOOKUP(tbl_Ledger[[#This Row],[Account_Code]], tbl_Accounts[Account_Code], tbl_Accounts[PL_Bucket])</f>
        <v>Revenue</v>
      </c>
      <c r="T967" s="25">
        <f t="shared" si="15"/>
        <v>31600</v>
      </c>
    </row>
    <row r="968" spans="1:20">
      <c r="A968" t="s">
        <v>2595</v>
      </c>
      <c r="B968" s="7">
        <v>45901</v>
      </c>
      <c r="C968" t="s">
        <v>93</v>
      </c>
      <c r="D968" t="s">
        <v>94</v>
      </c>
      <c r="E968" t="s">
        <v>103</v>
      </c>
      <c r="F968" s="12" t="s">
        <v>24</v>
      </c>
      <c r="G968" t="s">
        <v>25</v>
      </c>
      <c r="H968" t="s">
        <v>2596</v>
      </c>
      <c r="I968" t="s">
        <v>71</v>
      </c>
      <c r="J968" s="6">
        <v>31200</v>
      </c>
      <c r="K968" t="s">
        <v>3</v>
      </c>
      <c r="L968" t="s">
        <v>2597</v>
      </c>
      <c r="M968" t="s">
        <v>3</v>
      </c>
      <c r="N968" s="25" t="str">
        <f>TEXT(tbl_Ledger[[#This Row],[Date]],"yyyy-mm")</f>
        <v>2025-09</v>
      </c>
      <c r="O968" s="25" t="str">
        <f>TEXT(tbl_Ledger[[#This Row],[Date]],"yyyy-mm") &amp; TRIM(tbl_Ledger[[#This Row],[Currency]])</f>
        <v>2025-09NGN</v>
      </c>
      <c r="P968" s="25">
        <f>_xlfn.XLOOKUP(tbl_Ledger[[#This Row],[Key]], tbl_FX[Key], tbl_FX[Rate_to_NGN])</f>
        <v>1</v>
      </c>
      <c r="Q968" s="37">
        <f>IF(tbl_Ledger[[#This Row],[Account_Type]]="Expense",-ABS(tbl_Ledger[[#This Row],[Amount]]*tbl_Ledger[[#This Row],[Rate_to_NGN]]),tbl_Ledger[[#This Row],[Amount]]*tbl_Ledger[[#This Row],[Rate_to_NGN]])</f>
        <v>31200</v>
      </c>
      <c r="R968" s="25" t="str">
        <f>_xlfn.XLOOKUP(tbl_Ledger[[#This Row],[Account_Code]], tbl_Accounts[Account_Code], tbl_Accounts[Type])</f>
        <v>Revenue</v>
      </c>
      <c r="S968" s="25" t="str">
        <f>_xlfn.XLOOKUP(tbl_Ledger[[#This Row],[Account_Code]], tbl_Accounts[Account_Code], tbl_Accounts[PL_Bucket])</f>
        <v>Revenue</v>
      </c>
      <c r="T968" s="25">
        <f t="shared" si="15"/>
        <v>31200</v>
      </c>
    </row>
    <row r="969" spans="1:20">
      <c r="A969" t="s">
        <v>2598</v>
      </c>
      <c r="B969" s="7">
        <v>45901</v>
      </c>
      <c r="C969" t="s">
        <v>93</v>
      </c>
      <c r="D969" t="s">
        <v>94</v>
      </c>
      <c r="E969" t="s">
        <v>160</v>
      </c>
      <c r="F969" s="12" t="s">
        <v>24</v>
      </c>
      <c r="G969" t="s">
        <v>25</v>
      </c>
      <c r="H969" t="s">
        <v>2599</v>
      </c>
      <c r="I969" t="s">
        <v>71</v>
      </c>
      <c r="J969" s="6">
        <v>29000</v>
      </c>
      <c r="K969" t="s">
        <v>3</v>
      </c>
      <c r="L969" t="s">
        <v>2597</v>
      </c>
      <c r="M969" t="s">
        <v>3</v>
      </c>
      <c r="N969" s="25" t="str">
        <f>TEXT(tbl_Ledger[[#This Row],[Date]],"yyyy-mm")</f>
        <v>2025-09</v>
      </c>
      <c r="O969" s="25" t="str">
        <f>TEXT(tbl_Ledger[[#This Row],[Date]],"yyyy-mm") &amp; TRIM(tbl_Ledger[[#This Row],[Currency]])</f>
        <v>2025-09NGN</v>
      </c>
      <c r="P969" s="25">
        <f>_xlfn.XLOOKUP(tbl_Ledger[[#This Row],[Key]], tbl_FX[Key], tbl_FX[Rate_to_NGN])</f>
        <v>1</v>
      </c>
      <c r="Q969" s="37">
        <f>IF(tbl_Ledger[[#This Row],[Account_Type]]="Expense",-ABS(tbl_Ledger[[#This Row],[Amount]]*tbl_Ledger[[#This Row],[Rate_to_NGN]]),tbl_Ledger[[#This Row],[Amount]]*tbl_Ledger[[#This Row],[Rate_to_NGN]])</f>
        <v>29000</v>
      </c>
      <c r="R969" s="25" t="str">
        <f>_xlfn.XLOOKUP(tbl_Ledger[[#This Row],[Account_Code]], tbl_Accounts[Account_Code], tbl_Accounts[Type])</f>
        <v>Revenue</v>
      </c>
      <c r="S969" s="25" t="str">
        <f>_xlfn.XLOOKUP(tbl_Ledger[[#This Row],[Account_Code]], tbl_Accounts[Account_Code], tbl_Accounts[PL_Bucket])</f>
        <v>Revenue</v>
      </c>
      <c r="T969" s="25">
        <f t="shared" si="15"/>
        <v>29000</v>
      </c>
    </row>
    <row r="970" spans="1:20">
      <c r="A970" t="s">
        <v>2600</v>
      </c>
      <c r="B970" s="7">
        <v>45901</v>
      </c>
      <c r="C970" t="s">
        <v>93</v>
      </c>
      <c r="D970" t="s">
        <v>94</v>
      </c>
      <c r="E970" t="s">
        <v>107</v>
      </c>
      <c r="F970" s="12" t="s">
        <v>24</v>
      </c>
      <c r="G970" t="s">
        <v>25</v>
      </c>
      <c r="H970" t="s">
        <v>2601</v>
      </c>
      <c r="I970" t="s">
        <v>71</v>
      </c>
      <c r="J970" s="6">
        <v>28400</v>
      </c>
      <c r="K970" t="s">
        <v>3</v>
      </c>
      <c r="L970" t="s">
        <v>2602</v>
      </c>
      <c r="M970" t="s">
        <v>3</v>
      </c>
      <c r="N970" s="25" t="str">
        <f>TEXT(tbl_Ledger[[#This Row],[Date]],"yyyy-mm")</f>
        <v>2025-09</v>
      </c>
      <c r="O970" s="25" t="str">
        <f>TEXT(tbl_Ledger[[#This Row],[Date]],"yyyy-mm") &amp; TRIM(tbl_Ledger[[#This Row],[Currency]])</f>
        <v>2025-09NGN</v>
      </c>
      <c r="P970" s="25">
        <f>_xlfn.XLOOKUP(tbl_Ledger[[#This Row],[Key]], tbl_FX[Key], tbl_FX[Rate_to_NGN])</f>
        <v>1</v>
      </c>
      <c r="Q970" s="37">
        <f>IF(tbl_Ledger[[#This Row],[Account_Type]]="Expense",-ABS(tbl_Ledger[[#This Row],[Amount]]*tbl_Ledger[[#This Row],[Rate_to_NGN]]),tbl_Ledger[[#This Row],[Amount]]*tbl_Ledger[[#This Row],[Rate_to_NGN]])</f>
        <v>28400</v>
      </c>
      <c r="R970" s="25" t="str">
        <f>_xlfn.XLOOKUP(tbl_Ledger[[#This Row],[Account_Code]], tbl_Accounts[Account_Code], tbl_Accounts[Type])</f>
        <v>Revenue</v>
      </c>
      <c r="S970" s="25" t="str">
        <f>_xlfn.XLOOKUP(tbl_Ledger[[#This Row],[Account_Code]], tbl_Accounts[Account_Code], tbl_Accounts[PL_Bucket])</f>
        <v>Revenue</v>
      </c>
      <c r="T970" s="25">
        <f t="shared" si="15"/>
        <v>28400</v>
      </c>
    </row>
    <row r="971" spans="1:20">
      <c r="A971" t="s">
        <v>2603</v>
      </c>
      <c r="B971" s="7">
        <v>45901</v>
      </c>
      <c r="C971" t="s">
        <v>93</v>
      </c>
      <c r="D971" t="s">
        <v>111</v>
      </c>
      <c r="E971" t="s">
        <v>116</v>
      </c>
      <c r="F971" s="12" t="s">
        <v>24</v>
      </c>
      <c r="G971" t="s">
        <v>25</v>
      </c>
      <c r="H971" t="s">
        <v>2604</v>
      </c>
      <c r="I971" t="s">
        <v>71</v>
      </c>
      <c r="J971" s="6">
        <v>49900</v>
      </c>
      <c r="K971" t="s">
        <v>3</v>
      </c>
      <c r="L971" t="s">
        <v>2605</v>
      </c>
      <c r="M971" t="s">
        <v>3</v>
      </c>
      <c r="N971" s="25" t="str">
        <f>TEXT(tbl_Ledger[[#This Row],[Date]],"yyyy-mm")</f>
        <v>2025-09</v>
      </c>
      <c r="O971" s="25" t="str">
        <f>TEXT(tbl_Ledger[[#This Row],[Date]],"yyyy-mm") &amp; TRIM(tbl_Ledger[[#This Row],[Currency]])</f>
        <v>2025-09NGN</v>
      </c>
      <c r="P971" s="25">
        <f>_xlfn.XLOOKUP(tbl_Ledger[[#This Row],[Key]], tbl_FX[Key], tbl_FX[Rate_to_NGN])</f>
        <v>1</v>
      </c>
      <c r="Q971" s="37">
        <f>IF(tbl_Ledger[[#This Row],[Account_Type]]="Expense",-ABS(tbl_Ledger[[#This Row],[Amount]]*tbl_Ledger[[#This Row],[Rate_to_NGN]]),tbl_Ledger[[#This Row],[Amount]]*tbl_Ledger[[#This Row],[Rate_to_NGN]])</f>
        <v>49900</v>
      </c>
      <c r="R971" s="25" t="str">
        <f>_xlfn.XLOOKUP(tbl_Ledger[[#This Row],[Account_Code]], tbl_Accounts[Account_Code], tbl_Accounts[Type])</f>
        <v>Revenue</v>
      </c>
      <c r="S971" s="25" t="str">
        <f>_xlfn.XLOOKUP(tbl_Ledger[[#This Row],[Account_Code]], tbl_Accounts[Account_Code], tbl_Accounts[PL_Bucket])</f>
        <v>Revenue</v>
      </c>
      <c r="T971" s="25">
        <f t="shared" si="15"/>
        <v>49900</v>
      </c>
    </row>
    <row r="972" spans="1:20">
      <c r="A972" t="s">
        <v>2606</v>
      </c>
      <c r="B972" s="7">
        <v>45901</v>
      </c>
      <c r="C972" t="s">
        <v>93</v>
      </c>
      <c r="D972" t="s">
        <v>111</v>
      </c>
      <c r="E972" t="s">
        <v>119</v>
      </c>
      <c r="F972" s="12" t="s">
        <v>24</v>
      </c>
      <c r="G972" t="s">
        <v>25</v>
      </c>
      <c r="H972" t="s">
        <v>2607</v>
      </c>
      <c r="I972" t="s">
        <v>71</v>
      </c>
      <c r="J972" s="6">
        <v>49400</v>
      </c>
      <c r="K972" t="s">
        <v>3</v>
      </c>
      <c r="L972" t="s">
        <v>2605</v>
      </c>
      <c r="M972" t="s">
        <v>3</v>
      </c>
      <c r="N972" s="25" t="str">
        <f>TEXT(tbl_Ledger[[#This Row],[Date]],"yyyy-mm")</f>
        <v>2025-09</v>
      </c>
      <c r="O972" s="25" t="str">
        <f>TEXT(tbl_Ledger[[#This Row],[Date]],"yyyy-mm") &amp; TRIM(tbl_Ledger[[#This Row],[Currency]])</f>
        <v>2025-09NGN</v>
      </c>
      <c r="P972" s="25">
        <f>_xlfn.XLOOKUP(tbl_Ledger[[#This Row],[Key]], tbl_FX[Key], tbl_FX[Rate_to_NGN])</f>
        <v>1</v>
      </c>
      <c r="Q972" s="37">
        <f>IF(tbl_Ledger[[#This Row],[Account_Type]]="Expense",-ABS(tbl_Ledger[[#This Row],[Amount]]*tbl_Ledger[[#This Row],[Rate_to_NGN]]),tbl_Ledger[[#This Row],[Amount]]*tbl_Ledger[[#This Row],[Rate_to_NGN]])</f>
        <v>49400</v>
      </c>
      <c r="R972" s="25" t="str">
        <f>_xlfn.XLOOKUP(tbl_Ledger[[#This Row],[Account_Code]], tbl_Accounts[Account_Code], tbl_Accounts[Type])</f>
        <v>Revenue</v>
      </c>
      <c r="S972" s="25" t="str">
        <f>_xlfn.XLOOKUP(tbl_Ledger[[#This Row],[Account_Code]], tbl_Accounts[Account_Code], tbl_Accounts[PL_Bucket])</f>
        <v>Revenue</v>
      </c>
      <c r="T972" s="25">
        <f t="shared" si="15"/>
        <v>49400</v>
      </c>
    </row>
    <row r="973" spans="1:20">
      <c r="A973" t="s">
        <v>2608</v>
      </c>
      <c r="B973" s="7">
        <v>45901</v>
      </c>
      <c r="C973" t="s">
        <v>93</v>
      </c>
      <c r="D973" t="s">
        <v>111</v>
      </c>
      <c r="E973" t="s">
        <v>170</v>
      </c>
      <c r="F973" s="12" t="s">
        <v>24</v>
      </c>
      <c r="G973" t="s">
        <v>25</v>
      </c>
      <c r="H973" t="s">
        <v>2609</v>
      </c>
      <c r="I973" t="s">
        <v>71</v>
      </c>
      <c r="J973" s="6">
        <v>49700</v>
      </c>
      <c r="K973" t="s">
        <v>3</v>
      </c>
      <c r="L973" t="s">
        <v>2605</v>
      </c>
      <c r="M973" t="s">
        <v>3</v>
      </c>
      <c r="N973" s="25" t="str">
        <f>TEXT(tbl_Ledger[[#This Row],[Date]],"yyyy-mm")</f>
        <v>2025-09</v>
      </c>
      <c r="O973" s="25" t="str">
        <f>TEXT(tbl_Ledger[[#This Row],[Date]],"yyyy-mm") &amp; TRIM(tbl_Ledger[[#This Row],[Currency]])</f>
        <v>2025-09NGN</v>
      </c>
      <c r="P973" s="25">
        <f>_xlfn.XLOOKUP(tbl_Ledger[[#This Row],[Key]], tbl_FX[Key], tbl_FX[Rate_to_NGN])</f>
        <v>1</v>
      </c>
      <c r="Q973" s="37">
        <f>IF(tbl_Ledger[[#This Row],[Account_Type]]="Expense",-ABS(tbl_Ledger[[#This Row],[Amount]]*tbl_Ledger[[#This Row],[Rate_to_NGN]]),tbl_Ledger[[#This Row],[Amount]]*tbl_Ledger[[#This Row],[Rate_to_NGN]])</f>
        <v>49700</v>
      </c>
      <c r="R973" s="25" t="str">
        <f>_xlfn.XLOOKUP(tbl_Ledger[[#This Row],[Account_Code]], tbl_Accounts[Account_Code], tbl_Accounts[Type])</f>
        <v>Revenue</v>
      </c>
      <c r="S973" s="25" t="str">
        <f>_xlfn.XLOOKUP(tbl_Ledger[[#This Row],[Account_Code]], tbl_Accounts[Account_Code], tbl_Accounts[PL_Bucket])</f>
        <v>Revenue</v>
      </c>
      <c r="T973" s="25">
        <f t="shared" si="15"/>
        <v>49700</v>
      </c>
    </row>
    <row r="974" spans="1:20">
      <c r="A974" t="s">
        <v>2610</v>
      </c>
      <c r="B974" s="7">
        <v>45901</v>
      </c>
      <c r="C974" t="s">
        <v>93</v>
      </c>
      <c r="D974" t="s">
        <v>111</v>
      </c>
      <c r="E974" t="s">
        <v>122</v>
      </c>
      <c r="F974" s="12" t="s">
        <v>24</v>
      </c>
      <c r="G974" t="s">
        <v>25</v>
      </c>
      <c r="H974" t="s">
        <v>2611</v>
      </c>
      <c r="I974" t="s">
        <v>71</v>
      </c>
      <c r="J974" s="6">
        <v>51300</v>
      </c>
      <c r="K974" t="s">
        <v>3</v>
      </c>
      <c r="L974" t="s">
        <v>2612</v>
      </c>
      <c r="M974" t="s">
        <v>3</v>
      </c>
      <c r="N974" s="25" t="str">
        <f>TEXT(tbl_Ledger[[#This Row],[Date]],"yyyy-mm")</f>
        <v>2025-09</v>
      </c>
      <c r="O974" s="25" t="str">
        <f>TEXT(tbl_Ledger[[#This Row],[Date]],"yyyy-mm") &amp; TRIM(tbl_Ledger[[#This Row],[Currency]])</f>
        <v>2025-09NGN</v>
      </c>
      <c r="P974" s="25">
        <f>_xlfn.XLOOKUP(tbl_Ledger[[#This Row],[Key]], tbl_FX[Key], tbl_FX[Rate_to_NGN])</f>
        <v>1</v>
      </c>
      <c r="Q974" s="37">
        <f>IF(tbl_Ledger[[#This Row],[Account_Type]]="Expense",-ABS(tbl_Ledger[[#This Row],[Amount]]*tbl_Ledger[[#This Row],[Rate_to_NGN]]),tbl_Ledger[[#This Row],[Amount]]*tbl_Ledger[[#This Row],[Rate_to_NGN]])</f>
        <v>51300</v>
      </c>
      <c r="R974" s="25" t="str">
        <f>_xlfn.XLOOKUP(tbl_Ledger[[#This Row],[Account_Code]], tbl_Accounts[Account_Code], tbl_Accounts[Type])</f>
        <v>Revenue</v>
      </c>
      <c r="S974" s="25" t="str">
        <f>_xlfn.XLOOKUP(tbl_Ledger[[#This Row],[Account_Code]], tbl_Accounts[Account_Code], tbl_Accounts[PL_Bucket])</f>
        <v>Revenue</v>
      </c>
      <c r="T974" s="25">
        <f t="shared" si="15"/>
        <v>51300</v>
      </c>
    </row>
    <row r="975" spans="1:20">
      <c r="A975" t="s">
        <v>2613</v>
      </c>
      <c r="B975" s="7">
        <v>45901</v>
      </c>
      <c r="C975" t="s">
        <v>126</v>
      </c>
      <c r="D975" t="s">
        <v>88</v>
      </c>
      <c r="E975" t="s">
        <v>127</v>
      </c>
      <c r="F975" s="12" t="s">
        <v>29</v>
      </c>
      <c r="G975" t="s">
        <v>30</v>
      </c>
      <c r="H975" t="s">
        <v>2614</v>
      </c>
      <c r="I975" t="s">
        <v>71</v>
      </c>
      <c r="J975" s="6">
        <v>50300</v>
      </c>
      <c r="K975" t="s">
        <v>129</v>
      </c>
      <c r="L975" t="s">
        <v>2615</v>
      </c>
      <c r="M975" t="s">
        <v>3</v>
      </c>
      <c r="N975" s="25" t="str">
        <f>TEXT(tbl_Ledger[[#This Row],[Date]],"yyyy-mm")</f>
        <v>2025-09</v>
      </c>
      <c r="O975" s="25" t="str">
        <f>TEXT(tbl_Ledger[[#This Row],[Date]],"yyyy-mm") &amp; TRIM(tbl_Ledger[[#This Row],[Currency]])</f>
        <v>2025-09NGN</v>
      </c>
      <c r="P975" s="25">
        <f>_xlfn.XLOOKUP(tbl_Ledger[[#This Row],[Key]], tbl_FX[Key], tbl_FX[Rate_to_NGN])</f>
        <v>1</v>
      </c>
      <c r="Q975" s="37">
        <f>IF(tbl_Ledger[[#This Row],[Account_Type]]="Expense",-ABS(tbl_Ledger[[#This Row],[Amount]]*tbl_Ledger[[#This Row],[Rate_to_NGN]]),tbl_Ledger[[#This Row],[Amount]]*tbl_Ledger[[#This Row],[Rate_to_NGN]])</f>
        <v>50300</v>
      </c>
      <c r="R975" s="25" t="str">
        <f>_xlfn.XLOOKUP(tbl_Ledger[[#This Row],[Account_Code]], tbl_Accounts[Account_Code], tbl_Accounts[Type])</f>
        <v>Revenue</v>
      </c>
      <c r="S975" s="25" t="str">
        <f>_xlfn.XLOOKUP(tbl_Ledger[[#This Row],[Account_Code]], tbl_Accounts[Account_Code], tbl_Accounts[PL_Bucket])</f>
        <v>Revenue</v>
      </c>
      <c r="T975" s="25">
        <f t="shared" si="15"/>
        <v>50300</v>
      </c>
    </row>
    <row r="976" spans="1:20">
      <c r="A976" t="s">
        <v>2616</v>
      </c>
      <c r="B976" s="7">
        <v>45901</v>
      </c>
      <c r="C976" t="s">
        <v>126</v>
      </c>
      <c r="D976" t="s">
        <v>88</v>
      </c>
      <c r="E976" t="s">
        <v>132</v>
      </c>
      <c r="F976" s="12" t="s">
        <v>29</v>
      </c>
      <c r="G976" t="s">
        <v>30</v>
      </c>
      <c r="H976" t="s">
        <v>2617</v>
      </c>
      <c r="I976" t="s">
        <v>71</v>
      </c>
      <c r="J976" s="6">
        <v>59000</v>
      </c>
      <c r="K976" t="s">
        <v>134</v>
      </c>
      <c r="L976" t="s">
        <v>2615</v>
      </c>
      <c r="M976" t="s">
        <v>3</v>
      </c>
      <c r="N976" s="25" t="str">
        <f>TEXT(tbl_Ledger[[#This Row],[Date]],"yyyy-mm")</f>
        <v>2025-09</v>
      </c>
      <c r="O976" s="25" t="str">
        <f>TEXT(tbl_Ledger[[#This Row],[Date]],"yyyy-mm") &amp; TRIM(tbl_Ledger[[#This Row],[Currency]])</f>
        <v>2025-09NGN</v>
      </c>
      <c r="P976" s="25">
        <f>_xlfn.XLOOKUP(tbl_Ledger[[#This Row],[Key]], tbl_FX[Key], tbl_FX[Rate_to_NGN])</f>
        <v>1</v>
      </c>
      <c r="Q976" s="37">
        <f>IF(tbl_Ledger[[#This Row],[Account_Type]]="Expense",-ABS(tbl_Ledger[[#This Row],[Amount]]*tbl_Ledger[[#This Row],[Rate_to_NGN]]),tbl_Ledger[[#This Row],[Amount]]*tbl_Ledger[[#This Row],[Rate_to_NGN]])</f>
        <v>59000</v>
      </c>
      <c r="R976" s="25" t="str">
        <f>_xlfn.XLOOKUP(tbl_Ledger[[#This Row],[Account_Code]], tbl_Accounts[Account_Code], tbl_Accounts[Type])</f>
        <v>Revenue</v>
      </c>
      <c r="S976" s="25" t="str">
        <f>_xlfn.XLOOKUP(tbl_Ledger[[#This Row],[Account_Code]], tbl_Accounts[Account_Code], tbl_Accounts[PL_Bucket])</f>
        <v>Revenue</v>
      </c>
      <c r="T976" s="25">
        <f t="shared" si="15"/>
        <v>59000</v>
      </c>
    </row>
    <row r="977" spans="1:20">
      <c r="A977" t="s">
        <v>2618</v>
      </c>
      <c r="B977" s="7">
        <v>45901</v>
      </c>
      <c r="C977" t="s">
        <v>126</v>
      </c>
      <c r="D977" t="s">
        <v>88</v>
      </c>
      <c r="E977" t="s">
        <v>136</v>
      </c>
      <c r="F977" s="12" t="s">
        <v>29</v>
      </c>
      <c r="G977" t="s">
        <v>30</v>
      </c>
      <c r="H977" t="s">
        <v>2619</v>
      </c>
      <c r="I977" t="s">
        <v>71</v>
      </c>
      <c r="J977" s="6">
        <v>47700</v>
      </c>
      <c r="K977" t="s">
        <v>138</v>
      </c>
      <c r="L977" t="s">
        <v>2615</v>
      </c>
      <c r="M977" t="s">
        <v>3</v>
      </c>
      <c r="N977" s="25" t="str">
        <f>TEXT(tbl_Ledger[[#This Row],[Date]],"yyyy-mm")</f>
        <v>2025-09</v>
      </c>
      <c r="O977" s="25" t="str">
        <f>TEXT(tbl_Ledger[[#This Row],[Date]],"yyyy-mm") &amp; TRIM(tbl_Ledger[[#This Row],[Currency]])</f>
        <v>2025-09NGN</v>
      </c>
      <c r="P977" s="25">
        <f>_xlfn.XLOOKUP(tbl_Ledger[[#This Row],[Key]], tbl_FX[Key], tbl_FX[Rate_to_NGN])</f>
        <v>1</v>
      </c>
      <c r="Q977" s="37">
        <f>IF(tbl_Ledger[[#This Row],[Account_Type]]="Expense",-ABS(tbl_Ledger[[#This Row],[Amount]]*tbl_Ledger[[#This Row],[Rate_to_NGN]]),tbl_Ledger[[#This Row],[Amount]]*tbl_Ledger[[#This Row],[Rate_to_NGN]])</f>
        <v>47700</v>
      </c>
      <c r="R977" s="25" t="str">
        <f>_xlfn.XLOOKUP(tbl_Ledger[[#This Row],[Account_Code]], tbl_Accounts[Account_Code], tbl_Accounts[Type])</f>
        <v>Revenue</v>
      </c>
      <c r="S977" s="25" t="str">
        <f>_xlfn.XLOOKUP(tbl_Ledger[[#This Row],[Account_Code]], tbl_Accounts[Account_Code], tbl_Accounts[PL_Bucket])</f>
        <v>Revenue</v>
      </c>
      <c r="T977" s="25">
        <f t="shared" si="15"/>
        <v>47700</v>
      </c>
    </row>
    <row r="978" spans="1:20">
      <c r="A978" t="s">
        <v>2620</v>
      </c>
      <c r="B978" s="7">
        <v>45901</v>
      </c>
      <c r="C978" t="s">
        <v>126</v>
      </c>
      <c r="D978" t="s">
        <v>88</v>
      </c>
      <c r="E978" t="s">
        <v>140</v>
      </c>
      <c r="F978" s="12" t="s">
        <v>29</v>
      </c>
      <c r="G978" t="s">
        <v>30</v>
      </c>
      <c r="H978" t="s">
        <v>2621</v>
      </c>
      <c r="I978" t="s">
        <v>71</v>
      </c>
      <c r="J978" s="6">
        <v>50100</v>
      </c>
      <c r="K978" t="s">
        <v>3</v>
      </c>
      <c r="L978" t="s">
        <v>2622</v>
      </c>
      <c r="M978" t="s">
        <v>3</v>
      </c>
      <c r="N978" s="25" t="str">
        <f>TEXT(tbl_Ledger[[#This Row],[Date]],"yyyy-mm")</f>
        <v>2025-09</v>
      </c>
      <c r="O978" s="25" t="str">
        <f>TEXT(tbl_Ledger[[#This Row],[Date]],"yyyy-mm") &amp; TRIM(tbl_Ledger[[#This Row],[Currency]])</f>
        <v>2025-09NGN</v>
      </c>
      <c r="P978" s="25">
        <f>_xlfn.XLOOKUP(tbl_Ledger[[#This Row],[Key]], tbl_FX[Key], tbl_FX[Rate_to_NGN])</f>
        <v>1</v>
      </c>
      <c r="Q978" s="37">
        <f>IF(tbl_Ledger[[#This Row],[Account_Type]]="Expense",-ABS(tbl_Ledger[[#This Row],[Amount]]*tbl_Ledger[[#This Row],[Rate_to_NGN]]),tbl_Ledger[[#This Row],[Amount]]*tbl_Ledger[[#This Row],[Rate_to_NGN]])</f>
        <v>50100</v>
      </c>
      <c r="R978" s="25" t="str">
        <f>_xlfn.XLOOKUP(tbl_Ledger[[#This Row],[Account_Code]], tbl_Accounts[Account_Code], tbl_Accounts[Type])</f>
        <v>Revenue</v>
      </c>
      <c r="S978" s="25" t="str">
        <f>_xlfn.XLOOKUP(tbl_Ledger[[#This Row],[Account_Code]], tbl_Accounts[Account_Code], tbl_Accounts[PL_Bucket])</f>
        <v>Revenue</v>
      </c>
      <c r="T978" s="25">
        <f t="shared" si="15"/>
        <v>50100</v>
      </c>
    </row>
    <row r="979" spans="1:20">
      <c r="A979" t="s">
        <v>2623</v>
      </c>
      <c r="B979" s="7">
        <v>45902</v>
      </c>
      <c r="C979" t="s">
        <v>93</v>
      </c>
      <c r="D979" t="s">
        <v>94</v>
      </c>
      <c r="E979" t="s">
        <v>95</v>
      </c>
      <c r="F979" s="12" t="s">
        <v>24</v>
      </c>
      <c r="G979" t="s">
        <v>25</v>
      </c>
      <c r="H979" t="s">
        <v>2624</v>
      </c>
      <c r="I979" t="s">
        <v>71</v>
      </c>
      <c r="J979" s="6">
        <v>30000</v>
      </c>
      <c r="K979" t="s">
        <v>3</v>
      </c>
      <c r="L979" t="s">
        <v>2625</v>
      </c>
      <c r="M979" t="s">
        <v>3</v>
      </c>
      <c r="N979" s="25" t="str">
        <f>TEXT(tbl_Ledger[[#This Row],[Date]],"yyyy-mm")</f>
        <v>2025-09</v>
      </c>
      <c r="O979" s="25" t="str">
        <f>TEXT(tbl_Ledger[[#This Row],[Date]],"yyyy-mm") &amp; TRIM(tbl_Ledger[[#This Row],[Currency]])</f>
        <v>2025-09NGN</v>
      </c>
      <c r="P979" s="25">
        <f>_xlfn.XLOOKUP(tbl_Ledger[[#This Row],[Key]], tbl_FX[Key], tbl_FX[Rate_to_NGN])</f>
        <v>1</v>
      </c>
      <c r="Q979" s="37">
        <f>IF(tbl_Ledger[[#This Row],[Account_Type]]="Expense",-ABS(tbl_Ledger[[#This Row],[Amount]]*tbl_Ledger[[#This Row],[Rate_to_NGN]]),tbl_Ledger[[#This Row],[Amount]]*tbl_Ledger[[#This Row],[Rate_to_NGN]])</f>
        <v>30000</v>
      </c>
      <c r="R979" s="25" t="str">
        <f>_xlfn.XLOOKUP(tbl_Ledger[[#This Row],[Account_Code]], tbl_Accounts[Account_Code], tbl_Accounts[Type])</f>
        <v>Revenue</v>
      </c>
      <c r="S979" s="25" t="str">
        <f>_xlfn.XLOOKUP(tbl_Ledger[[#This Row],[Account_Code]], tbl_Accounts[Account_Code], tbl_Accounts[PL_Bucket])</f>
        <v>Revenue</v>
      </c>
      <c r="T979" s="25">
        <f t="shared" si="15"/>
        <v>30000</v>
      </c>
    </row>
    <row r="980" spans="1:20">
      <c r="A980" t="s">
        <v>2626</v>
      </c>
      <c r="B980" s="7">
        <v>45902</v>
      </c>
      <c r="C980" t="s">
        <v>93</v>
      </c>
      <c r="D980" t="s">
        <v>94</v>
      </c>
      <c r="E980" t="s">
        <v>99</v>
      </c>
      <c r="F980" s="12" t="s">
        <v>24</v>
      </c>
      <c r="G980" t="s">
        <v>25</v>
      </c>
      <c r="H980" t="s">
        <v>2627</v>
      </c>
      <c r="I980" t="s">
        <v>71</v>
      </c>
      <c r="J980" s="6">
        <v>32900</v>
      </c>
      <c r="K980" t="s">
        <v>3</v>
      </c>
      <c r="L980" t="s">
        <v>2628</v>
      </c>
      <c r="M980" t="s">
        <v>3</v>
      </c>
      <c r="N980" s="25" t="str">
        <f>TEXT(tbl_Ledger[[#This Row],[Date]],"yyyy-mm")</f>
        <v>2025-09</v>
      </c>
      <c r="O980" s="25" t="str">
        <f>TEXT(tbl_Ledger[[#This Row],[Date]],"yyyy-mm") &amp; TRIM(tbl_Ledger[[#This Row],[Currency]])</f>
        <v>2025-09NGN</v>
      </c>
      <c r="P980" s="25">
        <f>_xlfn.XLOOKUP(tbl_Ledger[[#This Row],[Key]], tbl_FX[Key], tbl_FX[Rate_to_NGN])</f>
        <v>1</v>
      </c>
      <c r="Q980" s="37">
        <f>IF(tbl_Ledger[[#This Row],[Account_Type]]="Expense",-ABS(tbl_Ledger[[#This Row],[Amount]]*tbl_Ledger[[#This Row],[Rate_to_NGN]]),tbl_Ledger[[#This Row],[Amount]]*tbl_Ledger[[#This Row],[Rate_to_NGN]])</f>
        <v>32900</v>
      </c>
      <c r="R980" s="25" t="str">
        <f>_xlfn.XLOOKUP(tbl_Ledger[[#This Row],[Account_Code]], tbl_Accounts[Account_Code], tbl_Accounts[Type])</f>
        <v>Revenue</v>
      </c>
      <c r="S980" s="25" t="str">
        <f>_xlfn.XLOOKUP(tbl_Ledger[[#This Row],[Account_Code]], tbl_Accounts[Account_Code], tbl_Accounts[PL_Bucket])</f>
        <v>Revenue</v>
      </c>
      <c r="T980" s="25">
        <f t="shared" si="15"/>
        <v>32900</v>
      </c>
    </row>
    <row r="981" spans="1:20">
      <c r="A981" t="s">
        <v>2629</v>
      </c>
      <c r="B981" s="7">
        <v>45902</v>
      </c>
      <c r="C981" t="s">
        <v>93</v>
      </c>
      <c r="D981" t="s">
        <v>94</v>
      </c>
      <c r="E981" t="s">
        <v>160</v>
      </c>
      <c r="F981" s="12" t="s">
        <v>24</v>
      </c>
      <c r="G981" t="s">
        <v>25</v>
      </c>
      <c r="H981" t="s">
        <v>2630</v>
      </c>
      <c r="I981" t="s">
        <v>71</v>
      </c>
      <c r="J981" s="6">
        <v>30300</v>
      </c>
      <c r="K981" t="s">
        <v>3</v>
      </c>
      <c r="L981" t="s">
        <v>2631</v>
      </c>
      <c r="M981" t="s">
        <v>3</v>
      </c>
      <c r="N981" s="25" t="str">
        <f>TEXT(tbl_Ledger[[#This Row],[Date]],"yyyy-mm")</f>
        <v>2025-09</v>
      </c>
      <c r="O981" s="25" t="str">
        <f>TEXT(tbl_Ledger[[#This Row],[Date]],"yyyy-mm") &amp; TRIM(tbl_Ledger[[#This Row],[Currency]])</f>
        <v>2025-09NGN</v>
      </c>
      <c r="P981" s="25">
        <f>_xlfn.XLOOKUP(tbl_Ledger[[#This Row],[Key]], tbl_FX[Key], tbl_FX[Rate_to_NGN])</f>
        <v>1</v>
      </c>
      <c r="Q981" s="37">
        <f>IF(tbl_Ledger[[#This Row],[Account_Type]]="Expense",-ABS(tbl_Ledger[[#This Row],[Amount]]*tbl_Ledger[[#This Row],[Rate_to_NGN]]),tbl_Ledger[[#This Row],[Amount]]*tbl_Ledger[[#This Row],[Rate_to_NGN]])</f>
        <v>30300</v>
      </c>
      <c r="R981" s="25" t="str">
        <f>_xlfn.XLOOKUP(tbl_Ledger[[#This Row],[Account_Code]], tbl_Accounts[Account_Code], tbl_Accounts[Type])</f>
        <v>Revenue</v>
      </c>
      <c r="S981" s="25" t="str">
        <f>_xlfn.XLOOKUP(tbl_Ledger[[#This Row],[Account_Code]], tbl_Accounts[Account_Code], tbl_Accounts[PL_Bucket])</f>
        <v>Revenue</v>
      </c>
      <c r="T981" s="25">
        <f t="shared" si="15"/>
        <v>30300</v>
      </c>
    </row>
    <row r="982" spans="1:20">
      <c r="A982" t="s">
        <v>2632</v>
      </c>
      <c r="B982" s="7">
        <v>45902</v>
      </c>
      <c r="C982" t="s">
        <v>93</v>
      </c>
      <c r="D982" t="s">
        <v>94</v>
      </c>
      <c r="E982" t="s">
        <v>107</v>
      </c>
      <c r="F982" s="12" t="s">
        <v>24</v>
      </c>
      <c r="G982" t="s">
        <v>25</v>
      </c>
      <c r="H982" t="s">
        <v>2633</v>
      </c>
      <c r="I982" t="s">
        <v>71</v>
      </c>
      <c r="J982" s="6">
        <v>28500</v>
      </c>
      <c r="K982" t="s">
        <v>3</v>
      </c>
      <c r="L982" t="s">
        <v>2634</v>
      </c>
      <c r="M982" t="s">
        <v>3</v>
      </c>
      <c r="N982" s="25" t="str">
        <f>TEXT(tbl_Ledger[[#This Row],[Date]],"yyyy-mm")</f>
        <v>2025-09</v>
      </c>
      <c r="O982" s="25" t="str">
        <f>TEXT(tbl_Ledger[[#This Row],[Date]],"yyyy-mm") &amp; TRIM(tbl_Ledger[[#This Row],[Currency]])</f>
        <v>2025-09NGN</v>
      </c>
      <c r="P982" s="25">
        <f>_xlfn.XLOOKUP(tbl_Ledger[[#This Row],[Key]], tbl_FX[Key], tbl_FX[Rate_to_NGN])</f>
        <v>1</v>
      </c>
      <c r="Q982" s="37">
        <f>IF(tbl_Ledger[[#This Row],[Account_Type]]="Expense",-ABS(tbl_Ledger[[#This Row],[Amount]]*tbl_Ledger[[#This Row],[Rate_to_NGN]]),tbl_Ledger[[#This Row],[Amount]]*tbl_Ledger[[#This Row],[Rate_to_NGN]])</f>
        <v>28500</v>
      </c>
      <c r="R982" s="25" t="str">
        <f>_xlfn.XLOOKUP(tbl_Ledger[[#This Row],[Account_Code]], tbl_Accounts[Account_Code], tbl_Accounts[Type])</f>
        <v>Revenue</v>
      </c>
      <c r="S982" s="25" t="str">
        <f>_xlfn.XLOOKUP(tbl_Ledger[[#This Row],[Account_Code]], tbl_Accounts[Account_Code], tbl_Accounts[PL_Bucket])</f>
        <v>Revenue</v>
      </c>
      <c r="T982" s="25">
        <f t="shared" si="15"/>
        <v>28500</v>
      </c>
    </row>
    <row r="983" spans="1:20">
      <c r="A983" t="s">
        <v>2635</v>
      </c>
      <c r="B983" s="7">
        <v>45902</v>
      </c>
      <c r="C983" t="s">
        <v>93</v>
      </c>
      <c r="D983" t="s">
        <v>111</v>
      </c>
      <c r="E983" t="s">
        <v>112</v>
      </c>
      <c r="F983" s="12" t="s">
        <v>24</v>
      </c>
      <c r="G983" t="s">
        <v>25</v>
      </c>
      <c r="H983" t="s">
        <v>2636</v>
      </c>
      <c r="I983" t="s">
        <v>71</v>
      </c>
      <c r="J983" s="6">
        <v>49200</v>
      </c>
      <c r="K983" t="s">
        <v>3</v>
      </c>
      <c r="L983" t="s">
        <v>2637</v>
      </c>
      <c r="M983" t="s">
        <v>3</v>
      </c>
      <c r="N983" s="25" t="str">
        <f>TEXT(tbl_Ledger[[#This Row],[Date]],"yyyy-mm")</f>
        <v>2025-09</v>
      </c>
      <c r="O983" s="25" t="str">
        <f>TEXT(tbl_Ledger[[#This Row],[Date]],"yyyy-mm") &amp; TRIM(tbl_Ledger[[#This Row],[Currency]])</f>
        <v>2025-09NGN</v>
      </c>
      <c r="P983" s="25">
        <f>_xlfn.XLOOKUP(tbl_Ledger[[#This Row],[Key]], tbl_FX[Key], tbl_FX[Rate_to_NGN])</f>
        <v>1</v>
      </c>
      <c r="Q983" s="37">
        <f>IF(tbl_Ledger[[#This Row],[Account_Type]]="Expense",-ABS(tbl_Ledger[[#This Row],[Amount]]*tbl_Ledger[[#This Row],[Rate_to_NGN]]),tbl_Ledger[[#This Row],[Amount]]*tbl_Ledger[[#This Row],[Rate_to_NGN]])</f>
        <v>49200</v>
      </c>
      <c r="R983" s="25" t="str">
        <f>_xlfn.XLOOKUP(tbl_Ledger[[#This Row],[Account_Code]], tbl_Accounts[Account_Code], tbl_Accounts[Type])</f>
        <v>Revenue</v>
      </c>
      <c r="S983" s="25" t="str">
        <f>_xlfn.XLOOKUP(tbl_Ledger[[#This Row],[Account_Code]], tbl_Accounts[Account_Code], tbl_Accounts[PL_Bucket])</f>
        <v>Revenue</v>
      </c>
      <c r="T983" s="25">
        <f t="shared" si="15"/>
        <v>49200</v>
      </c>
    </row>
    <row r="984" spans="1:20">
      <c r="A984" t="s">
        <v>2638</v>
      </c>
      <c r="B984" s="7">
        <v>45902</v>
      </c>
      <c r="C984" t="s">
        <v>93</v>
      </c>
      <c r="D984" t="s">
        <v>111</v>
      </c>
      <c r="E984" t="s">
        <v>116</v>
      </c>
      <c r="F984" s="12" t="s">
        <v>24</v>
      </c>
      <c r="G984" t="s">
        <v>25</v>
      </c>
      <c r="H984" t="s">
        <v>2639</v>
      </c>
      <c r="I984" t="s">
        <v>71</v>
      </c>
      <c r="J984" s="6">
        <v>51800</v>
      </c>
      <c r="K984" t="s">
        <v>3</v>
      </c>
      <c r="L984" t="s">
        <v>2637</v>
      </c>
      <c r="M984" t="s">
        <v>3</v>
      </c>
      <c r="N984" s="25" t="str">
        <f>TEXT(tbl_Ledger[[#This Row],[Date]],"yyyy-mm")</f>
        <v>2025-09</v>
      </c>
      <c r="O984" s="25" t="str">
        <f>TEXT(tbl_Ledger[[#This Row],[Date]],"yyyy-mm") &amp; TRIM(tbl_Ledger[[#This Row],[Currency]])</f>
        <v>2025-09NGN</v>
      </c>
      <c r="P984" s="25">
        <f>_xlfn.XLOOKUP(tbl_Ledger[[#This Row],[Key]], tbl_FX[Key], tbl_FX[Rate_to_NGN])</f>
        <v>1</v>
      </c>
      <c r="Q984" s="37">
        <f>IF(tbl_Ledger[[#This Row],[Account_Type]]="Expense",-ABS(tbl_Ledger[[#This Row],[Amount]]*tbl_Ledger[[#This Row],[Rate_to_NGN]]),tbl_Ledger[[#This Row],[Amount]]*tbl_Ledger[[#This Row],[Rate_to_NGN]])</f>
        <v>51800</v>
      </c>
      <c r="R984" s="25" t="str">
        <f>_xlfn.XLOOKUP(tbl_Ledger[[#This Row],[Account_Code]], tbl_Accounts[Account_Code], tbl_Accounts[Type])</f>
        <v>Revenue</v>
      </c>
      <c r="S984" s="25" t="str">
        <f>_xlfn.XLOOKUP(tbl_Ledger[[#This Row],[Account_Code]], tbl_Accounts[Account_Code], tbl_Accounts[PL_Bucket])</f>
        <v>Revenue</v>
      </c>
      <c r="T984" s="25">
        <f t="shared" si="15"/>
        <v>51800</v>
      </c>
    </row>
    <row r="985" spans="1:20">
      <c r="A985" t="s">
        <v>2640</v>
      </c>
      <c r="B985" s="7">
        <v>45902</v>
      </c>
      <c r="C985" t="s">
        <v>93</v>
      </c>
      <c r="D985" t="s">
        <v>111</v>
      </c>
      <c r="E985" t="s">
        <v>119</v>
      </c>
      <c r="F985" s="12" t="s">
        <v>24</v>
      </c>
      <c r="G985" t="s">
        <v>25</v>
      </c>
      <c r="H985" t="s">
        <v>2641</v>
      </c>
      <c r="I985" t="s">
        <v>71</v>
      </c>
      <c r="J985" s="6">
        <v>48500</v>
      </c>
      <c r="K985" t="s">
        <v>3</v>
      </c>
      <c r="L985" t="s">
        <v>2637</v>
      </c>
      <c r="M985" t="s">
        <v>3</v>
      </c>
      <c r="N985" s="25" t="str">
        <f>TEXT(tbl_Ledger[[#This Row],[Date]],"yyyy-mm")</f>
        <v>2025-09</v>
      </c>
      <c r="O985" s="25" t="str">
        <f>TEXT(tbl_Ledger[[#This Row],[Date]],"yyyy-mm") &amp; TRIM(tbl_Ledger[[#This Row],[Currency]])</f>
        <v>2025-09NGN</v>
      </c>
      <c r="P985" s="25">
        <f>_xlfn.XLOOKUP(tbl_Ledger[[#This Row],[Key]], tbl_FX[Key], tbl_FX[Rate_to_NGN])</f>
        <v>1</v>
      </c>
      <c r="Q985" s="37">
        <f>IF(tbl_Ledger[[#This Row],[Account_Type]]="Expense",-ABS(tbl_Ledger[[#This Row],[Amount]]*tbl_Ledger[[#This Row],[Rate_to_NGN]]),tbl_Ledger[[#This Row],[Amount]]*tbl_Ledger[[#This Row],[Rate_to_NGN]])</f>
        <v>48500</v>
      </c>
      <c r="R985" s="25" t="str">
        <f>_xlfn.XLOOKUP(tbl_Ledger[[#This Row],[Account_Code]], tbl_Accounts[Account_Code], tbl_Accounts[Type])</f>
        <v>Revenue</v>
      </c>
      <c r="S985" s="25" t="str">
        <f>_xlfn.XLOOKUP(tbl_Ledger[[#This Row],[Account_Code]], tbl_Accounts[Account_Code], tbl_Accounts[PL_Bucket])</f>
        <v>Revenue</v>
      </c>
      <c r="T985" s="25">
        <f t="shared" si="15"/>
        <v>48500</v>
      </c>
    </row>
    <row r="986" spans="1:20">
      <c r="A986" t="s">
        <v>2642</v>
      </c>
      <c r="B986" s="7">
        <v>45902</v>
      </c>
      <c r="C986" t="s">
        <v>93</v>
      </c>
      <c r="D986" t="s">
        <v>111</v>
      </c>
      <c r="E986" t="s">
        <v>170</v>
      </c>
      <c r="F986" s="12" t="s">
        <v>24</v>
      </c>
      <c r="G986" t="s">
        <v>25</v>
      </c>
      <c r="H986" t="s">
        <v>2643</v>
      </c>
      <c r="I986" t="s">
        <v>71</v>
      </c>
      <c r="J986" s="6">
        <v>53300</v>
      </c>
      <c r="K986" t="s">
        <v>3</v>
      </c>
      <c r="L986" t="s">
        <v>2637</v>
      </c>
      <c r="M986" t="s">
        <v>3</v>
      </c>
      <c r="N986" s="25" t="str">
        <f>TEXT(tbl_Ledger[[#This Row],[Date]],"yyyy-mm")</f>
        <v>2025-09</v>
      </c>
      <c r="O986" s="25" t="str">
        <f>TEXT(tbl_Ledger[[#This Row],[Date]],"yyyy-mm") &amp; TRIM(tbl_Ledger[[#This Row],[Currency]])</f>
        <v>2025-09NGN</v>
      </c>
      <c r="P986" s="25">
        <f>_xlfn.XLOOKUP(tbl_Ledger[[#This Row],[Key]], tbl_FX[Key], tbl_FX[Rate_to_NGN])</f>
        <v>1</v>
      </c>
      <c r="Q986" s="37">
        <f>IF(tbl_Ledger[[#This Row],[Account_Type]]="Expense",-ABS(tbl_Ledger[[#This Row],[Amount]]*tbl_Ledger[[#This Row],[Rate_to_NGN]]),tbl_Ledger[[#This Row],[Amount]]*tbl_Ledger[[#This Row],[Rate_to_NGN]])</f>
        <v>53300</v>
      </c>
      <c r="R986" s="25" t="str">
        <f>_xlfn.XLOOKUP(tbl_Ledger[[#This Row],[Account_Code]], tbl_Accounts[Account_Code], tbl_Accounts[Type])</f>
        <v>Revenue</v>
      </c>
      <c r="S986" s="25" t="str">
        <f>_xlfn.XLOOKUP(tbl_Ledger[[#This Row],[Account_Code]], tbl_Accounts[Account_Code], tbl_Accounts[PL_Bucket])</f>
        <v>Revenue</v>
      </c>
      <c r="T986" s="25">
        <f t="shared" si="15"/>
        <v>53300</v>
      </c>
    </row>
    <row r="987" spans="1:20">
      <c r="A987" t="s">
        <v>2644</v>
      </c>
      <c r="B987" s="7">
        <v>45902</v>
      </c>
      <c r="C987" t="s">
        <v>93</v>
      </c>
      <c r="D987" t="s">
        <v>111</v>
      </c>
      <c r="E987" t="s">
        <v>122</v>
      </c>
      <c r="F987" s="12" t="s">
        <v>24</v>
      </c>
      <c r="G987" t="s">
        <v>25</v>
      </c>
      <c r="H987" t="s">
        <v>2645</v>
      </c>
      <c r="I987" t="s">
        <v>71</v>
      </c>
      <c r="J987" s="6">
        <v>51800</v>
      </c>
      <c r="K987" t="s">
        <v>3</v>
      </c>
      <c r="L987" t="s">
        <v>2646</v>
      </c>
      <c r="M987" t="s">
        <v>3</v>
      </c>
      <c r="N987" s="25" t="str">
        <f>TEXT(tbl_Ledger[[#This Row],[Date]],"yyyy-mm")</f>
        <v>2025-09</v>
      </c>
      <c r="O987" s="25" t="str">
        <f>TEXT(tbl_Ledger[[#This Row],[Date]],"yyyy-mm") &amp; TRIM(tbl_Ledger[[#This Row],[Currency]])</f>
        <v>2025-09NGN</v>
      </c>
      <c r="P987" s="25">
        <f>_xlfn.XLOOKUP(tbl_Ledger[[#This Row],[Key]], tbl_FX[Key], tbl_FX[Rate_to_NGN])</f>
        <v>1</v>
      </c>
      <c r="Q987" s="37">
        <f>IF(tbl_Ledger[[#This Row],[Account_Type]]="Expense",-ABS(tbl_Ledger[[#This Row],[Amount]]*tbl_Ledger[[#This Row],[Rate_to_NGN]]),tbl_Ledger[[#This Row],[Amount]]*tbl_Ledger[[#This Row],[Rate_to_NGN]])</f>
        <v>51800</v>
      </c>
      <c r="R987" s="25" t="str">
        <f>_xlfn.XLOOKUP(tbl_Ledger[[#This Row],[Account_Code]], tbl_Accounts[Account_Code], tbl_Accounts[Type])</f>
        <v>Revenue</v>
      </c>
      <c r="S987" s="25" t="str">
        <f>_xlfn.XLOOKUP(tbl_Ledger[[#This Row],[Account_Code]], tbl_Accounts[Account_Code], tbl_Accounts[PL_Bucket])</f>
        <v>Revenue</v>
      </c>
      <c r="T987" s="25">
        <f t="shared" si="15"/>
        <v>51800</v>
      </c>
    </row>
    <row r="988" spans="1:20">
      <c r="A988" t="s">
        <v>2647</v>
      </c>
      <c r="B988" s="7">
        <v>45902</v>
      </c>
      <c r="C988" t="s">
        <v>126</v>
      </c>
      <c r="D988" t="s">
        <v>88</v>
      </c>
      <c r="E988" t="s">
        <v>127</v>
      </c>
      <c r="F988" s="12" t="s">
        <v>29</v>
      </c>
      <c r="G988" t="s">
        <v>30</v>
      </c>
      <c r="H988" t="s">
        <v>2648</v>
      </c>
      <c r="I988" t="s">
        <v>71</v>
      </c>
      <c r="J988" s="6">
        <v>48200</v>
      </c>
      <c r="K988" t="s">
        <v>129</v>
      </c>
      <c r="L988" t="s">
        <v>2649</v>
      </c>
      <c r="M988" t="s">
        <v>3</v>
      </c>
      <c r="N988" s="25" t="str">
        <f>TEXT(tbl_Ledger[[#This Row],[Date]],"yyyy-mm")</f>
        <v>2025-09</v>
      </c>
      <c r="O988" s="25" t="str">
        <f>TEXT(tbl_Ledger[[#This Row],[Date]],"yyyy-mm") &amp; TRIM(tbl_Ledger[[#This Row],[Currency]])</f>
        <v>2025-09NGN</v>
      </c>
      <c r="P988" s="25">
        <f>_xlfn.XLOOKUP(tbl_Ledger[[#This Row],[Key]], tbl_FX[Key], tbl_FX[Rate_to_NGN])</f>
        <v>1</v>
      </c>
      <c r="Q988" s="37">
        <f>IF(tbl_Ledger[[#This Row],[Account_Type]]="Expense",-ABS(tbl_Ledger[[#This Row],[Amount]]*tbl_Ledger[[#This Row],[Rate_to_NGN]]),tbl_Ledger[[#This Row],[Amount]]*tbl_Ledger[[#This Row],[Rate_to_NGN]])</f>
        <v>48200</v>
      </c>
      <c r="R988" s="25" t="str">
        <f>_xlfn.XLOOKUP(tbl_Ledger[[#This Row],[Account_Code]], tbl_Accounts[Account_Code], tbl_Accounts[Type])</f>
        <v>Revenue</v>
      </c>
      <c r="S988" s="25" t="str">
        <f>_xlfn.XLOOKUP(tbl_Ledger[[#This Row],[Account_Code]], tbl_Accounts[Account_Code], tbl_Accounts[PL_Bucket])</f>
        <v>Revenue</v>
      </c>
      <c r="T988" s="25">
        <f t="shared" si="15"/>
        <v>48200</v>
      </c>
    </row>
    <row r="989" spans="1:20">
      <c r="A989" t="s">
        <v>2650</v>
      </c>
      <c r="B989" s="7">
        <v>45902</v>
      </c>
      <c r="C989" t="s">
        <v>126</v>
      </c>
      <c r="D989" t="s">
        <v>88</v>
      </c>
      <c r="E989" t="s">
        <v>132</v>
      </c>
      <c r="F989" s="12" t="s">
        <v>29</v>
      </c>
      <c r="G989" t="s">
        <v>30</v>
      </c>
      <c r="H989" t="s">
        <v>2651</v>
      </c>
      <c r="I989" t="s">
        <v>71</v>
      </c>
      <c r="J989" s="6">
        <v>54200</v>
      </c>
      <c r="K989" t="s">
        <v>134</v>
      </c>
      <c r="L989" t="s">
        <v>2649</v>
      </c>
      <c r="M989" t="s">
        <v>3</v>
      </c>
      <c r="N989" s="25" t="str">
        <f>TEXT(tbl_Ledger[[#This Row],[Date]],"yyyy-mm")</f>
        <v>2025-09</v>
      </c>
      <c r="O989" s="25" t="str">
        <f>TEXT(tbl_Ledger[[#This Row],[Date]],"yyyy-mm") &amp; TRIM(tbl_Ledger[[#This Row],[Currency]])</f>
        <v>2025-09NGN</v>
      </c>
      <c r="P989" s="25">
        <f>_xlfn.XLOOKUP(tbl_Ledger[[#This Row],[Key]], tbl_FX[Key], tbl_FX[Rate_to_NGN])</f>
        <v>1</v>
      </c>
      <c r="Q989" s="37">
        <f>IF(tbl_Ledger[[#This Row],[Account_Type]]="Expense",-ABS(tbl_Ledger[[#This Row],[Amount]]*tbl_Ledger[[#This Row],[Rate_to_NGN]]),tbl_Ledger[[#This Row],[Amount]]*tbl_Ledger[[#This Row],[Rate_to_NGN]])</f>
        <v>54200</v>
      </c>
      <c r="R989" s="25" t="str">
        <f>_xlfn.XLOOKUP(tbl_Ledger[[#This Row],[Account_Code]], tbl_Accounts[Account_Code], tbl_Accounts[Type])</f>
        <v>Revenue</v>
      </c>
      <c r="S989" s="25" t="str">
        <f>_xlfn.XLOOKUP(tbl_Ledger[[#This Row],[Account_Code]], tbl_Accounts[Account_Code], tbl_Accounts[PL_Bucket])</f>
        <v>Revenue</v>
      </c>
      <c r="T989" s="25">
        <f t="shared" si="15"/>
        <v>54200</v>
      </c>
    </row>
    <row r="990" spans="1:20">
      <c r="A990" t="s">
        <v>2652</v>
      </c>
      <c r="B990" s="7">
        <v>45902</v>
      </c>
      <c r="C990" t="s">
        <v>126</v>
      </c>
      <c r="D990" t="s">
        <v>88</v>
      </c>
      <c r="E990" t="s">
        <v>140</v>
      </c>
      <c r="F990" s="12" t="s">
        <v>29</v>
      </c>
      <c r="G990" t="s">
        <v>30</v>
      </c>
      <c r="H990" t="s">
        <v>2653</v>
      </c>
      <c r="I990" t="s">
        <v>71</v>
      </c>
      <c r="J990" s="6">
        <v>55000</v>
      </c>
      <c r="K990" t="s">
        <v>3</v>
      </c>
      <c r="L990" t="s">
        <v>2654</v>
      </c>
      <c r="M990" t="s">
        <v>3</v>
      </c>
      <c r="N990" s="25" t="str">
        <f>TEXT(tbl_Ledger[[#This Row],[Date]],"yyyy-mm")</f>
        <v>2025-09</v>
      </c>
      <c r="O990" s="25" t="str">
        <f>TEXT(tbl_Ledger[[#This Row],[Date]],"yyyy-mm") &amp; TRIM(tbl_Ledger[[#This Row],[Currency]])</f>
        <v>2025-09NGN</v>
      </c>
      <c r="P990" s="25">
        <f>_xlfn.XLOOKUP(tbl_Ledger[[#This Row],[Key]], tbl_FX[Key], tbl_FX[Rate_to_NGN])</f>
        <v>1</v>
      </c>
      <c r="Q990" s="37">
        <f>IF(tbl_Ledger[[#This Row],[Account_Type]]="Expense",-ABS(tbl_Ledger[[#This Row],[Amount]]*tbl_Ledger[[#This Row],[Rate_to_NGN]]),tbl_Ledger[[#This Row],[Amount]]*tbl_Ledger[[#This Row],[Rate_to_NGN]])</f>
        <v>55000</v>
      </c>
      <c r="R990" s="25" t="str">
        <f>_xlfn.XLOOKUP(tbl_Ledger[[#This Row],[Account_Code]], tbl_Accounts[Account_Code], tbl_Accounts[Type])</f>
        <v>Revenue</v>
      </c>
      <c r="S990" s="25" t="str">
        <f>_xlfn.XLOOKUP(tbl_Ledger[[#This Row],[Account_Code]], tbl_Accounts[Account_Code], tbl_Accounts[PL_Bucket])</f>
        <v>Revenue</v>
      </c>
      <c r="T990" s="25">
        <f t="shared" si="15"/>
        <v>55000</v>
      </c>
    </row>
    <row r="991" spans="1:20">
      <c r="A991" t="s">
        <v>2655</v>
      </c>
      <c r="B991" s="7">
        <v>45902</v>
      </c>
      <c r="C991" t="s">
        <v>87</v>
      </c>
      <c r="D991" t="s">
        <v>88</v>
      </c>
      <c r="E991" t="s">
        <v>3</v>
      </c>
      <c r="F991" s="12" t="s">
        <v>40</v>
      </c>
      <c r="G991" t="s">
        <v>41</v>
      </c>
      <c r="H991" t="s">
        <v>2656</v>
      </c>
      <c r="I991" t="s">
        <v>71</v>
      </c>
      <c r="J991" s="6">
        <v>-599000</v>
      </c>
      <c r="K991" t="s">
        <v>90</v>
      </c>
      <c r="L991" t="s">
        <v>2657</v>
      </c>
      <c r="M991" t="s">
        <v>3</v>
      </c>
      <c r="N991" s="25" t="str">
        <f>TEXT(tbl_Ledger[[#This Row],[Date]],"yyyy-mm")</f>
        <v>2025-09</v>
      </c>
      <c r="O991" s="25" t="str">
        <f>TEXT(tbl_Ledger[[#This Row],[Date]],"yyyy-mm") &amp; TRIM(tbl_Ledger[[#This Row],[Currency]])</f>
        <v>2025-09NGN</v>
      </c>
      <c r="P991" s="25">
        <f>_xlfn.XLOOKUP(tbl_Ledger[[#This Row],[Key]], tbl_FX[Key], tbl_FX[Rate_to_NGN])</f>
        <v>1</v>
      </c>
      <c r="Q991" s="37">
        <f>IF(tbl_Ledger[[#This Row],[Account_Type]]="Expense",-ABS(tbl_Ledger[[#This Row],[Amount]]*tbl_Ledger[[#This Row],[Rate_to_NGN]]),tbl_Ledger[[#This Row],[Amount]]*tbl_Ledger[[#This Row],[Rate_to_NGN]])</f>
        <v>-599000</v>
      </c>
      <c r="R991" s="25" t="str">
        <f>_xlfn.XLOOKUP(tbl_Ledger[[#This Row],[Account_Code]], tbl_Accounts[Account_Code], tbl_Accounts[Type])</f>
        <v>COGS</v>
      </c>
      <c r="S991" s="25" t="str">
        <f>_xlfn.XLOOKUP(tbl_Ledger[[#This Row],[Account_Code]], tbl_Accounts[Account_Code], tbl_Accounts[PL_Bucket])</f>
        <v>COGS</v>
      </c>
      <c r="T991" s="25">
        <f t="shared" si="15"/>
        <v>-599000</v>
      </c>
    </row>
    <row r="992" spans="1:20">
      <c r="A992" t="s">
        <v>2658</v>
      </c>
      <c r="B992" s="7">
        <v>45902</v>
      </c>
      <c r="C992" t="s">
        <v>87</v>
      </c>
      <c r="D992" t="s">
        <v>94</v>
      </c>
      <c r="E992" t="s">
        <v>3</v>
      </c>
      <c r="F992" s="12" t="s">
        <v>55</v>
      </c>
      <c r="G992" t="s">
        <v>56</v>
      </c>
      <c r="H992" t="s">
        <v>2659</v>
      </c>
      <c r="I992" t="s">
        <v>72</v>
      </c>
      <c r="J992" s="6">
        <v>-820</v>
      </c>
      <c r="K992" t="s">
        <v>199</v>
      </c>
      <c r="L992" t="s">
        <v>2660</v>
      </c>
      <c r="M992" t="s">
        <v>3</v>
      </c>
      <c r="N992" s="25" t="str">
        <f>TEXT(tbl_Ledger[[#This Row],[Date]],"yyyy-mm")</f>
        <v>2025-09</v>
      </c>
      <c r="O992" s="25" t="str">
        <f>TEXT(tbl_Ledger[[#This Row],[Date]],"yyyy-mm") &amp; TRIM(tbl_Ledger[[#This Row],[Currency]])</f>
        <v>2025-09USD</v>
      </c>
      <c r="P992" s="25">
        <f>_xlfn.XLOOKUP(tbl_Ledger[[#This Row],[Key]], tbl_FX[Key], tbl_FX[Rate_to_NGN])</f>
        <v>1611</v>
      </c>
      <c r="Q992" s="37">
        <f>IF(tbl_Ledger[[#This Row],[Account_Type]]="Expense",-ABS(tbl_Ledger[[#This Row],[Amount]]*tbl_Ledger[[#This Row],[Rate_to_NGN]]),tbl_Ledger[[#This Row],[Amount]]*tbl_Ledger[[#This Row],[Rate_to_NGN]])</f>
        <v>-1321020</v>
      </c>
      <c r="R992" s="25" t="str">
        <f>_xlfn.XLOOKUP(tbl_Ledger[[#This Row],[Account_Code]], tbl_Accounts[Account_Code], tbl_Accounts[Type])</f>
        <v>Opex</v>
      </c>
      <c r="S992" s="25" t="str">
        <f>_xlfn.XLOOKUP(tbl_Ledger[[#This Row],[Account_Code]], tbl_Accounts[Account_Code], tbl_Accounts[PL_Bucket])</f>
        <v>Opex</v>
      </c>
      <c r="T992" s="25">
        <f t="shared" si="15"/>
        <v>-1321020</v>
      </c>
    </row>
    <row r="993" spans="1:20">
      <c r="A993" t="s">
        <v>2661</v>
      </c>
      <c r="B993" s="7">
        <v>45903</v>
      </c>
      <c r="C993" t="s">
        <v>93</v>
      </c>
      <c r="D993" t="s">
        <v>94</v>
      </c>
      <c r="E993" t="s">
        <v>95</v>
      </c>
      <c r="F993" s="12" t="s">
        <v>24</v>
      </c>
      <c r="G993" t="s">
        <v>25</v>
      </c>
      <c r="H993" t="s">
        <v>2662</v>
      </c>
      <c r="I993" t="s">
        <v>71</v>
      </c>
      <c r="J993" s="6">
        <v>29000</v>
      </c>
      <c r="K993" t="s">
        <v>3</v>
      </c>
      <c r="L993" t="s">
        <v>2663</v>
      </c>
      <c r="M993" t="s">
        <v>3</v>
      </c>
      <c r="N993" s="25" t="str">
        <f>TEXT(tbl_Ledger[[#This Row],[Date]],"yyyy-mm")</f>
        <v>2025-09</v>
      </c>
      <c r="O993" s="25" t="str">
        <f>TEXT(tbl_Ledger[[#This Row],[Date]],"yyyy-mm") &amp; TRIM(tbl_Ledger[[#This Row],[Currency]])</f>
        <v>2025-09NGN</v>
      </c>
      <c r="P993" s="25">
        <f>_xlfn.XLOOKUP(tbl_Ledger[[#This Row],[Key]], tbl_FX[Key], tbl_FX[Rate_to_NGN])</f>
        <v>1</v>
      </c>
      <c r="Q993" s="37">
        <f>IF(tbl_Ledger[[#This Row],[Account_Type]]="Expense",-ABS(tbl_Ledger[[#This Row],[Amount]]*tbl_Ledger[[#This Row],[Rate_to_NGN]]),tbl_Ledger[[#This Row],[Amount]]*tbl_Ledger[[#This Row],[Rate_to_NGN]])</f>
        <v>29000</v>
      </c>
      <c r="R993" s="25" t="str">
        <f>_xlfn.XLOOKUP(tbl_Ledger[[#This Row],[Account_Code]], tbl_Accounts[Account_Code], tbl_Accounts[Type])</f>
        <v>Revenue</v>
      </c>
      <c r="S993" s="25" t="str">
        <f>_xlfn.XLOOKUP(tbl_Ledger[[#This Row],[Account_Code]], tbl_Accounts[Account_Code], tbl_Accounts[PL_Bucket])</f>
        <v>Revenue</v>
      </c>
      <c r="T993" s="25">
        <f t="shared" si="15"/>
        <v>29000</v>
      </c>
    </row>
    <row r="994" spans="1:20">
      <c r="A994" t="s">
        <v>2664</v>
      </c>
      <c r="B994" s="7">
        <v>45903</v>
      </c>
      <c r="C994" t="s">
        <v>93</v>
      </c>
      <c r="D994" t="s">
        <v>94</v>
      </c>
      <c r="E994" t="s">
        <v>99</v>
      </c>
      <c r="F994" s="12" t="s">
        <v>24</v>
      </c>
      <c r="G994" t="s">
        <v>25</v>
      </c>
      <c r="H994" t="s">
        <v>2665</v>
      </c>
      <c r="I994" t="s">
        <v>71</v>
      </c>
      <c r="J994" s="6">
        <v>31100</v>
      </c>
      <c r="K994" t="s">
        <v>3</v>
      </c>
      <c r="L994" t="s">
        <v>2666</v>
      </c>
      <c r="M994" t="s">
        <v>3</v>
      </c>
      <c r="N994" s="25" t="str">
        <f>TEXT(tbl_Ledger[[#This Row],[Date]],"yyyy-mm")</f>
        <v>2025-09</v>
      </c>
      <c r="O994" s="25" t="str">
        <f>TEXT(tbl_Ledger[[#This Row],[Date]],"yyyy-mm") &amp; TRIM(tbl_Ledger[[#This Row],[Currency]])</f>
        <v>2025-09NGN</v>
      </c>
      <c r="P994" s="25">
        <f>_xlfn.XLOOKUP(tbl_Ledger[[#This Row],[Key]], tbl_FX[Key], tbl_FX[Rate_to_NGN])</f>
        <v>1</v>
      </c>
      <c r="Q994" s="37">
        <f>IF(tbl_Ledger[[#This Row],[Account_Type]]="Expense",-ABS(tbl_Ledger[[#This Row],[Amount]]*tbl_Ledger[[#This Row],[Rate_to_NGN]]),tbl_Ledger[[#This Row],[Amount]]*tbl_Ledger[[#This Row],[Rate_to_NGN]])</f>
        <v>31100</v>
      </c>
      <c r="R994" s="25" t="str">
        <f>_xlfn.XLOOKUP(tbl_Ledger[[#This Row],[Account_Code]], tbl_Accounts[Account_Code], tbl_Accounts[Type])</f>
        <v>Revenue</v>
      </c>
      <c r="S994" s="25" t="str">
        <f>_xlfn.XLOOKUP(tbl_Ledger[[#This Row],[Account_Code]], tbl_Accounts[Account_Code], tbl_Accounts[PL_Bucket])</f>
        <v>Revenue</v>
      </c>
      <c r="T994" s="25">
        <f t="shared" si="15"/>
        <v>31100</v>
      </c>
    </row>
    <row r="995" spans="1:20">
      <c r="A995" t="s">
        <v>2667</v>
      </c>
      <c r="B995" s="7">
        <v>45903</v>
      </c>
      <c r="C995" t="s">
        <v>93</v>
      </c>
      <c r="D995" t="s">
        <v>94</v>
      </c>
      <c r="E995" t="s">
        <v>103</v>
      </c>
      <c r="F995" s="12" t="s">
        <v>24</v>
      </c>
      <c r="G995" t="s">
        <v>25</v>
      </c>
      <c r="H995" t="s">
        <v>2668</v>
      </c>
      <c r="I995" t="s">
        <v>71</v>
      </c>
      <c r="J995" s="6">
        <v>32300</v>
      </c>
      <c r="K995" t="s">
        <v>3</v>
      </c>
      <c r="L995" t="s">
        <v>2669</v>
      </c>
      <c r="M995" t="s">
        <v>3</v>
      </c>
      <c r="N995" s="25" t="str">
        <f>TEXT(tbl_Ledger[[#This Row],[Date]],"yyyy-mm")</f>
        <v>2025-09</v>
      </c>
      <c r="O995" s="25" t="str">
        <f>TEXT(tbl_Ledger[[#This Row],[Date]],"yyyy-mm") &amp; TRIM(tbl_Ledger[[#This Row],[Currency]])</f>
        <v>2025-09NGN</v>
      </c>
      <c r="P995" s="25">
        <f>_xlfn.XLOOKUP(tbl_Ledger[[#This Row],[Key]], tbl_FX[Key], tbl_FX[Rate_to_NGN])</f>
        <v>1</v>
      </c>
      <c r="Q995" s="37">
        <f>IF(tbl_Ledger[[#This Row],[Account_Type]]="Expense",-ABS(tbl_Ledger[[#This Row],[Amount]]*tbl_Ledger[[#This Row],[Rate_to_NGN]]),tbl_Ledger[[#This Row],[Amount]]*tbl_Ledger[[#This Row],[Rate_to_NGN]])</f>
        <v>32300</v>
      </c>
      <c r="R995" s="25" t="str">
        <f>_xlfn.XLOOKUP(tbl_Ledger[[#This Row],[Account_Code]], tbl_Accounts[Account_Code], tbl_Accounts[Type])</f>
        <v>Revenue</v>
      </c>
      <c r="S995" s="25" t="str">
        <f>_xlfn.XLOOKUP(tbl_Ledger[[#This Row],[Account_Code]], tbl_Accounts[Account_Code], tbl_Accounts[PL_Bucket])</f>
        <v>Revenue</v>
      </c>
      <c r="T995" s="25">
        <f t="shared" si="15"/>
        <v>32300</v>
      </c>
    </row>
    <row r="996" spans="1:20">
      <c r="A996" t="s">
        <v>2670</v>
      </c>
      <c r="B996" s="7">
        <v>45903</v>
      </c>
      <c r="C996" t="s">
        <v>93</v>
      </c>
      <c r="D996" t="s">
        <v>111</v>
      </c>
      <c r="E996" t="s">
        <v>112</v>
      </c>
      <c r="F996" s="12" t="s">
        <v>24</v>
      </c>
      <c r="G996" t="s">
        <v>25</v>
      </c>
      <c r="H996" t="s">
        <v>2671</v>
      </c>
      <c r="I996" t="s">
        <v>71</v>
      </c>
      <c r="J996" s="6">
        <v>51100</v>
      </c>
      <c r="K996" t="s">
        <v>3</v>
      </c>
      <c r="L996" t="s">
        <v>2672</v>
      </c>
      <c r="M996" t="s">
        <v>3</v>
      </c>
      <c r="N996" s="25" t="str">
        <f>TEXT(tbl_Ledger[[#This Row],[Date]],"yyyy-mm")</f>
        <v>2025-09</v>
      </c>
      <c r="O996" s="25" t="str">
        <f>TEXT(tbl_Ledger[[#This Row],[Date]],"yyyy-mm") &amp; TRIM(tbl_Ledger[[#This Row],[Currency]])</f>
        <v>2025-09NGN</v>
      </c>
      <c r="P996" s="25">
        <f>_xlfn.XLOOKUP(tbl_Ledger[[#This Row],[Key]], tbl_FX[Key], tbl_FX[Rate_to_NGN])</f>
        <v>1</v>
      </c>
      <c r="Q996" s="37">
        <f>IF(tbl_Ledger[[#This Row],[Account_Type]]="Expense",-ABS(tbl_Ledger[[#This Row],[Amount]]*tbl_Ledger[[#This Row],[Rate_to_NGN]]),tbl_Ledger[[#This Row],[Amount]]*tbl_Ledger[[#This Row],[Rate_to_NGN]])</f>
        <v>51100</v>
      </c>
      <c r="R996" s="25" t="str">
        <f>_xlfn.XLOOKUP(tbl_Ledger[[#This Row],[Account_Code]], tbl_Accounts[Account_Code], tbl_Accounts[Type])</f>
        <v>Revenue</v>
      </c>
      <c r="S996" s="25" t="str">
        <f>_xlfn.XLOOKUP(tbl_Ledger[[#This Row],[Account_Code]], tbl_Accounts[Account_Code], tbl_Accounts[PL_Bucket])</f>
        <v>Revenue</v>
      </c>
      <c r="T996" s="25">
        <f t="shared" si="15"/>
        <v>51100</v>
      </c>
    </row>
    <row r="997" spans="1:20">
      <c r="A997" t="s">
        <v>2673</v>
      </c>
      <c r="B997" s="7">
        <v>45903</v>
      </c>
      <c r="C997" t="s">
        <v>93</v>
      </c>
      <c r="D997" t="s">
        <v>111</v>
      </c>
      <c r="E997" t="s">
        <v>116</v>
      </c>
      <c r="F997" s="12" t="s">
        <v>24</v>
      </c>
      <c r="G997" t="s">
        <v>25</v>
      </c>
      <c r="H997" t="s">
        <v>2674</v>
      </c>
      <c r="I997" t="s">
        <v>71</v>
      </c>
      <c r="J997" s="6">
        <v>48700</v>
      </c>
      <c r="K997" t="s">
        <v>3</v>
      </c>
      <c r="L997" t="s">
        <v>2672</v>
      </c>
      <c r="M997" t="s">
        <v>3</v>
      </c>
      <c r="N997" s="25" t="str">
        <f>TEXT(tbl_Ledger[[#This Row],[Date]],"yyyy-mm")</f>
        <v>2025-09</v>
      </c>
      <c r="O997" s="25" t="str">
        <f>TEXT(tbl_Ledger[[#This Row],[Date]],"yyyy-mm") &amp; TRIM(tbl_Ledger[[#This Row],[Currency]])</f>
        <v>2025-09NGN</v>
      </c>
      <c r="P997" s="25">
        <f>_xlfn.XLOOKUP(tbl_Ledger[[#This Row],[Key]], tbl_FX[Key], tbl_FX[Rate_to_NGN])</f>
        <v>1</v>
      </c>
      <c r="Q997" s="37">
        <f>IF(tbl_Ledger[[#This Row],[Account_Type]]="Expense",-ABS(tbl_Ledger[[#This Row],[Amount]]*tbl_Ledger[[#This Row],[Rate_to_NGN]]),tbl_Ledger[[#This Row],[Amount]]*tbl_Ledger[[#This Row],[Rate_to_NGN]])</f>
        <v>48700</v>
      </c>
      <c r="R997" s="25" t="str">
        <f>_xlfn.XLOOKUP(tbl_Ledger[[#This Row],[Account_Code]], tbl_Accounts[Account_Code], tbl_Accounts[Type])</f>
        <v>Revenue</v>
      </c>
      <c r="S997" s="25" t="str">
        <f>_xlfn.XLOOKUP(tbl_Ledger[[#This Row],[Account_Code]], tbl_Accounts[Account_Code], tbl_Accounts[PL_Bucket])</f>
        <v>Revenue</v>
      </c>
      <c r="T997" s="25">
        <f t="shared" si="15"/>
        <v>48700</v>
      </c>
    </row>
    <row r="998" spans="1:20">
      <c r="A998" t="s">
        <v>2675</v>
      </c>
      <c r="B998" s="7">
        <v>45903</v>
      </c>
      <c r="C998" t="s">
        <v>93</v>
      </c>
      <c r="D998" t="s">
        <v>111</v>
      </c>
      <c r="E998" t="s">
        <v>119</v>
      </c>
      <c r="F998" s="12" t="s">
        <v>24</v>
      </c>
      <c r="G998" t="s">
        <v>25</v>
      </c>
      <c r="H998" t="s">
        <v>2676</v>
      </c>
      <c r="I998" t="s">
        <v>71</v>
      </c>
      <c r="J998" s="6">
        <v>49500</v>
      </c>
      <c r="K998" t="s">
        <v>3</v>
      </c>
      <c r="L998" t="s">
        <v>2672</v>
      </c>
      <c r="M998" t="s">
        <v>3</v>
      </c>
      <c r="N998" s="25" t="str">
        <f>TEXT(tbl_Ledger[[#This Row],[Date]],"yyyy-mm")</f>
        <v>2025-09</v>
      </c>
      <c r="O998" s="25" t="str">
        <f>TEXT(tbl_Ledger[[#This Row],[Date]],"yyyy-mm") &amp; TRIM(tbl_Ledger[[#This Row],[Currency]])</f>
        <v>2025-09NGN</v>
      </c>
      <c r="P998" s="25">
        <f>_xlfn.XLOOKUP(tbl_Ledger[[#This Row],[Key]], tbl_FX[Key], tbl_FX[Rate_to_NGN])</f>
        <v>1</v>
      </c>
      <c r="Q998" s="37">
        <f>IF(tbl_Ledger[[#This Row],[Account_Type]]="Expense",-ABS(tbl_Ledger[[#This Row],[Amount]]*tbl_Ledger[[#This Row],[Rate_to_NGN]]),tbl_Ledger[[#This Row],[Amount]]*tbl_Ledger[[#This Row],[Rate_to_NGN]])</f>
        <v>49500</v>
      </c>
      <c r="R998" s="25" t="str">
        <f>_xlfn.XLOOKUP(tbl_Ledger[[#This Row],[Account_Code]], tbl_Accounts[Account_Code], tbl_Accounts[Type])</f>
        <v>Revenue</v>
      </c>
      <c r="S998" s="25" t="str">
        <f>_xlfn.XLOOKUP(tbl_Ledger[[#This Row],[Account_Code]], tbl_Accounts[Account_Code], tbl_Accounts[PL_Bucket])</f>
        <v>Revenue</v>
      </c>
      <c r="T998" s="25">
        <f t="shared" si="15"/>
        <v>49500</v>
      </c>
    </row>
    <row r="999" spans="1:20">
      <c r="A999" t="s">
        <v>2677</v>
      </c>
      <c r="B999" s="7">
        <v>45903</v>
      </c>
      <c r="C999" t="s">
        <v>93</v>
      </c>
      <c r="D999" t="s">
        <v>111</v>
      </c>
      <c r="E999" t="s">
        <v>170</v>
      </c>
      <c r="F999" s="12" t="s">
        <v>24</v>
      </c>
      <c r="G999" t="s">
        <v>25</v>
      </c>
      <c r="H999" t="s">
        <v>2678</v>
      </c>
      <c r="I999" t="s">
        <v>71</v>
      </c>
      <c r="J999" s="6">
        <v>48800</v>
      </c>
      <c r="K999" t="s">
        <v>3</v>
      </c>
      <c r="L999" t="s">
        <v>2672</v>
      </c>
      <c r="M999" t="s">
        <v>3</v>
      </c>
      <c r="N999" s="25" t="str">
        <f>TEXT(tbl_Ledger[[#This Row],[Date]],"yyyy-mm")</f>
        <v>2025-09</v>
      </c>
      <c r="O999" s="25" t="str">
        <f>TEXT(tbl_Ledger[[#This Row],[Date]],"yyyy-mm") &amp; TRIM(tbl_Ledger[[#This Row],[Currency]])</f>
        <v>2025-09NGN</v>
      </c>
      <c r="P999" s="25">
        <f>_xlfn.XLOOKUP(tbl_Ledger[[#This Row],[Key]], tbl_FX[Key], tbl_FX[Rate_to_NGN])</f>
        <v>1</v>
      </c>
      <c r="Q999" s="37">
        <f>IF(tbl_Ledger[[#This Row],[Account_Type]]="Expense",-ABS(tbl_Ledger[[#This Row],[Amount]]*tbl_Ledger[[#This Row],[Rate_to_NGN]]),tbl_Ledger[[#This Row],[Amount]]*tbl_Ledger[[#This Row],[Rate_to_NGN]])</f>
        <v>48800</v>
      </c>
      <c r="R999" s="25" t="str">
        <f>_xlfn.XLOOKUP(tbl_Ledger[[#This Row],[Account_Code]], tbl_Accounts[Account_Code], tbl_Accounts[Type])</f>
        <v>Revenue</v>
      </c>
      <c r="S999" s="25" t="str">
        <f>_xlfn.XLOOKUP(tbl_Ledger[[#This Row],[Account_Code]], tbl_Accounts[Account_Code], tbl_Accounts[PL_Bucket])</f>
        <v>Revenue</v>
      </c>
      <c r="T999" s="25">
        <f t="shared" si="15"/>
        <v>48800</v>
      </c>
    </row>
    <row r="1000" spans="1:20">
      <c r="A1000" t="s">
        <v>2679</v>
      </c>
      <c r="B1000" s="7">
        <v>45903</v>
      </c>
      <c r="C1000" t="s">
        <v>93</v>
      </c>
      <c r="D1000" t="s">
        <v>111</v>
      </c>
      <c r="E1000" t="s">
        <v>122</v>
      </c>
      <c r="F1000" s="12" t="s">
        <v>24</v>
      </c>
      <c r="G1000" t="s">
        <v>25</v>
      </c>
      <c r="H1000" t="s">
        <v>2680</v>
      </c>
      <c r="I1000" t="s">
        <v>71</v>
      </c>
      <c r="J1000" s="6">
        <v>49700</v>
      </c>
      <c r="K1000" t="s">
        <v>3</v>
      </c>
      <c r="L1000" t="s">
        <v>2681</v>
      </c>
      <c r="M1000" t="s">
        <v>3</v>
      </c>
      <c r="N1000" s="25" t="str">
        <f>TEXT(tbl_Ledger[[#This Row],[Date]],"yyyy-mm")</f>
        <v>2025-09</v>
      </c>
      <c r="O1000" s="25" t="str">
        <f>TEXT(tbl_Ledger[[#This Row],[Date]],"yyyy-mm") &amp; TRIM(tbl_Ledger[[#This Row],[Currency]])</f>
        <v>2025-09NGN</v>
      </c>
      <c r="P1000" s="25">
        <f>_xlfn.XLOOKUP(tbl_Ledger[[#This Row],[Key]], tbl_FX[Key], tbl_FX[Rate_to_NGN])</f>
        <v>1</v>
      </c>
      <c r="Q1000" s="37">
        <f>IF(tbl_Ledger[[#This Row],[Account_Type]]="Expense",-ABS(tbl_Ledger[[#This Row],[Amount]]*tbl_Ledger[[#This Row],[Rate_to_NGN]]),tbl_Ledger[[#This Row],[Amount]]*tbl_Ledger[[#This Row],[Rate_to_NGN]])</f>
        <v>49700</v>
      </c>
      <c r="R1000" s="25" t="str">
        <f>_xlfn.XLOOKUP(tbl_Ledger[[#This Row],[Account_Code]], tbl_Accounts[Account_Code], tbl_Accounts[Type])</f>
        <v>Revenue</v>
      </c>
      <c r="S1000" s="25" t="str">
        <f>_xlfn.XLOOKUP(tbl_Ledger[[#This Row],[Account_Code]], tbl_Accounts[Account_Code], tbl_Accounts[PL_Bucket])</f>
        <v>Revenue</v>
      </c>
      <c r="T1000" s="25">
        <f t="shared" si="15"/>
        <v>49700</v>
      </c>
    </row>
    <row r="1001" spans="1:20">
      <c r="A1001" t="s">
        <v>2682</v>
      </c>
      <c r="B1001" s="7">
        <v>45903</v>
      </c>
      <c r="C1001" t="s">
        <v>126</v>
      </c>
      <c r="D1001" t="s">
        <v>88</v>
      </c>
      <c r="E1001" t="s">
        <v>127</v>
      </c>
      <c r="F1001" s="12" t="s">
        <v>29</v>
      </c>
      <c r="G1001" t="s">
        <v>30</v>
      </c>
      <c r="H1001" t="s">
        <v>2683</v>
      </c>
      <c r="I1001" t="s">
        <v>71</v>
      </c>
      <c r="J1001" s="6">
        <v>53200</v>
      </c>
      <c r="K1001" t="s">
        <v>129</v>
      </c>
      <c r="L1001" t="s">
        <v>2684</v>
      </c>
      <c r="M1001" t="s">
        <v>3</v>
      </c>
      <c r="N1001" s="25" t="str">
        <f>TEXT(tbl_Ledger[[#This Row],[Date]],"yyyy-mm")</f>
        <v>2025-09</v>
      </c>
      <c r="O1001" s="25" t="str">
        <f>TEXT(tbl_Ledger[[#This Row],[Date]],"yyyy-mm") &amp; TRIM(tbl_Ledger[[#This Row],[Currency]])</f>
        <v>2025-09NGN</v>
      </c>
      <c r="P1001" s="25">
        <f>_xlfn.XLOOKUP(tbl_Ledger[[#This Row],[Key]], tbl_FX[Key], tbl_FX[Rate_to_NGN])</f>
        <v>1</v>
      </c>
      <c r="Q1001" s="37">
        <f>IF(tbl_Ledger[[#This Row],[Account_Type]]="Expense",-ABS(tbl_Ledger[[#This Row],[Amount]]*tbl_Ledger[[#This Row],[Rate_to_NGN]]),tbl_Ledger[[#This Row],[Amount]]*tbl_Ledger[[#This Row],[Rate_to_NGN]])</f>
        <v>53200</v>
      </c>
      <c r="R1001" s="25" t="str">
        <f>_xlfn.XLOOKUP(tbl_Ledger[[#This Row],[Account_Code]], tbl_Accounts[Account_Code], tbl_Accounts[Type])</f>
        <v>Revenue</v>
      </c>
      <c r="S1001" s="25" t="str">
        <f>_xlfn.XLOOKUP(tbl_Ledger[[#This Row],[Account_Code]], tbl_Accounts[Account_Code], tbl_Accounts[PL_Bucket])</f>
        <v>Revenue</v>
      </c>
      <c r="T1001" s="25">
        <f t="shared" si="15"/>
        <v>53200</v>
      </c>
    </row>
    <row r="1002" spans="1:20">
      <c r="A1002" t="s">
        <v>2685</v>
      </c>
      <c r="B1002" s="7">
        <v>45903</v>
      </c>
      <c r="C1002" t="s">
        <v>126</v>
      </c>
      <c r="D1002" t="s">
        <v>88</v>
      </c>
      <c r="E1002" t="s">
        <v>132</v>
      </c>
      <c r="F1002" s="12" t="s">
        <v>29</v>
      </c>
      <c r="G1002" t="s">
        <v>30</v>
      </c>
      <c r="H1002" t="s">
        <v>2686</v>
      </c>
      <c r="I1002" t="s">
        <v>72</v>
      </c>
      <c r="J1002" s="6">
        <v>30.97</v>
      </c>
      <c r="K1002" t="s">
        <v>134</v>
      </c>
      <c r="L1002" t="s">
        <v>2684</v>
      </c>
      <c r="M1002" t="s">
        <v>3</v>
      </c>
      <c r="N1002" s="25" t="str">
        <f>TEXT(tbl_Ledger[[#This Row],[Date]],"yyyy-mm")</f>
        <v>2025-09</v>
      </c>
      <c r="O1002" s="25" t="str">
        <f>TEXT(tbl_Ledger[[#This Row],[Date]],"yyyy-mm") &amp; TRIM(tbl_Ledger[[#This Row],[Currency]])</f>
        <v>2025-09USD</v>
      </c>
      <c r="P1002" s="25">
        <f>_xlfn.XLOOKUP(tbl_Ledger[[#This Row],[Key]], tbl_FX[Key], tbl_FX[Rate_to_NGN])</f>
        <v>1611</v>
      </c>
      <c r="Q1002" s="37">
        <f>IF(tbl_Ledger[[#This Row],[Account_Type]]="Expense",-ABS(tbl_Ledger[[#This Row],[Amount]]*tbl_Ledger[[#This Row],[Rate_to_NGN]]),tbl_Ledger[[#This Row],[Amount]]*tbl_Ledger[[#This Row],[Rate_to_NGN]])</f>
        <v>49892.67</v>
      </c>
      <c r="R1002" s="25" t="str">
        <f>_xlfn.XLOOKUP(tbl_Ledger[[#This Row],[Account_Code]], tbl_Accounts[Account_Code], tbl_Accounts[Type])</f>
        <v>Revenue</v>
      </c>
      <c r="S1002" s="25" t="str">
        <f>_xlfn.XLOOKUP(tbl_Ledger[[#This Row],[Account_Code]], tbl_Accounts[Account_Code], tbl_Accounts[PL_Bucket])</f>
        <v>Revenue</v>
      </c>
      <c r="T1002" s="25">
        <f t="shared" si="15"/>
        <v>49892.67</v>
      </c>
    </row>
    <row r="1003" spans="1:20">
      <c r="A1003" t="s">
        <v>2687</v>
      </c>
      <c r="B1003" s="7">
        <v>45903</v>
      </c>
      <c r="C1003" t="s">
        <v>126</v>
      </c>
      <c r="D1003" t="s">
        <v>88</v>
      </c>
      <c r="E1003" t="s">
        <v>140</v>
      </c>
      <c r="F1003" s="12" t="s">
        <v>29</v>
      </c>
      <c r="G1003" t="s">
        <v>30</v>
      </c>
      <c r="H1003" t="s">
        <v>2688</v>
      </c>
      <c r="I1003" t="s">
        <v>71</v>
      </c>
      <c r="J1003" s="6">
        <v>52100</v>
      </c>
      <c r="K1003" t="s">
        <v>3</v>
      </c>
      <c r="L1003" t="s">
        <v>2689</v>
      </c>
      <c r="M1003" t="s">
        <v>3</v>
      </c>
      <c r="N1003" s="25" t="str">
        <f>TEXT(tbl_Ledger[[#This Row],[Date]],"yyyy-mm")</f>
        <v>2025-09</v>
      </c>
      <c r="O1003" s="25" t="str">
        <f>TEXT(tbl_Ledger[[#This Row],[Date]],"yyyy-mm") &amp; TRIM(tbl_Ledger[[#This Row],[Currency]])</f>
        <v>2025-09NGN</v>
      </c>
      <c r="P1003" s="25">
        <f>_xlfn.XLOOKUP(tbl_Ledger[[#This Row],[Key]], tbl_FX[Key], tbl_FX[Rate_to_NGN])</f>
        <v>1</v>
      </c>
      <c r="Q1003" s="37">
        <f>IF(tbl_Ledger[[#This Row],[Account_Type]]="Expense",-ABS(tbl_Ledger[[#This Row],[Amount]]*tbl_Ledger[[#This Row],[Rate_to_NGN]]),tbl_Ledger[[#This Row],[Amount]]*tbl_Ledger[[#This Row],[Rate_to_NGN]])</f>
        <v>52100</v>
      </c>
      <c r="R1003" s="25" t="str">
        <f>_xlfn.XLOOKUP(tbl_Ledger[[#This Row],[Account_Code]], tbl_Accounts[Account_Code], tbl_Accounts[Type])</f>
        <v>Revenue</v>
      </c>
      <c r="S1003" s="25" t="str">
        <f>_xlfn.XLOOKUP(tbl_Ledger[[#This Row],[Account_Code]], tbl_Accounts[Account_Code], tbl_Accounts[PL_Bucket])</f>
        <v>Revenue</v>
      </c>
      <c r="T1003" s="25">
        <f t="shared" si="15"/>
        <v>52100</v>
      </c>
    </row>
    <row r="1004" spans="1:20">
      <c r="A1004" t="s">
        <v>2690</v>
      </c>
      <c r="B1004" s="7">
        <v>45903</v>
      </c>
      <c r="C1004" t="s">
        <v>87</v>
      </c>
      <c r="D1004" t="s">
        <v>94</v>
      </c>
      <c r="E1004" t="s">
        <v>3</v>
      </c>
      <c r="F1004" s="12" t="s">
        <v>33</v>
      </c>
      <c r="G1004" t="s">
        <v>34</v>
      </c>
      <c r="H1004" t="s">
        <v>2691</v>
      </c>
      <c r="I1004" t="s">
        <v>71</v>
      </c>
      <c r="J1004" s="6">
        <v>-426000</v>
      </c>
      <c r="K1004" t="s">
        <v>316</v>
      </c>
      <c r="L1004" t="s">
        <v>2692</v>
      </c>
      <c r="M1004" t="s">
        <v>3</v>
      </c>
      <c r="N1004" s="25" t="str">
        <f>TEXT(tbl_Ledger[[#This Row],[Date]],"yyyy-mm")</f>
        <v>2025-09</v>
      </c>
      <c r="O1004" s="25" t="str">
        <f>TEXT(tbl_Ledger[[#This Row],[Date]],"yyyy-mm") &amp; TRIM(tbl_Ledger[[#This Row],[Currency]])</f>
        <v>2025-09NGN</v>
      </c>
      <c r="P1004" s="25">
        <f>_xlfn.XLOOKUP(tbl_Ledger[[#This Row],[Key]], tbl_FX[Key], tbl_FX[Rate_to_NGN])</f>
        <v>1</v>
      </c>
      <c r="Q1004" s="37">
        <f>IF(tbl_Ledger[[#This Row],[Account_Type]]="Expense",-ABS(tbl_Ledger[[#This Row],[Amount]]*tbl_Ledger[[#This Row],[Rate_to_NGN]]),tbl_Ledger[[#This Row],[Amount]]*tbl_Ledger[[#This Row],[Rate_to_NGN]])</f>
        <v>-426000</v>
      </c>
      <c r="R1004" s="25" t="str">
        <f>_xlfn.XLOOKUP(tbl_Ledger[[#This Row],[Account_Code]], tbl_Accounts[Account_Code], tbl_Accounts[Type])</f>
        <v>COGS</v>
      </c>
      <c r="S1004" s="25" t="str">
        <f>_xlfn.XLOOKUP(tbl_Ledger[[#This Row],[Account_Code]], tbl_Accounts[Account_Code], tbl_Accounts[PL_Bucket])</f>
        <v>COGS</v>
      </c>
      <c r="T1004" s="25">
        <f t="shared" si="15"/>
        <v>-426000</v>
      </c>
    </row>
    <row r="1005" spans="1:20">
      <c r="A1005" t="s">
        <v>2693</v>
      </c>
      <c r="B1005" s="7">
        <v>45903</v>
      </c>
      <c r="C1005" t="s">
        <v>87</v>
      </c>
      <c r="D1005" t="s">
        <v>111</v>
      </c>
      <c r="E1005" t="s">
        <v>3</v>
      </c>
      <c r="F1005" s="12" t="s">
        <v>38</v>
      </c>
      <c r="G1005" t="s">
        <v>39</v>
      </c>
      <c r="H1005" t="s">
        <v>2694</v>
      </c>
      <c r="I1005" t="s">
        <v>71</v>
      </c>
      <c r="J1005" s="6">
        <v>-98000</v>
      </c>
      <c r="K1005" t="s">
        <v>276</v>
      </c>
      <c r="L1005" t="s">
        <v>2695</v>
      </c>
      <c r="M1005" t="s">
        <v>3</v>
      </c>
      <c r="N1005" s="25" t="str">
        <f>TEXT(tbl_Ledger[[#This Row],[Date]],"yyyy-mm")</f>
        <v>2025-09</v>
      </c>
      <c r="O1005" s="25" t="str">
        <f>TEXT(tbl_Ledger[[#This Row],[Date]],"yyyy-mm") &amp; TRIM(tbl_Ledger[[#This Row],[Currency]])</f>
        <v>2025-09NGN</v>
      </c>
      <c r="P1005" s="25">
        <f>_xlfn.XLOOKUP(tbl_Ledger[[#This Row],[Key]], tbl_FX[Key], tbl_FX[Rate_to_NGN])</f>
        <v>1</v>
      </c>
      <c r="Q1005" s="37">
        <f>IF(tbl_Ledger[[#This Row],[Account_Type]]="Expense",-ABS(tbl_Ledger[[#This Row],[Amount]]*tbl_Ledger[[#This Row],[Rate_to_NGN]]),tbl_Ledger[[#This Row],[Amount]]*tbl_Ledger[[#This Row],[Rate_to_NGN]])</f>
        <v>-98000</v>
      </c>
      <c r="R1005" s="25" t="str">
        <f>_xlfn.XLOOKUP(tbl_Ledger[[#This Row],[Account_Code]], tbl_Accounts[Account_Code], tbl_Accounts[Type])</f>
        <v>COGS</v>
      </c>
      <c r="S1005" s="25" t="str">
        <f>_xlfn.XLOOKUP(tbl_Ledger[[#This Row],[Account_Code]], tbl_Accounts[Account_Code], tbl_Accounts[PL_Bucket])</f>
        <v>COGS</v>
      </c>
      <c r="T1005" s="25">
        <f t="shared" si="15"/>
        <v>-98000</v>
      </c>
    </row>
    <row r="1006" spans="1:20">
      <c r="A1006" t="s">
        <v>2696</v>
      </c>
      <c r="B1006" s="7">
        <v>45904</v>
      </c>
      <c r="C1006" t="s">
        <v>93</v>
      </c>
      <c r="D1006" t="s">
        <v>94</v>
      </c>
      <c r="E1006" t="s">
        <v>95</v>
      </c>
      <c r="F1006" s="12" t="s">
        <v>24</v>
      </c>
      <c r="G1006" t="s">
        <v>25</v>
      </c>
      <c r="H1006" t="s">
        <v>2697</v>
      </c>
      <c r="I1006" t="s">
        <v>71</v>
      </c>
      <c r="J1006" s="6">
        <v>32600</v>
      </c>
      <c r="K1006" t="s">
        <v>3</v>
      </c>
      <c r="L1006" t="s">
        <v>2698</v>
      </c>
      <c r="M1006" t="s">
        <v>3</v>
      </c>
      <c r="N1006" s="25" t="str">
        <f>TEXT(tbl_Ledger[[#This Row],[Date]],"yyyy-mm")</f>
        <v>2025-09</v>
      </c>
      <c r="O1006" s="25" t="str">
        <f>TEXT(tbl_Ledger[[#This Row],[Date]],"yyyy-mm") &amp; TRIM(tbl_Ledger[[#This Row],[Currency]])</f>
        <v>2025-09NGN</v>
      </c>
      <c r="P1006" s="25">
        <f>_xlfn.XLOOKUP(tbl_Ledger[[#This Row],[Key]], tbl_FX[Key], tbl_FX[Rate_to_NGN])</f>
        <v>1</v>
      </c>
      <c r="Q1006" s="37">
        <f>IF(tbl_Ledger[[#This Row],[Account_Type]]="Expense",-ABS(tbl_Ledger[[#This Row],[Amount]]*tbl_Ledger[[#This Row],[Rate_to_NGN]]),tbl_Ledger[[#This Row],[Amount]]*tbl_Ledger[[#This Row],[Rate_to_NGN]])</f>
        <v>32600</v>
      </c>
      <c r="R1006" s="25" t="str">
        <f>_xlfn.XLOOKUP(tbl_Ledger[[#This Row],[Account_Code]], tbl_Accounts[Account_Code], tbl_Accounts[Type])</f>
        <v>Revenue</v>
      </c>
      <c r="S1006" s="25" t="str">
        <f>_xlfn.XLOOKUP(tbl_Ledger[[#This Row],[Account_Code]], tbl_Accounts[Account_Code], tbl_Accounts[PL_Bucket])</f>
        <v>Revenue</v>
      </c>
      <c r="T1006" s="25">
        <f t="shared" si="15"/>
        <v>32600</v>
      </c>
    </row>
    <row r="1007" spans="1:20">
      <c r="A1007" t="s">
        <v>2699</v>
      </c>
      <c r="B1007" s="7">
        <v>45904</v>
      </c>
      <c r="C1007" t="s">
        <v>93</v>
      </c>
      <c r="D1007" t="s">
        <v>94</v>
      </c>
      <c r="E1007" t="s">
        <v>99</v>
      </c>
      <c r="F1007" s="12" t="s">
        <v>24</v>
      </c>
      <c r="G1007" t="s">
        <v>25</v>
      </c>
      <c r="H1007" t="s">
        <v>2700</v>
      </c>
      <c r="I1007" t="s">
        <v>71</v>
      </c>
      <c r="J1007" s="6">
        <v>31200</v>
      </c>
      <c r="K1007" t="s">
        <v>3</v>
      </c>
      <c r="L1007" t="s">
        <v>2701</v>
      </c>
      <c r="M1007" t="s">
        <v>3</v>
      </c>
      <c r="N1007" s="25" t="str">
        <f>TEXT(tbl_Ledger[[#This Row],[Date]],"yyyy-mm")</f>
        <v>2025-09</v>
      </c>
      <c r="O1007" s="25" t="str">
        <f>TEXT(tbl_Ledger[[#This Row],[Date]],"yyyy-mm") &amp; TRIM(tbl_Ledger[[#This Row],[Currency]])</f>
        <v>2025-09NGN</v>
      </c>
      <c r="P1007" s="25">
        <f>_xlfn.XLOOKUP(tbl_Ledger[[#This Row],[Key]], tbl_FX[Key], tbl_FX[Rate_to_NGN])</f>
        <v>1</v>
      </c>
      <c r="Q1007" s="37">
        <f>IF(tbl_Ledger[[#This Row],[Account_Type]]="Expense",-ABS(tbl_Ledger[[#This Row],[Amount]]*tbl_Ledger[[#This Row],[Rate_to_NGN]]),tbl_Ledger[[#This Row],[Amount]]*tbl_Ledger[[#This Row],[Rate_to_NGN]])</f>
        <v>31200</v>
      </c>
      <c r="R1007" s="25" t="str">
        <f>_xlfn.XLOOKUP(tbl_Ledger[[#This Row],[Account_Code]], tbl_Accounts[Account_Code], tbl_Accounts[Type])</f>
        <v>Revenue</v>
      </c>
      <c r="S1007" s="25" t="str">
        <f>_xlfn.XLOOKUP(tbl_Ledger[[#This Row],[Account_Code]], tbl_Accounts[Account_Code], tbl_Accounts[PL_Bucket])</f>
        <v>Revenue</v>
      </c>
      <c r="T1007" s="25">
        <f t="shared" si="15"/>
        <v>31200</v>
      </c>
    </row>
    <row r="1008" spans="1:20">
      <c r="A1008" t="s">
        <v>2702</v>
      </c>
      <c r="B1008" s="7">
        <v>45904</v>
      </c>
      <c r="C1008" t="s">
        <v>93</v>
      </c>
      <c r="D1008" t="s">
        <v>94</v>
      </c>
      <c r="E1008" t="s">
        <v>103</v>
      </c>
      <c r="F1008" s="12" t="s">
        <v>24</v>
      </c>
      <c r="G1008" t="s">
        <v>25</v>
      </c>
      <c r="H1008" t="s">
        <v>2703</v>
      </c>
      <c r="I1008" t="s">
        <v>71</v>
      </c>
      <c r="J1008" s="6">
        <v>31300</v>
      </c>
      <c r="K1008" t="s">
        <v>3</v>
      </c>
      <c r="L1008" t="s">
        <v>2704</v>
      </c>
      <c r="M1008" t="s">
        <v>3</v>
      </c>
      <c r="N1008" s="25" t="str">
        <f>TEXT(tbl_Ledger[[#This Row],[Date]],"yyyy-mm")</f>
        <v>2025-09</v>
      </c>
      <c r="O1008" s="25" t="str">
        <f>TEXT(tbl_Ledger[[#This Row],[Date]],"yyyy-mm") &amp; TRIM(tbl_Ledger[[#This Row],[Currency]])</f>
        <v>2025-09NGN</v>
      </c>
      <c r="P1008" s="25">
        <f>_xlfn.XLOOKUP(tbl_Ledger[[#This Row],[Key]], tbl_FX[Key], tbl_FX[Rate_to_NGN])</f>
        <v>1</v>
      </c>
      <c r="Q1008" s="37">
        <f>IF(tbl_Ledger[[#This Row],[Account_Type]]="Expense",-ABS(tbl_Ledger[[#This Row],[Amount]]*tbl_Ledger[[#This Row],[Rate_to_NGN]]),tbl_Ledger[[#This Row],[Amount]]*tbl_Ledger[[#This Row],[Rate_to_NGN]])</f>
        <v>31300</v>
      </c>
      <c r="R1008" s="25" t="str">
        <f>_xlfn.XLOOKUP(tbl_Ledger[[#This Row],[Account_Code]], tbl_Accounts[Account_Code], tbl_Accounts[Type])</f>
        <v>Revenue</v>
      </c>
      <c r="S1008" s="25" t="str">
        <f>_xlfn.XLOOKUP(tbl_Ledger[[#This Row],[Account_Code]], tbl_Accounts[Account_Code], tbl_Accounts[PL_Bucket])</f>
        <v>Revenue</v>
      </c>
      <c r="T1008" s="25">
        <f t="shared" si="15"/>
        <v>31300</v>
      </c>
    </row>
    <row r="1009" spans="1:20">
      <c r="A1009" t="s">
        <v>2705</v>
      </c>
      <c r="B1009" s="7">
        <v>45904</v>
      </c>
      <c r="C1009" t="s">
        <v>93</v>
      </c>
      <c r="D1009" t="s">
        <v>94</v>
      </c>
      <c r="E1009" t="s">
        <v>160</v>
      </c>
      <c r="F1009" s="12" t="s">
        <v>24</v>
      </c>
      <c r="G1009" t="s">
        <v>25</v>
      </c>
      <c r="H1009" t="s">
        <v>2706</v>
      </c>
      <c r="I1009" t="s">
        <v>71</v>
      </c>
      <c r="J1009" s="6">
        <v>31100</v>
      </c>
      <c r="K1009" t="s">
        <v>3</v>
      </c>
      <c r="L1009" t="s">
        <v>2704</v>
      </c>
      <c r="M1009" t="s">
        <v>3</v>
      </c>
      <c r="N1009" s="25" t="str">
        <f>TEXT(tbl_Ledger[[#This Row],[Date]],"yyyy-mm")</f>
        <v>2025-09</v>
      </c>
      <c r="O1009" s="25" t="str">
        <f>TEXT(tbl_Ledger[[#This Row],[Date]],"yyyy-mm") &amp; TRIM(tbl_Ledger[[#This Row],[Currency]])</f>
        <v>2025-09NGN</v>
      </c>
      <c r="P1009" s="25">
        <f>_xlfn.XLOOKUP(tbl_Ledger[[#This Row],[Key]], tbl_FX[Key], tbl_FX[Rate_to_NGN])</f>
        <v>1</v>
      </c>
      <c r="Q1009" s="37">
        <f>IF(tbl_Ledger[[#This Row],[Account_Type]]="Expense",-ABS(tbl_Ledger[[#This Row],[Amount]]*tbl_Ledger[[#This Row],[Rate_to_NGN]]),tbl_Ledger[[#This Row],[Amount]]*tbl_Ledger[[#This Row],[Rate_to_NGN]])</f>
        <v>31100</v>
      </c>
      <c r="R1009" s="25" t="str">
        <f>_xlfn.XLOOKUP(tbl_Ledger[[#This Row],[Account_Code]], tbl_Accounts[Account_Code], tbl_Accounts[Type])</f>
        <v>Revenue</v>
      </c>
      <c r="S1009" s="25" t="str">
        <f>_xlfn.XLOOKUP(tbl_Ledger[[#This Row],[Account_Code]], tbl_Accounts[Account_Code], tbl_Accounts[PL_Bucket])</f>
        <v>Revenue</v>
      </c>
      <c r="T1009" s="25">
        <f t="shared" si="15"/>
        <v>31100</v>
      </c>
    </row>
    <row r="1010" spans="1:20">
      <c r="A1010" t="s">
        <v>2707</v>
      </c>
      <c r="B1010" s="7">
        <v>45904</v>
      </c>
      <c r="C1010" t="s">
        <v>93</v>
      </c>
      <c r="D1010" t="s">
        <v>111</v>
      </c>
      <c r="E1010" t="s">
        <v>112</v>
      </c>
      <c r="F1010" s="12" t="s">
        <v>24</v>
      </c>
      <c r="G1010" t="s">
        <v>25</v>
      </c>
      <c r="H1010" t="s">
        <v>2708</v>
      </c>
      <c r="I1010" t="s">
        <v>71</v>
      </c>
      <c r="J1010" s="6">
        <v>51400</v>
      </c>
      <c r="K1010" t="s">
        <v>3</v>
      </c>
      <c r="L1010" t="s">
        <v>2709</v>
      </c>
      <c r="M1010" t="s">
        <v>3</v>
      </c>
      <c r="N1010" s="25" t="str">
        <f>TEXT(tbl_Ledger[[#This Row],[Date]],"yyyy-mm")</f>
        <v>2025-09</v>
      </c>
      <c r="O1010" s="25" t="str">
        <f>TEXT(tbl_Ledger[[#This Row],[Date]],"yyyy-mm") &amp; TRIM(tbl_Ledger[[#This Row],[Currency]])</f>
        <v>2025-09NGN</v>
      </c>
      <c r="P1010" s="25">
        <f>_xlfn.XLOOKUP(tbl_Ledger[[#This Row],[Key]], tbl_FX[Key], tbl_FX[Rate_to_NGN])</f>
        <v>1</v>
      </c>
      <c r="Q1010" s="37">
        <f>IF(tbl_Ledger[[#This Row],[Account_Type]]="Expense",-ABS(tbl_Ledger[[#This Row],[Amount]]*tbl_Ledger[[#This Row],[Rate_to_NGN]]),tbl_Ledger[[#This Row],[Amount]]*tbl_Ledger[[#This Row],[Rate_to_NGN]])</f>
        <v>51400</v>
      </c>
      <c r="R1010" s="25" t="str">
        <f>_xlfn.XLOOKUP(tbl_Ledger[[#This Row],[Account_Code]], tbl_Accounts[Account_Code], tbl_Accounts[Type])</f>
        <v>Revenue</v>
      </c>
      <c r="S1010" s="25" t="str">
        <f>_xlfn.XLOOKUP(tbl_Ledger[[#This Row],[Account_Code]], tbl_Accounts[Account_Code], tbl_Accounts[PL_Bucket])</f>
        <v>Revenue</v>
      </c>
      <c r="T1010" s="25">
        <f t="shared" si="15"/>
        <v>51400</v>
      </c>
    </row>
    <row r="1011" spans="1:20">
      <c r="A1011" t="s">
        <v>2710</v>
      </c>
      <c r="B1011" s="7">
        <v>45904</v>
      </c>
      <c r="C1011" t="s">
        <v>93</v>
      </c>
      <c r="D1011" t="s">
        <v>111</v>
      </c>
      <c r="E1011" t="s">
        <v>116</v>
      </c>
      <c r="F1011" s="12" t="s">
        <v>24</v>
      </c>
      <c r="G1011" t="s">
        <v>25</v>
      </c>
      <c r="H1011" t="s">
        <v>2711</v>
      </c>
      <c r="I1011" t="s">
        <v>71</v>
      </c>
      <c r="J1011" s="6">
        <v>51900</v>
      </c>
      <c r="K1011" t="s">
        <v>3</v>
      </c>
      <c r="L1011" t="s">
        <v>2709</v>
      </c>
      <c r="M1011" t="s">
        <v>3</v>
      </c>
      <c r="N1011" s="25" t="str">
        <f>TEXT(tbl_Ledger[[#This Row],[Date]],"yyyy-mm")</f>
        <v>2025-09</v>
      </c>
      <c r="O1011" s="25" t="str">
        <f>TEXT(tbl_Ledger[[#This Row],[Date]],"yyyy-mm") &amp; TRIM(tbl_Ledger[[#This Row],[Currency]])</f>
        <v>2025-09NGN</v>
      </c>
      <c r="P1011" s="25">
        <f>_xlfn.XLOOKUP(tbl_Ledger[[#This Row],[Key]], tbl_FX[Key], tbl_FX[Rate_to_NGN])</f>
        <v>1</v>
      </c>
      <c r="Q1011" s="37">
        <f>IF(tbl_Ledger[[#This Row],[Account_Type]]="Expense",-ABS(tbl_Ledger[[#This Row],[Amount]]*tbl_Ledger[[#This Row],[Rate_to_NGN]]),tbl_Ledger[[#This Row],[Amount]]*tbl_Ledger[[#This Row],[Rate_to_NGN]])</f>
        <v>51900</v>
      </c>
      <c r="R1011" s="25" t="str">
        <f>_xlfn.XLOOKUP(tbl_Ledger[[#This Row],[Account_Code]], tbl_Accounts[Account_Code], tbl_Accounts[Type])</f>
        <v>Revenue</v>
      </c>
      <c r="S1011" s="25" t="str">
        <f>_xlfn.XLOOKUP(tbl_Ledger[[#This Row],[Account_Code]], tbl_Accounts[Account_Code], tbl_Accounts[PL_Bucket])</f>
        <v>Revenue</v>
      </c>
      <c r="T1011" s="25">
        <f t="shared" si="15"/>
        <v>51900</v>
      </c>
    </row>
    <row r="1012" spans="1:20">
      <c r="A1012" t="s">
        <v>2712</v>
      </c>
      <c r="B1012" s="7">
        <v>45904</v>
      </c>
      <c r="C1012" t="s">
        <v>93</v>
      </c>
      <c r="D1012" t="s">
        <v>111</v>
      </c>
      <c r="E1012" t="s">
        <v>119</v>
      </c>
      <c r="F1012" s="12" t="s">
        <v>24</v>
      </c>
      <c r="G1012" t="s">
        <v>25</v>
      </c>
      <c r="H1012" t="s">
        <v>2713</v>
      </c>
      <c r="I1012" t="s">
        <v>71</v>
      </c>
      <c r="J1012" s="6">
        <v>48900</v>
      </c>
      <c r="K1012" t="s">
        <v>3</v>
      </c>
      <c r="L1012" t="s">
        <v>2709</v>
      </c>
      <c r="M1012" t="s">
        <v>3</v>
      </c>
      <c r="N1012" s="25" t="str">
        <f>TEXT(tbl_Ledger[[#This Row],[Date]],"yyyy-mm")</f>
        <v>2025-09</v>
      </c>
      <c r="O1012" s="25" t="str">
        <f>TEXT(tbl_Ledger[[#This Row],[Date]],"yyyy-mm") &amp; TRIM(tbl_Ledger[[#This Row],[Currency]])</f>
        <v>2025-09NGN</v>
      </c>
      <c r="P1012" s="25">
        <f>_xlfn.XLOOKUP(tbl_Ledger[[#This Row],[Key]], tbl_FX[Key], tbl_FX[Rate_to_NGN])</f>
        <v>1</v>
      </c>
      <c r="Q1012" s="37">
        <f>IF(tbl_Ledger[[#This Row],[Account_Type]]="Expense",-ABS(tbl_Ledger[[#This Row],[Amount]]*tbl_Ledger[[#This Row],[Rate_to_NGN]]),tbl_Ledger[[#This Row],[Amount]]*tbl_Ledger[[#This Row],[Rate_to_NGN]])</f>
        <v>48900</v>
      </c>
      <c r="R1012" s="25" t="str">
        <f>_xlfn.XLOOKUP(tbl_Ledger[[#This Row],[Account_Code]], tbl_Accounts[Account_Code], tbl_Accounts[Type])</f>
        <v>Revenue</v>
      </c>
      <c r="S1012" s="25" t="str">
        <f>_xlfn.XLOOKUP(tbl_Ledger[[#This Row],[Account_Code]], tbl_Accounts[Account_Code], tbl_Accounts[PL_Bucket])</f>
        <v>Revenue</v>
      </c>
      <c r="T1012" s="25">
        <f t="shared" si="15"/>
        <v>48900</v>
      </c>
    </row>
    <row r="1013" spans="1:20">
      <c r="A1013" t="s">
        <v>2714</v>
      </c>
      <c r="B1013" s="7">
        <v>45904</v>
      </c>
      <c r="C1013" t="s">
        <v>93</v>
      </c>
      <c r="D1013" t="s">
        <v>111</v>
      </c>
      <c r="E1013" t="s">
        <v>122</v>
      </c>
      <c r="F1013" s="12" t="s">
        <v>24</v>
      </c>
      <c r="G1013" t="s">
        <v>25</v>
      </c>
      <c r="H1013" t="s">
        <v>2715</v>
      </c>
      <c r="I1013" t="s">
        <v>73</v>
      </c>
      <c r="J1013" s="6">
        <v>517.71</v>
      </c>
      <c r="K1013" t="s">
        <v>3</v>
      </c>
      <c r="L1013" t="s">
        <v>2716</v>
      </c>
      <c r="M1013" t="s">
        <v>3</v>
      </c>
      <c r="N1013" s="25" t="str">
        <f>TEXT(tbl_Ledger[[#This Row],[Date]],"yyyy-mm")</f>
        <v>2025-09</v>
      </c>
      <c r="O1013" s="25" t="str">
        <f>TEXT(tbl_Ledger[[#This Row],[Date]],"yyyy-mm") &amp; TRIM(tbl_Ledger[[#This Row],[Currency]])</f>
        <v>2025-09GHS</v>
      </c>
      <c r="P1013" s="25">
        <f>_xlfn.XLOOKUP(tbl_Ledger[[#This Row],[Key]], tbl_FX[Key], tbl_FX[Rate_to_NGN])</f>
        <v>96</v>
      </c>
      <c r="Q1013" s="37">
        <f>IF(tbl_Ledger[[#This Row],[Account_Type]]="Expense",-ABS(tbl_Ledger[[#This Row],[Amount]]*tbl_Ledger[[#This Row],[Rate_to_NGN]]),tbl_Ledger[[#This Row],[Amount]]*tbl_Ledger[[#This Row],[Rate_to_NGN]])</f>
        <v>49700.160000000003</v>
      </c>
      <c r="R1013" s="25" t="str">
        <f>_xlfn.XLOOKUP(tbl_Ledger[[#This Row],[Account_Code]], tbl_Accounts[Account_Code], tbl_Accounts[Type])</f>
        <v>Revenue</v>
      </c>
      <c r="S1013" s="25" t="str">
        <f>_xlfn.XLOOKUP(tbl_Ledger[[#This Row],[Account_Code]], tbl_Accounts[Account_Code], tbl_Accounts[PL_Bucket])</f>
        <v>Revenue</v>
      </c>
      <c r="T1013" s="25">
        <f t="shared" si="15"/>
        <v>49700.160000000003</v>
      </c>
    </row>
    <row r="1014" spans="1:20">
      <c r="A1014" t="s">
        <v>2717</v>
      </c>
      <c r="B1014" s="7">
        <v>45904</v>
      </c>
      <c r="C1014" t="s">
        <v>126</v>
      </c>
      <c r="D1014" t="s">
        <v>88</v>
      </c>
      <c r="E1014" t="s">
        <v>127</v>
      </c>
      <c r="F1014" s="12" t="s">
        <v>29</v>
      </c>
      <c r="G1014" t="s">
        <v>30</v>
      </c>
      <c r="H1014" t="s">
        <v>2718</v>
      </c>
      <c r="I1014" t="s">
        <v>71</v>
      </c>
      <c r="J1014" s="6">
        <v>51800</v>
      </c>
      <c r="K1014" t="s">
        <v>129</v>
      </c>
      <c r="L1014" t="s">
        <v>2719</v>
      </c>
      <c r="M1014" t="s">
        <v>3</v>
      </c>
      <c r="N1014" s="25" t="str">
        <f>TEXT(tbl_Ledger[[#This Row],[Date]],"yyyy-mm")</f>
        <v>2025-09</v>
      </c>
      <c r="O1014" s="25" t="str">
        <f>TEXT(tbl_Ledger[[#This Row],[Date]],"yyyy-mm") &amp; TRIM(tbl_Ledger[[#This Row],[Currency]])</f>
        <v>2025-09NGN</v>
      </c>
      <c r="P1014" s="25">
        <f>_xlfn.XLOOKUP(tbl_Ledger[[#This Row],[Key]], tbl_FX[Key], tbl_FX[Rate_to_NGN])</f>
        <v>1</v>
      </c>
      <c r="Q1014" s="37">
        <f>IF(tbl_Ledger[[#This Row],[Account_Type]]="Expense",-ABS(tbl_Ledger[[#This Row],[Amount]]*tbl_Ledger[[#This Row],[Rate_to_NGN]]),tbl_Ledger[[#This Row],[Amount]]*tbl_Ledger[[#This Row],[Rate_to_NGN]])</f>
        <v>51800</v>
      </c>
      <c r="R1014" s="25" t="str">
        <f>_xlfn.XLOOKUP(tbl_Ledger[[#This Row],[Account_Code]], tbl_Accounts[Account_Code], tbl_Accounts[Type])</f>
        <v>Revenue</v>
      </c>
      <c r="S1014" s="25" t="str">
        <f>_xlfn.XLOOKUP(tbl_Ledger[[#This Row],[Account_Code]], tbl_Accounts[Account_Code], tbl_Accounts[PL_Bucket])</f>
        <v>Revenue</v>
      </c>
      <c r="T1014" s="25">
        <f t="shared" si="15"/>
        <v>51800</v>
      </c>
    </row>
    <row r="1015" spans="1:20">
      <c r="A1015" t="s">
        <v>2720</v>
      </c>
      <c r="B1015" s="7">
        <v>45904</v>
      </c>
      <c r="C1015" t="s">
        <v>126</v>
      </c>
      <c r="D1015" t="s">
        <v>88</v>
      </c>
      <c r="E1015" t="s">
        <v>132</v>
      </c>
      <c r="F1015" s="12" t="s">
        <v>29</v>
      </c>
      <c r="G1015" t="s">
        <v>30</v>
      </c>
      <c r="H1015" t="s">
        <v>2721</v>
      </c>
      <c r="I1015" t="s">
        <v>72</v>
      </c>
      <c r="J1015" s="6">
        <v>32.340000000000003</v>
      </c>
      <c r="K1015" t="s">
        <v>134</v>
      </c>
      <c r="L1015" t="s">
        <v>2719</v>
      </c>
      <c r="M1015" t="s">
        <v>3</v>
      </c>
      <c r="N1015" s="25" t="str">
        <f>TEXT(tbl_Ledger[[#This Row],[Date]],"yyyy-mm")</f>
        <v>2025-09</v>
      </c>
      <c r="O1015" s="25" t="str">
        <f>TEXT(tbl_Ledger[[#This Row],[Date]],"yyyy-mm") &amp; TRIM(tbl_Ledger[[#This Row],[Currency]])</f>
        <v>2025-09USD</v>
      </c>
      <c r="P1015" s="25">
        <f>_xlfn.XLOOKUP(tbl_Ledger[[#This Row],[Key]], tbl_FX[Key], tbl_FX[Rate_to_NGN])</f>
        <v>1611</v>
      </c>
      <c r="Q1015" s="37">
        <f>IF(tbl_Ledger[[#This Row],[Account_Type]]="Expense",-ABS(tbl_Ledger[[#This Row],[Amount]]*tbl_Ledger[[#This Row],[Rate_to_NGN]]),tbl_Ledger[[#This Row],[Amount]]*tbl_Ledger[[#This Row],[Rate_to_NGN]])</f>
        <v>52099.740000000005</v>
      </c>
      <c r="R1015" s="25" t="str">
        <f>_xlfn.XLOOKUP(tbl_Ledger[[#This Row],[Account_Code]], tbl_Accounts[Account_Code], tbl_Accounts[Type])</f>
        <v>Revenue</v>
      </c>
      <c r="S1015" s="25" t="str">
        <f>_xlfn.XLOOKUP(tbl_Ledger[[#This Row],[Account_Code]], tbl_Accounts[Account_Code], tbl_Accounts[PL_Bucket])</f>
        <v>Revenue</v>
      </c>
      <c r="T1015" s="25">
        <f t="shared" si="15"/>
        <v>52099.740000000005</v>
      </c>
    </row>
    <row r="1016" spans="1:20">
      <c r="A1016" t="s">
        <v>2722</v>
      </c>
      <c r="B1016" s="7">
        <v>45904</v>
      </c>
      <c r="C1016" t="s">
        <v>126</v>
      </c>
      <c r="D1016" t="s">
        <v>88</v>
      </c>
      <c r="E1016" t="s">
        <v>140</v>
      </c>
      <c r="F1016" s="12" t="s">
        <v>29</v>
      </c>
      <c r="G1016" t="s">
        <v>30</v>
      </c>
      <c r="H1016" t="s">
        <v>2723</v>
      </c>
      <c r="I1016" t="s">
        <v>71</v>
      </c>
      <c r="J1016" s="6">
        <v>56000</v>
      </c>
      <c r="K1016" t="s">
        <v>3</v>
      </c>
      <c r="L1016" t="s">
        <v>2724</v>
      </c>
      <c r="M1016" t="s">
        <v>3</v>
      </c>
      <c r="N1016" s="25" t="str">
        <f>TEXT(tbl_Ledger[[#This Row],[Date]],"yyyy-mm")</f>
        <v>2025-09</v>
      </c>
      <c r="O1016" s="25" t="str">
        <f>TEXT(tbl_Ledger[[#This Row],[Date]],"yyyy-mm") &amp; TRIM(tbl_Ledger[[#This Row],[Currency]])</f>
        <v>2025-09NGN</v>
      </c>
      <c r="P1016" s="25">
        <f>_xlfn.XLOOKUP(tbl_Ledger[[#This Row],[Key]], tbl_FX[Key], tbl_FX[Rate_to_NGN])</f>
        <v>1</v>
      </c>
      <c r="Q1016" s="37">
        <f>IF(tbl_Ledger[[#This Row],[Account_Type]]="Expense",-ABS(tbl_Ledger[[#This Row],[Amount]]*tbl_Ledger[[#This Row],[Rate_to_NGN]]),tbl_Ledger[[#This Row],[Amount]]*tbl_Ledger[[#This Row],[Rate_to_NGN]])</f>
        <v>56000</v>
      </c>
      <c r="R1016" s="25" t="str">
        <f>_xlfn.XLOOKUP(tbl_Ledger[[#This Row],[Account_Code]], tbl_Accounts[Account_Code], tbl_Accounts[Type])</f>
        <v>Revenue</v>
      </c>
      <c r="S1016" s="25" t="str">
        <f>_xlfn.XLOOKUP(tbl_Ledger[[#This Row],[Account_Code]], tbl_Accounts[Account_Code], tbl_Accounts[PL_Bucket])</f>
        <v>Revenue</v>
      </c>
      <c r="T1016" s="25">
        <f t="shared" si="15"/>
        <v>56000</v>
      </c>
    </row>
    <row r="1017" spans="1:20">
      <c r="A1017" t="s">
        <v>2725</v>
      </c>
      <c r="B1017" s="7">
        <v>45904</v>
      </c>
      <c r="C1017" t="s">
        <v>87</v>
      </c>
      <c r="D1017" t="s">
        <v>94</v>
      </c>
      <c r="E1017" t="s">
        <v>3</v>
      </c>
      <c r="F1017" s="12" t="s">
        <v>44</v>
      </c>
      <c r="G1017" t="s">
        <v>45</v>
      </c>
      <c r="H1017" t="s">
        <v>2726</v>
      </c>
      <c r="I1017" t="s">
        <v>71</v>
      </c>
      <c r="J1017" s="6">
        <v>-147000</v>
      </c>
      <c r="K1017" t="s">
        <v>191</v>
      </c>
      <c r="L1017" t="s">
        <v>2727</v>
      </c>
      <c r="M1017" t="s">
        <v>3</v>
      </c>
      <c r="N1017" s="25" t="str">
        <f>TEXT(tbl_Ledger[[#This Row],[Date]],"yyyy-mm")</f>
        <v>2025-09</v>
      </c>
      <c r="O1017" s="25" t="str">
        <f>TEXT(tbl_Ledger[[#This Row],[Date]],"yyyy-mm") &amp; TRIM(tbl_Ledger[[#This Row],[Currency]])</f>
        <v>2025-09NGN</v>
      </c>
      <c r="P1017" s="25">
        <f>_xlfn.XLOOKUP(tbl_Ledger[[#This Row],[Key]], tbl_FX[Key], tbl_FX[Rate_to_NGN])</f>
        <v>1</v>
      </c>
      <c r="Q1017" s="37">
        <f>IF(tbl_Ledger[[#This Row],[Account_Type]]="Expense",-ABS(tbl_Ledger[[#This Row],[Amount]]*tbl_Ledger[[#This Row],[Rate_to_NGN]]),tbl_Ledger[[#This Row],[Amount]]*tbl_Ledger[[#This Row],[Rate_to_NGN]])</f>
        <v>-147000</v>
      </c>
      <c r="R1017" s="25" t="str">
        <f>_xlfn.XLOOKUP(tbl_Ledger[[#This Row],[Account_Code]], tbl_Accounts[Account_Code], tbl_Accounts[Type])</f>
        <v>COGS</v>
      </c>
      <c r="S1017" s="25" t="str">
        <f>_xlfn.XLOOKUP(tbl_Ledger[[#This Row],[Account_Code]], tbl_Accounts[Account_Code], tbl_Accounts[PL_Bucket])</f>
        <v>COGS</v>
      </c>
      <c r="T1017" s="25">
        <f t="shared" si="15"/>
        <v>-147000</v>
      </c>
    </row>
    <row r="1018" spans="1:20">
      <c r="A1018" t="s">
        <v>2728</v>
      </c>
      <c r="B1018" s="7">
        <v>45904</v>
      </c>
      <c r="C1018" t="s">
        <v>87</v>
      </c>
      <c r="D1018" t="s">
        <v>111</v>
      </c>
      <c r="E1018" t="s">
        <v>3</v>
      </c>
      <c r="F1018" s="12" t="s">
        <v>36</v>
      </c>
      <c r="G1018" t="s">
        <v>37</v>
      </c>
      <c r="H1018" t="s">
        <v>2729</v>
      </c>
      <c r="I1018" t="s">
        <v>71</v>
      </c>
      <c r="J1018" s="6">
        <v>-2319000</v>
      </c>
      <c r="K1018" t="s">
        <v>145</v>
      </c>
      <c r="L1018" t="s">
        <v>2730</v>
      </c>
      <c r="M1018" t="s">
        <v>3</v>
      </c>
      <c r="N1018" s="25" t="str">
        <f>TEXT(tbl_Ledger[[#This Row],[Date]],"yyyy-mm")</f>
        <v>2025-09</v>
      </c>
      <c r="O1018" s="25" t="str">
        <f>TEXT(tbl_Ledger[[#This Row],[Date]],"yyyy-mm") &amp; TRIM(tbl_Ledger[[#This Row],[Currency]])</f>
        <v>2025-09NGN</v>
      </c>
      <c r="P1018" s="25">
        <f>_xlfn.XLOOKUP(tbl_Ledger[[#This Row],[Key]], tbl_FX[Key], tbl_FX[Rate_to_NGN])</f>
        <v>1</v>
      </c>
      <c r="Q1018" s="37">
        <f>IF(tbl_Ledger[[#This Row],[Account_Type]]="Expense",-ABS(tbl_Ledger[[#This Row],[Amount]]*tbl_Ledger[[#This Row],[Rate_to_NGN]]),tbl_Ledger[[#This Row],[Amount]]*tbl_Ledger[[#This Row],[Rate_to_NGN]])</f>
        <v>-2319000</v>
      </c>
      <c r="R1018" s="25" t="str">
        <f>_xlfn.XLOOKUP(tbl_Ledger[[#This Row],[Account_Code]], tbl_Accounts[Account_Code], tbl_Accounts[Type])</f>
        <v>COGS</v>
      </c>
      <c r="S1018" s="25" t="str">
        <f>_xlfn.XLOOKUP(tbl_Ledger[[#This Row],[Account_Code]], tbl_Accounts[Account_Code], tbl_Accounts[PL_Bucket])</f>
        <v>COGS</v>
      </c>
      <c r="T1018" s="25">
        <f t="shared" si="15"/>
        <v>-2319000</v>
      </c>
    </row>
    <row r="1019" spans="1:20">
      <c r="A1019" t="s">
        <v>2731</v>
      </c>
      <c r="B1019" s="7">
        <v>45904</v>
      </c>
      <c r="C1019" t="s">
        <v>87</v>
      </c>
      <c r="D1019" t="s">
        <v>111</v>
      </c>
      <c r="E1019" t="s">
        <v>3</v>
      </c>
      <c r="F1019" s="12" t="s">
        <v>36</v>
      </c>
      <c r="G1019" t="s">
        <v>37</v>
      </c>
      <c r="H1019" t="s">
        <v>2732</v>
      </c>
      <c r="I1019" t="s">
        <v>71</v>
      </c>
      <c r="J1019" s="6">
        <v>-540000</v>
      </c>
      <c r="K1019" t="s">
        <v>195</v>
      </c>
      <c r="L1019" t="s">
        <v>2733</v>
      </c>
      <c r="M1019" t="s">
        <v>3</v>
      </c>
      <c r="N1019" s="25" t="str">
        <f>TEXT(tbl_Ledger[[#This Row],[Date]],"yyyy-mm")</f>
        <v>2025-09</v>
      </c>
      <c r="O1019" s="25" t="str">
        <f>TEXT(tbl_Ledger[[#This Row],[Date]],"yyyy-mm") &amp; TRIM(tbl_Ledger[[#This Row],[Currency]])</f>
        <v>2025-09NGN</v>
      </c>
      <c r="P1019" s="25">
        <f>_xlfn.XLOOKUP(tbl_Ledger[[#This Row],[Key]], tbl_FX[Key], tbl_FX[Rate_to_NGN])</f>
        <v>1</v>
      </c>
      <c r="Q1019" s="37">
        <f>IF(tbl_Ledger[[#This Row],[Account_Type]]="Expense",-ABS(tbl_Ledger[[#This Row],[Amount]]*tbl_Ledger[[#This Row],[Rate_to_NGN]]),tbl_Ledger[[#This Row],[Amount]]*tbl_Ledger[[#This Row],[Rate_to_NGN]])</f>
        <v>-540000</v>
      </c>
      <c r="R1019" s="25" t="str">
        <f>_xlfn.XLOOKUP(tbl_Ledger[[#This Row],[Account_Code]], tbl_Accounts[Account_Code], tbl_Accounts[Type])</f>
        <v>COGS</v>
      </c>
      <c r="S1019" s="25" t="str">
        <f>_xlfn.XLOOKUP(tbl_Ledger[[#This Row],[Account_Code]], tbl_Accounts[Account_Code], tbl_Accounts[PL_Bucket])</f>
        <v>COGS</v>
      </c>
      <c r="T1019" s="25">
        <f t="shared" si="15"/>
        <v>-540000</v>
      </c>
    </row>
    <row r="1020" spans="1:20">
      <c r="A1020" t="s">
        <v>2734</v>
      </c>
      <c r="B1020" s="7">
        <v>45904</v>
      </c>
      <c r="C1020" t="s">
        <v>87</v>
      </c>
      <c r="D1020" t="s">
        <v>88</v>
      </c>
      <c r="E1020" t="s">
        <v>3</v>
      </c>
      <c r="F1020" s="12" t="s">
        <v>40</v>
      </c>
      <c r="G1020" t="s">
        <v>41</v>
      </c>
      <c r="H1020" t="s">
        <v>2656</v>
      </c>
      <c r="I1020" t="s">
        <v>71</v>
      </c>
      <c r="J1020" s="6">
        <v>-689000</v>
      </c>
      <c r="K1020" t="s">
        <v>90</v>
      </c>
      <c r="L1020" t="s">
        <v>1832</v>
      </c>
      <c r="M1020" t="s">
        <v>3</v>
      </c>
      <c r="N1020" s="25" t="str">
        <f>TEXT(tbl_Ledger[[#This Row],[Date]],"yyyy-mm")</f>
        <v>2025-09</v>
      </c>
      <c r="O1020" s="25" t="str">
        <f>TEXT(tbl_Ledger[[#This Row],[Date]],"yyyy-mm") &amp; TRIM(tbl_Ledger[[#This Row],[Currency]])</f>
        <v>2025-09NGN</v>
      </c>
      <c r="P1020" s="25">
        <f>_xlfn.XLOOKUP(tbl_Ledger[[#This Row],[Key]], tbl_FX[Key], tbl_FX[Rate_to_NGN])</f>
        <v>1</v>
      </c>
      <c r="Q1020" s="37">
        <f>IF(tbl_Ledger[[#This Row],[Account_Type]]="Expense",-ABS(tbl_Ledger[[#This Row],[Amount]]*tbl_Ledger[[#This Row],[Rate_to_NGN]]),tbl_Ledger[[#This Row],[Amount]]*tbl_Ledger[[#This Row],[Rate_to_NGN]])</f>
        <v>-689000</v>
      </c>
      <c r="R1020" s="25" t="str">
        <f>_xlfn.XLOOKUP(tbl_Ledger[[#This Row],[Account_Code]], tbl_Accounts[Account_Code], tbl_Accounts[Type])</f>
        <v>COGS</v>
      </c>
      <c r="S1020" s="25" t="str">
        <f>_xlfn.XLOOKUP(tbl_Ledger[[#This Row],[Account_Code]], tbl_Accounts[Account_Code], tbl_Accounts[PL_Bucket])</f>
        <v>COGS</v>
      </c>
      <c r="T1020" s="25">
        <f t="shared" si="15"/>
        <v>-689000</v>
      </c>
    </row>
    <row r="1021" spans="1:20">
      <c r="A1021" t="s">
        <v>2735</v>
      </c>
      <c r="B1021" s="7">
        <v>45905</v>
      </c>
      <c r="C1021" t="s">
        <v>93</v>
      </c>
      <c r="D1021" t="s">
        <v>94</v>
      </c>
      <c r="E1021" t="s">
        <v>95</v>
      </c>
      <c r="F1021" s="12" t="s">
        <v>24</v>
      </c>
      <c r="G1021" t="s">
        <v>25</v>
      </c>
      <c r="H1021" t="s">
        <v>2736</v>
      </c>
      <c r="I1021" t="s">
        <v>71</v>
      </c>
      <c r="J1021" s="6">
        <v>31900</v>
      </c>
      <c r="K1021" t="s">
        <v>3</v>
      </c>
      <c r="L1021" t="s">
        <v>2737</v>
      </c>
      <c r="M1021" t="s">
        <v>3</v>
      </c>
      <c r="N1021" s="25" t="str">
        <f>TEXT(tbl_Ledger[[#This Row],[Date]],"yyyy-mm")</f>
        <v>2025-09</v>
      </c>
      <c r="O1021" s="25" t="str">
        <f>TEXT(tbl_Ledger[[#This Row],[Date]],"yyyy-mm") &amp; TRIM(tbl_Ledger[[#This Row],[Currency]])</f>
        <v>2025-09NGN</v>
      </c>
      <c r="P1021" s="25">
        <f>_xlfn.XLOOKUP(tbl_Ledger[[#This Row],[Key]], tbl_FX[Key], tbl_FX[Rate_to_NGN])</f>
        <v>1</v>
      </c>
      <c r="Q1021" s="37">
        <f>IF(tbl_Ledger[[#This Row],[Account_Type]]="Expense",-ABS(tbl_Ledger[[#This Row],[Amount]]*tbl_Ledger[[#This Row],[Rate_to_NGN]]),tbl_Ledger[[#This Row],[Amount]]*tbl_Ledger[[#This Row],[Rate_to_NGN]])</f>
        <v>31900</v>
      </c>
      <c r="R1021" s="25" t="str">
        <f>_xlfn.XLOOKUP(tbl_Ledger[[#This Row],[Account_Code]], tbl_Accounts[Account_Code], tbl_Accounts[Type])</f>
        <v>Revenue</v>
      </c>
      <c r="S1021" s="25" t="str">
        <f>_xlfn.XLOOKUP(tbl_Ledger[[#This Row],[Account_Code]], tbl_Accounts[Account_Code], tbl_Accounts[PL_Bucket])</f>
        <v>Revenue</v>
      </c>
      <c r="T1021" s="25">
        <f t="shared" si="15"/>
        <v>31900</v>
      </c>
    </row>
    <row r="1022" spans="1:20">
      <c r="A1022" t="s">
        <v>2738</v>
      </c>
      <c r="B1022" s="7">
        <v>45905</v>
      </c>
      <c r="C1022" t="s">
        <v>93</v>
      </c>
      <c r="D1022" t="s">
        <v>94</v>
      </c>
      <c r="E1022" t="s">
        <v>99</v>
      </c>
      <c r="F1022" s="12" t="s">
        <v>24</v>
      </c>
      <c r="G1022" t="s">
        <v>25</v>
      </c>
      <c r="H1022" t="s">
        <v>2739</v>
      </c>
      <c r="I1022" t="s">
        <v>71</v>
      </c>
      <c r="J1022" s="6">
        <v>30100</v>
      </c>
      <c r="K1022" t="s">
        <v>3</v>
      </c>
      <c r="L1022" t="s">
        <v>2740</v>
      </c>
      <c r="M1022" t="s">
        <v>3</v>
      </c>
      <c r="N1022" s="25" t="str">
        <f>TEXT(tbl_Ledger[[#This Row],[Date]],"yyyy-mm")</f>
        <v>2025-09</v>
      </c>
      <c r="O1022" s="25" t="str">
        <f>TEXT(tbl_Ledger[[#This Row],[Date]],"yyyy-mm") &amp; TRIM(tbl_Ledger[[#This Row],[Currency]])</f>
        <v>2025-09NGN</v>
      </c>
      <c r="P1022" s="25">
        <f>_xlfn.XLOOKUP(tbl_Ledger[[#This Row],[Key]], tbl_FX[Key], tbl_FX[Rate_to_NGN])</f>
        <v>1</v>
      </c>
      <c r="Q1022" s="37">
        <f>IF(tbl_Ledger[[#This Row],[Account_Type]]="Expense",-ABS(tbl_Ledger[[#This Row],[Amount]]*tbl_Ledger[[#This Row],[Rate_to_NGN]]),tbl_Ledger[[#This Row],[Amount]]*tbl_Ledger[[#This Row],[Rate_to_NGN]])</f>
        <v>30100</v>
      </c>
      <c r="R1022" s="25" t="str">
        <f>_xlfn.XLOOKUP(tbl_Ledger[[#This Row],[Account_Code]], tbl_Accounts[Account_Code], tbl_Accounts[Type])</f>
        <v>Revenue</v>
      </c>
      <c r="S1022" s="25" t="str">
        <f>_xlfn.XLOOKUP(tbl_Ledger[[#This Row],[Account_Code]], tbl_Accounts[Account_Code], tbl_Accounts[PL_Bucket])</f>
        <v>Revenue</v>
      </c>
      <c r="T1022" s="25">
        <f t="shared" si="15"/>
        <v>30100</v>
      </c>
    </row>
    <row r="1023" spans="1:20">
      <c r="A1023" t="s">
        <v>2741</v>
      </c>
      <c r="B1023" s="7">
        <v>45905</v>
      </c>
      <c r="C1023" t="s">
        <v>93</v>
      </c>
      <c r="D1023" t="s">
        <v>94</v>
      </c>
      <c r="E1023" t="s">
        <v>103</v>
      </c>
      <c r="F1023" s="12" t="s">
        <v>24</v>
      </c>
      <c r="G1023" t="s">
        <v>25</v>
      </c>
      <c r="H1023" t="s">
        <v>2742</v>
      </c>
      <c r="I1023" t="s">
        <v>71</v>
      </c>
      <c r="J1023" s="6">
        <v>31400</v>
      </c>
      <c r="K1023" t="s">
        <v>3</v>
      </c>
      <c r="L1023" t="s">
        <v>2743</v>
      </c>
      <c r="M1023" t="s">
        <v>3</v>
      </c>
      <c r="N1023" s="25" t="str">
        <f>TEXT(tbl_Ledger[[#This Row],[Date]],"yyyy-mm")</f>
        <v>2025-09</v>
      </c>
      <c r="O1023" s="25" t="str">
        <f>TEXT(tbl_Ledger[[#This Row],[Date]],"yyyy-mm") &amp; TRIM(tbl_Ledger[[#This Row],[Currency]])</f>
        <v>2025-09NGN</v>
      </c>
      <c r="P1023" s="25">
        <f>_xlfn.XLOOKUP(tbl_Ledger[[#This Row],[Key]], tbl_FX[Key], tbl_FX[Rate_to_NGN])</f>
        <v>1</v>
      </c>
      <c r="Q1023" s="37">
        <f>IF(tbl_Ledger[[#This Row],[Account_Type]]="Expense",-ABS(tbl_Ledger[[#This Row],[Amount]]*tbl_Ledger[[#This Row],[Rate_to_NGN]]),tbl_Ledger[[#This Row],[Amount]]*tbl_Ledger[[#This Row],[Rate_to_NGN]])</f>
        <v>31400</v>
      </c>
      <c r="R1023" s="25" t="str">
        <f>_xlfn.XLOOKUP(tbl_Ledger[[#This Row],[Account_Code]], tbl_Accounts[Account_Code], tbl_Accounts[Type])</f>
        <v>Revenue</v>
      </c>
      <c r="S1023" s="25" t="str">
        <f>_xlfn.XLOOKUP(tbl_Ledger[[#This Row],[Account_Code]], tbl_Accounts[Account_Code], tbl_Accounts[PL_Bucket])</f>
        <v>Revenue</v>
      </c>
      <c r="T1023" s="25">
        <f t="shared" si="15"/>
        <v>31400</v>
      </c>
    </row>
    <row r="1024" spans="1:20">
      <c r="A1024" t="s">
        <v>2744</v>
      </c>
      <c r="B1024" s="7">
        <v>45905</v>
      </c>
      <c r="C1024" t="s">
        <v>93</v>
      </c>
      <c r="D1024" t="s">
        <v>94</v>
      </c>
      <c r="E1024" t="s">
        <v>160</v>
      </c>
      <c r="F1024" s="12" t="s">
        <v>24</v>
      </c>
      <c r="G1024" t="s">
        <v>25</v>
      </c>
      <c r="H1024" t="s">
        <v>2745</v>
      </c>
      <c r="I1024" t="s">
        <v>71</v>
      </c>
      <c r="J1024" s="6">
        <v>31100</v>
      </c>
      <c r="K1024" t="s">
        <v>3</v>
      </c>
      <c r="L1024" t="s">
        <v>2743</v>
      </c>
      <c r="M1024" t="s">
        <v>3</v>
      </c>
      <c r="N1024" s="25" t="str">
        <f>TEXT(tbl_Ledger[[#This Row],[Date]],"yyyy-mm")</f>
        <v>2025-09</v>
      </c>
      <c r="O1024" s="25" t="str">
        <f>TEXT(tbl_Ledger[[#This Row],[Date]],"yyyy-mm") &amp; TRIM(tbl_Ledger[[#This Row],[Currency]])</f>
        <v>2025-09NGN</v>
      </c>
      <c r="P1024" s="25">
        <f>_xlfn.XLOOKUP(tbl_Ledger[[#This Row],[Key]], tbl_FX[Key], tbl_FX[Rate_to_NGN])</f>
        <v>1</v>
      </c>
      <c r="Q1024" s="37">
        <f>IF(tbl_Ledger[[#This Row],[Account_Type]]="Expense",-ABS(tbl_Ledger[[#This Row],[Amount]]*tbl_Ledger[[#This Row],[Rate_to_NGN]]),tbl_Ledger[[#This Row],[Amount]]*tbl_Ledger[[#This Row],[Rate_to_NGN]])</f>
        <v>31100</v>
      </c>
      <c r="R1024" s="25" t="str">
        <f>_xlfn.XLOOKUP(tbl_Ledger[[#This Row],[Account_Code]], tbl_Accounts[Account_Code], tbl_Accounts[Type])</f>
        <v>Revenue</v>
      </c>
      <c r="S1024" s="25" t="str">
        <f>_xlfn.XLOOKUP(tbl_Ledger[[#This Row],[Account_Code]], tbl_Accounts[Account_Code], tbl_Accounts[PL_Bucket])</f>
        <v>Revenue</v>
      </c>
      <c r="T1024" s="25">
        <f t="shared" si="15"/>
        <v>31100</v>
      </c>
    </row>
    <row r="1025" spans="1:20">
      <c r="A1025" t="s">
        <v>2746</v>
      </c>
      <c r="B1025" s="7">
        <v>45905</v>
      </c>
      <c r="C1025" t="s">
        <v>93</v>
      </c>
      <c r="D1025" t="s">
        <v>94</v>
      </c>
      <c r="E1025" t="s">
        <v>107</v>
      </c>
      <c r="F1025" s="12" t="s">
        <v>24</v>
      </c>
      <c r="G1025" t="s">
        <v>25</v>
      </c>
      <c r="H1025" t="s">
        <v>2747</v>
      </c>
      <c r="I1025" t="s">
        <v>71</v>
      </c>
      <c r="J1025" s="6">
        <v>30200</v>
      </c>
      <c r="K1025" t="s">
        <v>3</v>
      </c>
      <c r="L1025" t="s">
        <v>2748</v>
      </c>
      <c r="M1025" t="s">
        <v>3</v>
      </c>
      <c r="N1025" s="25" t="str">
        <f>TEXT(tbl_Ledger[[#This Row],[Date]],"yyyy-mm")</f>
        <v>2025-09</v>
      </c>
      <c r="O1025" s="25" t="str">
        <f>TEXT(tbl_Ledger[[#This Row],[Date]],"yyyy-mm") &amp; TRIM(tbl_Ledger[[#This Row],[Currency]])</f>
        <v>2025-09NGN</v>
      </c>
      <c r="P1025" s="25">
        <f>_xlfn.XLOOKUP(tbl_Ledger[[#This Row],[Key]], tbl_FX[Key], tbl_FX[Rate_to_NGN])</f>
        <v>1</v>
      </c>
      <c r="Q1025" s="37">
        <f>IF(tbl_Ledger[[#This Row],[Account_Type]]="Expense",-ABS(tbl_Ledger[[#This Row],[Amount]]*tbl_Ledger[[#This Row],[Rate_to_NGN]]),tbl_Ledger[[#This Row],[Amount]]*tbl_Ledger[[#This Row],[Rate_to_NGN]])</f>
        <v>30200</v>
      </c>
      <c r="R1025" s="25" t="str">
        <f>_xlfn.XLOOKUP(tbl_Ledger[[#This Row],[Account_Code]], tbl_Accounts[Account_Code], tbl_Accounts[Type])</f>
        <v>Revenue</v>
      </c>
      <c r="S1025" s="25" t="str">
        <f>_xlfn.XLOOKUP(tbl_Ledger[[#This Row],[Account_Code]], tbl_Accounts[Account_Code], tbl_Accounts[PL_Bucket])</f>
        <v>Revenue</v>
      </c>
      <c r="T1025" s="25">
        <f t="shared" si="15"/>
        <v>30200</v>
      </c>
    </row>
    <row r="1026" spans="1:20">
      <c r="A1026" t="s">
        <v>2749</v>
      </c>
      <c r="B1026" s="7">
        <v>45905</v>
      </c>
      <c r="C1026" t="s">
        <v>93</v>
      </c>
      <c r="D1026" t="s">
        <v>111</v>
      </c>
      <c r="E1026" t="s">
        <v>112</v>
      </c>
      <c r="F1026" s="12" t="s">
        <v>24</v>
      </c>
      <c r="G1026" t="s">
        <v>25</v>
      </c>
      <c r="H1026" t="s">
        <v>2750</v>
      </c>
      <c r="I1026" t="s">
        <v>71</v>
      </c>
      <c r="J1026" s="6">
        <v>49200</v>
      </c>
      <c r="K1026" t="s">
        <v>3</v>
      </c>
      <c r="L1026" t="s">
        <v>2751</v>
      </c>
      <c r="M1026" t="s">
        <v>3</v>
      </c>
      <c r="N1026" s="25" t="str">
        <f>TEXT(tbl_Ledger[[#This Row],[Date]],"yyyy-mm")</f>
        <v>2025-09</v>
      </c>
      <c r="O1026" s="25" t="str">
        <f>TEXT(tbl_Ledger[[#This Row],[Date]],"yyyy-mm") &amp; TRIM(tbl_Ledger[[#This Row],[Currency]])</f>
        <v>2025-09NGN</v>
      </c>
      <c r="P1026" s="25">
        <f>_xlfn.XLOOKUP(tbl_Ledger[[#This Row],[Key]], tbl_FX[Key], tbl_FX[Rate_to_NGN])</f>
        <v>1</v>
      </c>
      <c r="Q1026" s="37">
        <f>IF(tbl_Ledger[[#This Row],[Account_Type]]="Expense",-ABS(tbl_Ledger[[#This Row],[Amount]]*tbl_Ledger[[#This Row],[Rate_to_NGN]]),tbl_Ledger[[#This Row],[Amount]]*tbl_Ledger[[#This Row],[Rate_to_NGN]])</f>
        <v>49200</v>
      </c>
      <c r="R1026" s="25" t="str">
        <f>_xlfn.XLOOKUP(tbl_Ledger[[#This Row],[Account_Code]], tbl_Accounts[Account_Code], tbl_Accounts[Type])</f>
        <v>Revenue</v>
      </c>
      <c r="S1026" s="25" t="str">
        <f>_xlfn.XLOOKUP(tbl_Ledger[[#This Row],[Account_Code]], tbl_Accounts[Account_Code], tbl_Accounts[PL_Bucket])</f>
        <v>Revenue</v>
      </c>
      <c r="T1026" s="25">
        <f t="shared" ref="T1026:T1089" si="16">IF(AND(S1026="Revenue",F1026&lt;&gt;4900),ABS(Q1026),-ABS(Q1026))</f>
        <v>49200</v>
      </c>
    </row>
    <row r="1027" spans="1:20">
      <c r="A1027" t="s">
        <v>2752</v>
      </c>
      <c r="B1027" s="7">
        <v>45905</v>
      </c>
      <c r="C1027" t="s">
        <v>93</v>
      </c>
      <c r="D1027" t="s">
        <v>111</v>
      </c>
      <c r="E1027" t="s">
        <v>116</v>
      </c>
      <c r="F1027" s="12" t="s">
        <v>24</v>
      </c>
      <c r="G1027" t="s">
        <v>25</v>
      </c>
      <c r="H1027" t="s">
        <v>2753</v>
      </c>
      <c r="I1027" t="s">
        <v>71</v>
      </c>
      <c r="J1027" s="6">
        <v>50700</v>
      </c>
      <c r="K1027" t="s">
        <v>3</v>
      </c>
      <c r="L1027" t="s">
        <v>2751</v>
      </c>
      <c r="M1027" t="s">
        <v>3</v>
      </c>
      <c r="N1027" s="25" t="str">
        <f>TEXT(tbl_Ledger[[#This Row],[Date]],"yyyy-mm")</f>
        <v>2025-09</v>
      </c>
      <c r="O1027" s="25" t="str">
        <f>TEXT(tbl_Ledger[[#This Row],[Date]],"yyyy-mm") &amp; TRIM(tbl_Ledger[[#This Row],[Currency]])</f>
        <v>2025-09NGN</v>
      </c>
      <c r="P1027" s="25">
        <f>_xlfn.XLOOKUP(tbl_Ledger[[#This Row],[Key]], tbl_FX[Key], tbl_FX[Rate_to_NGN])</f>
        <v>1</v>
      </c>
      <c r="Q1027" s="37">
        <f>IF(tbl_Ledger[[#This Row],[Account_Type]]="Expense",-ABS(tbl_Ledger[[#This Row],[Amount]]*tbl_Ledger[[#This Row],[Rate_to_NGN]]),tbl_Ledger[[#This Row],[Amount]]*tbl_Ledger[[#This Row],[Rate_to_NGN]])</f>
        <v>50700</v>
      </c>
      <c r="R1027" s="25" t="str">
        <f>_xlfn.XLOOKUP(tbl_Ledger[[#This Row],[Account_Code]], tbl_Accounts[Account_Code], tbl_Accounts[Type])</f>
        <v>Revenue</v>
      </c>
      <c r="S1027" s="25" t="str">
        <f>_xlfn.XLOOKUP(tbl_Ledger[[#This Row],[Account_Code]], tbl_Accounts[Account_Code], tbl_Accounts[PL_Bucket])</f>
        <v>Revenue</v>
      </c>
      <c r="T1027" s="25">
        <f t="shared" si="16"/>
        <v>50700</v>
      </c>
    </row>
    <row r="1028" spans="1:20">
      <c r="A1028" t="s">
        <v>2754</v>
      </c>
      <c r="B1028" s="7">
        <v>45905</v>
      </c>
      <c r="C1028" t="s">
        <v>93</v>
      </c>
      <c r="D1028" t="s">
        <v>111</v>
      </c>
      <c r="E1028" t="s">
        <v>119</v>
      </c>
      <c r="F1028" s="12" t="s">
        <v>24</v>
      </c>
      <c r="G1028" t="s">
        <v>25</v>
      </c>
      <c r="H1028" t="s">
        <v>2755</v>
      </c>
      <c r="I1028" t="s">
        <v>71</v>
      </c>
      <c r="J1028" s="6">
        <v>51900</v>
      </c>
      <c r="K1028" t="s">
        <v>3</v>
      </c>
      <c r="L1028" t="s">
        <v>2751</v>
      </c>
      <c r="M1028" t="s">
        <v>3</v>
      </c>
      <c r="N1028" s="25" t="str">
        <f>TEXT(tbl_Ledger[[#This Row],[Date]],"yyyy-mm")</f>
        <v>2025-09</v>
      </c>
      <c r="O1028" s="25" t="str">
        <f>TEXT(tbl_Ledger[[#This Row],[Date]],"yyyy-mm") &amp; TRIM(tbl_Ledger[[#This Row],[Currency]])</f>
        <v>2025-09NGN</v>
      </c>
      <c r="P1028" s="25">
        <f>_xlfn.XLOOKUP(tbl_Ledger[[#This Row],[Key]], tbl_FX[Key], tbl_FX[Rate_to_NGN])</f>
        <v>1</v>
      </c>
      <c r="Q1028" s="37">
        <f>IF(tbl_Ledger[[#This Row],[Account_Type]]="Expense",-ABS(tbl_Ledger[[#This Row],[Amount]]*tbl_Ledger[[#This Row],[Rate_to_NGN]]),tbl_Ledger[[#This Row],[Amount]]*tbl_Ledger[[#This Row],[Rate_to_NGN]])</f>
        <v>51900</v>
      </c>
      <c r="R1028" s="25" t="str">
        <f>_xlfn.XLOOKUP(tbl_Ledger[[#This Row],[Account_Code]], tbl_Accounts[Account_Code], tbl_Accounts[Type])</f>
        <v>Revenue</v>
      </c>
      <c r="S1028" s="25" t="str">
        <f>_xlfn.XLOOKUP(tbl_Ledger[[#This Row],[Account_Code]], tbl_Accounts[Account_Code], tbl_Accounts[PL_Bucket])</f>
        <v>Revenue</v>
      </c>
      <c r="T1028" s="25">
        <f t="shared" si="16"/>
        <v>51900</v>
      </c>
    </row>
    <row r="1029" spans="1:20">
      <c r="A1029" t="s">
        <v>2756</v>
      </c>
      <c r="B1029" s="7">
        <v>45905</v>
      </c>
      <c r="C1029" t="s">
        <v>93</v>
      </c>
      <c r="D1029" t="s">
        <v>111</v>
      </c>
      <c r="E1029" t="s">
        <v>170</v>
      </c>
      <c r="F1029" s="12" t="s">
        <v>24</v>
      </c>
      <c r="G1029" t="s">
        <v>25</v>
      </c>
      <c r="H1029" t="s">
        <v>2757</v>
      </c>
      <c r="I1029" t="s">
        <v>71</v>
      </c>
      <c r="J1029" s="6">
        <v>51400</v>
      </c>
      <c r="K1029" t="s">
        <v>3</v>
      </c>
      <c r="L1029" t="s">
        <v>2751</v>
      </c>
      <c r="M1029" t="s">
        <v>3</v>
      </c>
      <c r="N1029" s="25" t="str">
        <f>TEXT(tbl_Ledger[[#This Row],[Date]],"yyyy-mm")</f>
        <v>2025-09</v>
      </c>
      <c r="O1029" s="25" t="str">
        <f>TEXT(tbl_Ledger[[#This Row],[Date]],"yyyy-mm") &amp; TRIM(tbl_Ledger[[#This Row],[Currency]])</f>
        <v>2025-09NGN</v>
      </c>
      <c r="P1029" s="25">
        <f>_xlfn.XLOOKUP(tbl_Ledger[[#This Row],[Key]], tbl_FX[Key], tbl_FX[Rate_to_NGN])</f>
        <v>1</v>
      </c>
      <c r="Q1029" s="37">
        <f>IF(tbl_Ledger[[#This Row],[Account_Type]]="Expense",-ABS(tbl_Ledger[[#This Row],[Amount]]*tbl_Ledger[[#This Row],[Rate_to_NGN]]),tbl_Ledger[[#This Row],[Amount]]*tbl_Ledger[[#This Row],[Rate_to_NGN]])</f>
        <v>51400</v>
      </c>
      <c r="R1029" s="25" t="str">
        <f>_xlfn.XLOOKUP(tbl_Ledger[[#This Row],[Account_Code]], tbl_Accounts[Account_Code], tbl_Accounts[Type])</f>
        <v>Revenue</v>
      </c>
      <c r="S1029" s="25" t="str">
        <f>_xlfn.XLOOKUP(tbl_Ledger[[#This Row],[Account_Code]], tbl_Accounts[Account_Code], tbl_Accounts[PL_Bucket])</f>
        <v>Revenue</v>
      </c>
      <c r="T1029" s="25">
        <f t="shared" si="16"/>
        <v>51400</v>
      </c>
    </row>
    <row r="1030" spans="1:20">
      <c r="A1030" t="s">
        <v>2758</v>
      </c>
      <c r="B1030" s="7">
        <v>45905</v>
      </c>
      <c r="C1030" t="s">
        <v>93</v>
      </c>
      <c r="D1030" t="s">
        <v>111</v>
      </c>
      <c r="E1030" t="s">
        <v>122</v>
      </c>
      <c r="F1030" s="12" t="s">
        <v>24</v>
      </c>
      <c r="G1030" t="s">
        <v>25</v>
      </c>
      <c r="H1030" t="s">
        <v>2759</v>
      </c>
      <c r="I1030" t="s">
        <v>73</v>
      </c>
      <c r="J1030" s="6">
        <v>505.21</v>
      </c>
      <c r="K1030" t="s">
        <v>3</v>
      </c>
      <c r="L1030" t="s">
        <v>2760</v>
      </c>
      <c r="M1030" t="s">
        <v>3</v>
      </c>
      <c r="N1030" s="25" t="str">
        <f>TEXT(tbl_Ledger[[#This Row],[Date]],"yyyy-mm")</f>
        <v>2025-09</v>
      </c>
      <c r="O1030" s="25" t="str">
        <f>TEXT(tbl_Ledger[[#This Row],[Date]],"yyyy-mm") &amp; TRIM(tbl_Ledger[[#This Row],[Currency]])</f>
        <v>2025-09GHS</v>
      </c>
      <c r="P1030" s="25">
        <f>_xlfn.XLOOKUP(tbl_Ledger[[#This Row],[Key]], tbl_FX[Key], tbl_FX[Rate_to_NGN])</f>
        <v>96</v>
      </c>
      <c r="Q1030" s="37">
        <f>IF(tbl_Ledger[[#This Row],[Account_Type]]="Expense",-ABS(tbl_Ledger[[#This Row],[Amount]]*tbl_Ledger[[#This Row],[Rate_to_NGN]]),tbl_Ledger[[#This Row],[Amount]]*tbl_Ledger[[#This Row],[Rate_to_NGN]])</f>
        <v>48500.159999999996</v>
      </c>
      <c r="R1030" s="25" t="str">
        <f>_xlfn.XLOOKUP(tbl_Ledger[[#This Row],[Account_Code]], tbl_Accounts[Account_Code], tbl_Accounts[Type])</f>
        <v>Revenue</v>
      </c>
      <c r="S1030" s="25" t="str">
        <f>_xlfn.XLOOKUP(tbl_Ledger[[#This Row],[Account_Code]], tbl_Accounts[Account_Code], tbl_Accounts[PL_Bucket])</f>
        <v>Revenue</v>
      </c>
      <c r="T1030" s="25">
        <f t="shared" si="16"/>
        <v>48500.159999999996</v>
      </c>
    </row>
    <row r="1031" spans="1:20">
      <c r="A1031" t="s">
        <v>2761</v>
      </c>
      <c r="B1031" s="7">
        <v>45905</v>
      </c>
      <c r="C1031" t="s">
        <v>126</v>
      </c>
      <c r="D1031" t="s">
        <v>88</v>
      </c>
      <c r="E1031" t="s">
        <v>127</v>
      </c>
      <c r="F1031" s="12" t="s">
        <v>29</v>
      </c>
      <c r="G1031" t="s">
        <v>30</v>
      </c>
      <c r="H1031" t="s">
        <v>2762</v>
      </c>
      <c r="I1031" t="s">
        <v>72</v>
      </c>
      <c r="J1031" s="6">
        <v>32.9</v>
      </c>
      <c r="K1031" t="s">
        <v>129</v>
      </c>
      <c r="L1031" t="s">
        <v>2763</v>
      </c>
      <c r="M1031" t="s">
        <v>3</v>
      </c>
      <c r="N1031" s="25" t="str">
        <f>TEXT(tbl_Ledger[[#This Row],[Date]],"yyyy-mm")</f>
        <v>2025-09</v>
      </c>
      <c r="O1031" s="25" t="str">
        <f>TEXT(tbl_Ledger[[#This Row],[Date]],"yyyy-mm") &amp; TRIM(tbl_Ledger[[#This Row],[Currency]])</f>
        <v>2025-09USD</v>
      </c>
      <c r="P1031" s="25">
        <f>_xlfn.XLOOKUP(tbl_Ledger[[#This Row],[Key]], tbl_FX[Key], tbl_FX[Rate_to_NGN])</f>
        <v>1611</v>
      </c>
      <c r="Q1031" s="37">
        <f>IF(tbl_Ledger[[#This Row],[Account_Type]]="Expense",-ABS(tbl_Ledger[[#This Row],[Amount]]*tbl_Ledger[[#This Row],[Rate_to_NGN]]),tbl_Ledger[[#This Row],[Amount]]*tbl_Ledger[[#This Row],[Rate_to_NGN]])</f>
        <v>53001.899999999994</v>
      </c>
      <c r="R1031" s="25" t="str">
        <f>_xlfn.XLOOKUP(tbl_Ledger[[#This Row],[Account_Code]], tbl_Accounts[Account_Code], tbl_Accounts[Type])</f>
        <v>Revenue</v>
      </c>
      <c r="S1031" s="25" t="str">
        <f>_xlfn.XLOOKUP(tbl_Ledger[[#This Row],[Account_Code]], tbl_Accounts[Account_Code], tbl_Accounts[PL_Bucket])</f>
        <v>Revenue</v>
      </c>
      <c r="T1031" s="25">
        <f t="shared" si="16"/>
        <v>53001.899999999994</v>
      </c>
    </row>
    <row r="1032" spans="1:20">
      <c r="A1032" t="s">
        <v>2764</v>
      </c>
      <c r="B1032" s="7">
        <v>45905</v>
      </c>
      <c r="C1032" t="s">
        <v>126</v>
      </c>
      <c r="D1032" t="s">
        <v>88</v>
      </c>
      <c r="E1032" t="s">
        <v>132</v>
      </c>
      <c r="F1032" s="12" t="s">
        <v>29</v>
      </c>
      <c r="G1032" t="s">
        <v>30</v>
      </c>
      <c r="H1032" t="s">
        <v>2765</v>
      </c>
      <c r="I1032" t="s">
        <v>72</v>
      </c>
      <c r="J1032" s="6">
        <v>35.69</v>
      </c>
      <c r="K1032" t="s">
        <v>134</v>
      </c>
      <c r="L1032" t="s">
        <v>2763</v>
      </c>
      <c r="M1032" t="s">
        <v>3</v>
      </c>
      <c r="N1032" s="25" t="str">
        <f>TEXT(tbl_Ledger[[#This Row],[Date]],"yyyy-mm")</f>
        <v>2025-09</v>
      </c>
      <c r="O1032" s="25" t="str">
        <f>TEXT(tbl_Ledger[[#This Row],[Date]],"yyyy-mm") &amp; TRIM(tbl_Ledger[[#This Row],[Currency]])</f>
        <v>2025-09USD</v>
      </c>
      <c r="P1032" s="25">
        <f>_xlfn.XLOOKUP(tbl_Ledger[[#This Row],[Key]], tbl_FX[Key], tbl_FX[Rate_to_NGN])</f>
        <v>1611</v>
      </c>
      <c r="Q1032" s="37">
        <f>IF(tbl_Ledger[[#This Row],[Account_Type]]="Expense",-ABS(tbl_Ledger[[#This Row],[Amount]]*tbl_Ledger[[#This Row],[Rate_to_NGN]]),tbl_Ledger[[#This Row],[Amount]]*tbl_Ledger[[#This Row],[Rate_to_NGN]])</f>
        <v>57496.59</v>
      </c>
      <c r="R1032" s="25" t="str">
        <f>_xlfn.XLOOKUP(tbl_Ledger[[#This Row],[Account_Code]], tbl_Accounts[Account_Code], tbl_Accounts[Type])</f>
        <v>Revenue</v>
      </c>
      <c r="S1032" s="25" t="str">
        <f>_xlfn.XLOOKUP(tbl_Ledger[[#This Row],[Account_Code]], tbl_Accounts[Account_Code], tbl_Accounts[PL_Bucket])</f>
        <v>Revenue</v>
      </c>
      <c r="T1032" s="25">
        <f t="shared" si="16"/>
        <v>57496.59</v>
      </c>
    </row>
    <row r="1033" spans="1:20">
      <c r="A1033" t="s">
        <v>2766</v>
      </c>
      <c r="B1033" s="7">
        <v>45905</v>
      </c>
      <c r="C1033" t="s">
        <v>126</v>
      </c>
      <c r="D1033" t="s">
        <v>88</v>
      </c>
      <c r="E1033" t="s">
        <v>140</v>
      </c>
      <c r="F1033" s="12" t="s">
        <v>29</v>
      </c>
      <c r="G1033" t="s">
        <v>30</v>
      </c>
      <c r="H1033" t="s">
        <v>2767</v>
      </c>
      <c r="I1033" t="s">
        <v>71</v>
      </c>
      <c r="J1033" s="6">
        <v>50300</v>
      </c>
      <c r="K1033" t="s">
        <v>3</v>
      </c>
      <c r="L1033" t="s">
        <v>2768</v>
      </c>
      <c r="M1033" t="s">
        <v>3</v>
      </c>
      <c r="N1033" s="25" t="str">
        <f>TEXT(tbl_Ledger[[#This Row],[Date]],"yyyy-mm")</f>
        <v>2025-09</v>
      </c>
      <c r="O1033" s="25" t="str">
        <f>TEXT(tbl_Ledger[[#This Row],[Date]],"yyyy-mm") &amp; TRIM(tbl_Ledger[[#This Row],[Currency]])</f>
        <v>2025-09NGN</v>
      </c>
      <c r="P1033" s="25">
        <f>_xlfn.XLOOKUP(tbl_Ledger[[#This Row],[Key]], tbl_FX[Key], tbl_FX[Rate_to_NGN])</f>
        <v>1</v>
      </c>
      <c r="Q1033" s="37">
        <f>IF(tbl_Ledger[[#This Row],[Account_Type]]="Expense",-ABS(tbl_Ledger[[#This Row],[Amount]]*tbl_Ledger[[#This Row],[Rate_to_NGN]]),tbl_Ledger[[#This Row],[Amount]]*tbl_Ledger[[#This Row],[Rate_to_NGN]])</f>
        <v>50300</v>
      </c>
      <c r="R1033" s="25" t="str">
        <f>_xlfn.XLOOKUP(tbl_Ledger[[#This Row],[Account_Code]], tbl_Accounts[Account_Code], tbl_Accounts[Type])</f>
        <v>Revenue</v>
      </c>
      <c r="S1033" s="25" t="str">
        <f>_xlfn.XLOOKUP(tbl_Ledger[[#This Row],[Account_Code]], tbl_Accounts[Account_Code], tbl_Accounts[PL_Bucket])</f>
        <v>Revenue</v>
      </c>
      <c r="T1033" s="25">
        <f t="shared" si="16"/>
        <v>50300</v>
      </c>
    </row>
    <row r="1034" spans="1:20">
      <c r="A1034" t="s">
        <v>2769</v>
      </c>
      <c r="B1034" s="7">
        <v>45905</v>
      </c>
      <c r="C1034" t="s">
        <v>87</v>
      </c>
      <c r="D1034" t="s">
        <v>111</v>
      </c>
      <c r="E1034" t="s">
        <v>3</v>
      </c>
      <c r="F1034" s="12" t="s">
        <v>36</v>
      </c>
      <c r="G1034" t="s">
        <v>37</v>
      </c>
      <c r="H1034" t="s">
        <v>2770</v>
      </c>
      <c r="I1034" t="s">
        <v>71</v>
      </c>
      <c r="J1034" s="6">
        <v>-883000</v>
      </c>
      <c r="K1034" t="s">
        <v>987</v>
      </c>
      <c r="L1034" t="s">
        <v>2771</v>
      </c>
      <c r="M1034" t="s">
        <v>3</v>
      </c>
      <c r="N1034" s="25" t="str">
        <f>TEXT(tbl_Ledger[[#This Row],[Date]],"yyyy-mm")</f>
        <v>2025-09</v>
      </c>
      <c r="O1034" s="25" t="str">
        <f>TEXT(tbl_Ledger[[#This Row],[Date]],"yyyy-mm") &amp; TRIM(tbl_Ledger[[#This Row],[Currency]])</f>
        <v>2025-09NGN</v>
      </c>
      <c r="P1034" s="25">
        <f>_xlfn.XLOOKUP(tbl_Ledger[[#This Row],[Key]], tbl_FX[Key], tbl_FX[Rate_to_NGN])</f>
        <v>1</v>
      </c>
      <c r="Q1034" s="37">
        <f>IF(tbl_Ledger[[#This Row],[Account_Type]]="Expense",-ABS(tbl_Ledger[[#This Row],[Amount]]*tbl_Ledger[[#This Row],[Rate_to_NGN]]),tbl_Ledger[[#This Row],[Amount]]*tbl_Ledger[[#This Row],[Rate_to_NGN]])</f>
        <v>-883000</v>
      </c>
      <c r="R1034" s="25" t="str">
        <f>_xlfn.XLOOKUP(tbl_Ledger[[#This Row],[Account_Code]], tbl_Accounts[Account_Code], tbl_Accounts[Type])</f>
        <v>COGS</v>
      </c>
      <c r="S1034" s="25" t="str">
        <f>_xlfn.XLOOKUP(tbl_Ledger[[#This Row],[Account_Code]], tbl_Accounts[Account_Code], tbl_Accounts[PL_Bucket])</f>
        <v>COGS</v>
      </c>
      <c r="T1034" s="25">
        <f t="shared" si="16"/>
        <v>-883000</v>
      </c>
    </row>
    <row r="1035" spans="1:20">
      <c r="A1035" t="s">
        <v>2772</v>
      </c>
      <c r="B1035" s="7">
        <v>45905</v>
      </c>
      <c r="C1035" t="s">
        <v>87</v>
      </c>
      <c r="D1035" t="s">
        <v>94</v>
      </c>
      <c r="E1035" t="s">
        <v>3</v>
      </c>
      <c r="F1035" s="12" t="s">
        <v>49</v>
      </c>
      <c r="G1035" t="s">
        <v>50</v>
      </c>
      <c r="H1035" t="s">
        <v>2773</v>
      </c>
      <c r="I1035" t="s">
        <v>71</v>
      </c>
      <c r="J1035" s="6">
        <v>-720000</v>
      </c>
      <c r="K1035" t="s">
        <v>320</v>
      </c>
      <c r="L1035" t="s">
        <v>2774</v>
      </c>
      <c r="M1035" t="s">
        <v>3</v>
      </c>
      <c r="N1035" s="25" t="str">
        <f>TEXT(tbl_Ledger[[#This Row],[Date]],"yyyy-mm")</f>
        <v>2025-09</v>
      </c>
      <c r="O1035" s="25" t="str">
        <f>TEXT(tbl_Ledger[[#This Row],[Date]],"yyyy-mm") &amp; TRIM(tbl_Ledger[[#This Row],[Currency]])</f>
        <v>2025-09NGN</v>
      </c>
      <c r="P1035" s="25">
        <f>_xlfn.XLOOKUP(tbl_Ledger[[#This Row],[Key]], tbl_FX[Key], tbl_FX[Rate_to_NGN])</f>
        <v>1</v>
      </c>
      <c r="Q1035" s="37">
        <f>IF(tbl_Ledger[[#This Row],[Account_Type]]="Expense",-ABS(tbl_Ledger[[#This Row],[Amount]]*tbl_Ledger[[#This Row],[Rate_to_NGN]]),tbl_Ledger[[#This Row],[Amount]]*tbl_Ledger[[#This Row],[Rate_to_NGN]])</f>
        <v>-720000</v>
      </c>
      <c r="R1035" s="25" t="str">
        <f>_xlfn.XLOOKUP(tbl_Ledger[[#This Row],[Account_Code]], tbl_Accounts[Account_Code], tbl_Accounts[Type])</f>
        <v>Opex</v>
      </c>
      <c r="S1035" s="25" t="str">
        <f>_xlfn.XLOOKUP(tbl_Ledger[[#This Row],[Account_Code]], tbl_Accounts[Account_Code], tbl_Accounts[PL_Bucket])</f>
        <v>Opex</v>
      </c>
      <c r="T1035" s="25">
        <f t="shared" si="16"/>
        <v>-720000</v>
      </c>
    </row>
    <row r="1036" spans="1:20">
      <c r="A1036" t="s">
        <v>2775</v>
      </c>
      <c r="B1036" s="7">
        <v>45905</v>
      </c>
      <c r="C1036" t="s">
        <v>87</v>
      </c>
      <c r="D1036" t="s">
        <v>111</v>
      </c>
      <c r="E1036" t="s">
        <v>3</v>
      </c>
      <c r="F1036" s="12" t="s">
        <v>49</v>
      </c>
      <c r="G1036" t="s">
        <v>50</v>
      </c>
      <c r="H1036" t="s">
        <v>2773</v>
      </c>
      <c r="I1036" t="s">
        <v>71</v>
      </c>
      <c r="J1036" s="6">
        <v>-1400000</v>
      </c>
      <c r="K1036" t="s">
        <v>320</v>
      </c>
      <c r="L1036" t="s">
        <v>2776</v>
      </c>
      <c r="M1036" t="s">
        <v>3</v>
      </c>
      <c r="N1036" s="25" t="str">
        <f>TEXT(tbl_Ledger[[#This Row],[Date]],"yyyy-mm")</f>
        <v>2025-09</v>
      </c>
      <c r="O1036" s="25" t="str">
        <f>TEXT(tbl_Ledger[[#This Row],[Date]],"yyyy-mm") &amp; TRIM(tbl_Ledger[[#This Row],[Currency]])</f>
        <v>2025-09NGN</v>
      </c>
      <c r="P1036" s="25">
        <f>_xlfn.XLOOKUP(tbl_Ledger[[#This Row],[Key]], tbl_FX[Key], tbl_FX[Rate_to_NGN])</f>
        <v>1</v>
      </c>
      <c r="Q1036" s="37">
        <f>IF(tbl_Ledger[[#This Row],[Account_Type]]="Expense",-ABS(tbl_Ledger[[#This Row],[Amount]]*tbl_Ledger[[#This Row],[Rate_to_NGN]]),tbl_Ledger[[#This Row],[Amount]]*tbl_Ledger[[#This Row],[Rate_to_NGN]])</f>
        <v>-1400000</v>
      </c>
      <c r="R1036" s="25" t="str">
        <f>_xlfn.XLOOKUP(tbl_Ledger[[#This Row],[Account_Code]], tbl_Accounts[Account_Code], tbl_Accounts[Type])</f>
        <v>Opex</v>
      </c>
      <c r="S1036" s="25" t="str">
        <f>_xlfn.XLOOKUP(tbl_Ledger[[#This Row],[Account_Code]], tbl_Accounts[Account_Code], tbl_Accounts[PL_Bucket])</f>
        <v>Opex</v>
      </c>
      <c r="T1036" s="25">
        <f t="shared" si="16"/>
        <v>-1400000</v>
      </c>
    </row>
    <row r="1037" spans="1:20">
      <c r="A1037" t="s">
        <v>2777</v>
      </c>
      <c r="B1037" s="7">
        <v>45905</v>
      </c>
      <c r="C1037" t="s">
        <v>87</v>
      </c>
      <c r="D1037" t="s">
        <v>88</v>
      </c>
      <c r="E1037" t="s">
        <v>3</v>
      </c>
      <c r="F1037" s="12" t="s">
        <v>49</v>
      </c>
      <c r="G1037" t="s">
        <v>50</v>
      </c>
      <c r="H1037" t="s">
        <v>2773</v>
      </c>
      <c r="I1037" t="s">
        <v>71</v>
      </c>
      <c r="J1037" s="6">
        <v>-380000</v>
      </c>
      <c r="K1037" t="s">
        <v>320</v>
      </c>
      <c r="L1037" t="s">
        <v>2778</v>
      </c>
      <c r="M1037" t="s">
        <v>3</v>
      </c>
      <c r="N1037" s="25" t="str">
        <f>TEXT(tbl_Ledger[[#This Row],[Date]],"yyyy-mm")</f>
        <v>2025-09</v>
      </c>
      <c r="O1037" s="25" t="str">
        <f>TEXT(tbl_Ledger[[#This Row],[Date]],"yyyy-mm") &amp; TRIM(tbl_Ledger[[#This Row],[Currency]])</f>
        <v>2025-09NGN</v>
      </c>
      <c r="P1037" s="25">
        <f>_xlfn.XLOOKUP(tbl_Ledger[[#This Row],[Key]], tbl_FX[Key], tbl_FX[Rate_to_NGN])</f>
        <v>1</v>
      </c>
      <c r="Q1037" s="37">
        <f>IF(tbl_Ledger[[#This Row],[Account_Type]]="Expense",-ABS(tbl_Ledger[[#This Row],[Amount]]*tbl_Ledger[[#This Row],[Rate_to_NGN]]),tbl_Ledger[[#This Row],[Amount]]*tbl_Ledger[[#This Row],[Rate_to_NGN]])</f>
        <v>-380000</v>
      </c>
      <c r="R1037" s="25" t="str">
        <f>_xlfn.XLOOKUP(tbl_Ledger[[#This Row],[Account_Code]], tbl_Accounts[Account_Code], tbl_Accounts[Type])</f>
        <v>Opex</v>
      </c>
      <c r="S1037" s="25" t="str">
        <f>_xlfn.XLOOKUP(tbl_Ledger[[#This Row],[Account_Code]], tbl_Accounts[Account_Code], tbl_Accounts[PL_Bucket])</f>
        <v>Opex</v>
      </c>
      <c r="T1037" s="25">
        <f t="shared" si="16"/>
        <v>-380000</v>
      </c>
    </row>
    <row r="1038" spans="1:20">
      <c r="A1038" t="s">
        <v>2779</v>
      </c>
      <c r="B1038" s="7">
        <v>45906</v>
      </c>
      <c r="C1038" t="s">
        <v>93</v>
      </c>
      <c r="D1038" t="s">
        <v>94</v>
      </c>
      <c r="E1038" t="s">
        <v>95</v>
      </c>
      <c r="F1038" s="12" t="s">
        <v>24</v>
      </c>
      <c r="G1038" t="s">
        <v>25</v>
      </c>
      <c r="H1038" t="s">
        <v>2780</v>
      </c>
      <c r="I1038" t="s">
        <v>71</v>
      </c>
      <c r="J1038" s="6">
        <v>36500</v>
      </c>
      <c r="K1038" t="s">
        <v>3</v>
      </c>
      <c r="L1038" t="s">
        <v>2781</v>
      </c>
      <c r="M1038" t="s">
        <v>3</v>
      </c>
      <c r="N1038" s="25" t="str">
        <f>TEXT(tbl_Ledger[[#This Row],[Date]],"yyyy-mm")</f>
        <v>2025-09</v>
      </c>
      <c r="O1038" s="25" t="str">
        <f>TEXT(tbl_Ledger[[#This Row],[Date]],"yyyy-mm") &amp; TRIM(tbl_Ledger[[#This Row],[Currency]])</f>
        <v>2025-09NGN</v>
      </c>
      <c r="P1038" s="25">
        <f>_xlfn.XLOOKUP(tbl_Ledger[[#This Row],[Key]], tbl_FX[Key], tbl_FX[Rate_to_NGN])</f>
        <v>1</v>
      </c>
      <c r="Q1038" s="37">
        <f>IF(tbl_Ledger[[#This Row],[Account_Type]]="Expense",-ABS(tbl_Ledger[[#This Row],[Amount]]*tbl_Ledger[[#This Row],[Rate_to_NGN]]),tbl_Ledger[[#This Row],[Amount]]*tbl_Ledger[[#This Row],[Rate_to_NGN]])</f>
        <v>36500</v>
      </c>
      <c r="R1038" s="25" t="str">
        <f>_xlfn.XLOOKUP(tbl_Ledger[[#This Row],[Account_Code]], tbl_Accounts[Account_Code], tbl_Accounts[Type])</f>
        <v>Revenue</v>
      </c>
      <c r="S1038" s="25" t="str">
        <f>_xlfn.XLOOKUP(tbl_Ledger[[#This Row],[Account_Code]], tbl_Accounts[Account_Code], tbl_Accounts[PL_Bucket])</f>
        <v>Revenue</v>
      </c>
      <c r="T1038" s="25">
        <f t="shared" si="16"/>
        <v>36500</v>
      </c>
    </row>
    <row r="1039" spans="1:20">
      <c r="A1039" t="s">
        <v>2782</v>
      </c>
      <c r="B1039" s="7">
        <v>45906</v>
      </c>
      <c r="C1039" t="s">
        <v>93</v>
      </c>
      <c r="D1039" t="s">
        <v>94</v>
      </c>
      <c r="E1039" t="s">
        <v>99</v>
      </c>
      <c r="F1039" s="12" t="s">
        <v>24</v>
      </c>
      <c r="G1039" t="s">
        <v>25</v>
      </c>
      <c r="H1039" t="s">
        <v>2783</v>
      </c>
      <c r="I1039" t="s">
        <v>71</v>
      </c>
      <c r="J1039" s="6">
        <v>38400</v>
      </c>
      <c r="K1039" t="s">
        <v>3</v>
      </c>
      <c r="L1039" t="s">
        <v>2784</v>
      </c>
      <c r="M1039" t="s">
        <v>3</v>
      </c>
      <c r="N1039" s="25" t="str">
        <f>TEXT(tbl_Ledger[[#This Row],[Date]],"yyyy-mm")</f>
        <v>2025-09</v>
      </c>
      <c r="O1039" s="25" t="str">
        <f>TEXT(tbl_Ledger[[#This Row],[Date]],"yyyy-mm") &amp; TRIM(tbl_Ledger[[#This Row],[Currency]])</f>
        <v>2025-09NGN</v>
      </c>
      <c r="P1039" s="25">
        <f>_xlfn.XLOOKUP(tbl_Ledger[[#This Row],[Key]], tbl_FX[Key], tbl_FX[Rate_to_NGN])</f>
        <v>1</v>
      </c>
      <c r="Q1039" s="37">
        <f>IF(tbl_Ledger[[#This Row],[Account_Type]]="Expense",-ABS(tbl_Ledger[[#This Row],[Amount]]*tbl_Ledger[[#This Row],[Rate_to_NGN]]),tbl_Ledger[[#This Row],[Amount]]*tbl_Ledger[[#This Row],[Rate_to_NGN]])</f>
        <v>38400</v>
      </c>
      <c r="R1039" s="25" t="str">
        <f>_xlfn.XLOOKUP(tbl_Ledger[[#This Row],[Account_Code]], tbl_Accounts[Account_Code], tbl_Accounts[Type])</f>
        <v>Revenue</v>
      </c>
      <c r="S1039" s="25" t="str">
        <f>_xlfn.XLOOKUP(tbl_Ledger[[#This Row],[Account_Code]], tbl_Accounts[Account_Code], tbl_Accounts[PL_Bucket])</f>
        <v>Revenue</v>
      </c>
      <c r="T1039" s="25">
        <f t="shared" si="16"/>
        <v>38400</v>
      </c>
    </row>
    <row r="1040" spans="1:20">
      <c r="A1040" t="s">
        <v>2785</v>
      </c>
      <c r="B1040" s="7">
        <v>45906</v>
      </c>
      <c r="C1040" t="s">
        <v>93</v>
      </c>
      <c r="D1040" t="s">
        <v>94</v>
      </c>
      <c r="E1040" t="s">
        <v>103</v>
      </c>
      <c r="F1040" s="12" t="s">
        <v>24</v>
      </c>
      <c r="G1040" t="s">
        <v>25</v>
      </c>
      <c r="H1040" t="s">
        <v>2786</v>
      </c>
      <c r="I1040" t="s">
        <v>71</v>
      </c>
      <c r="J1040" s="6">
        <v>42100</v>
      </c>
      <c r="K1040" t="s">
        <v>3</v>
      </c>
      <c r="L1040" t="s">
        <v>2787</v>
      </c>
      <c r="M1040" t="s">
        <v>3</v>
      </c>
      <c r="N1040" s="25" t="str">
        <f>TEXT(tbl_Ledger[[#This Row],[Date]],"yyyy-mm")</f>
        <v>2025-09</v>
      </c>
      <c r="O1040" s="25" t="str">
        <f>TEXT(tbl_Ledger[[#This Row],[Date]],"yyyy-mm") &amp; TRIM(tbl_Ledger[[#This Row],[Currency]])</f>
        <v>2025-09NGN</v>
      </c>
      <c r="P1040" s="25">
        <f>_xlfn.XLOOKUP(tbl_Ledger[[#This Row],[Key]], tbl_FX[Key], tbl_FX[Rate_to_NGN])</f>
        <v>1</v>
      </c>
      <c r="Q1040" s="37">
        <f>IF(tbl_Ledger[[#This Row],[Account_Type]]="Expense",-ABS(tbl_Ledger[[#This Row],[Amount]]*tbl_Ledger[[#This Row],[Rate_to_NGN]]),tbl_Ledger[[#This Row],[Amount]]*tbl_Ledger[[#This Row],[Rate_to_NGN]])</f>
        <v>42100</v>
      </c>
      <c r="R1040" s="25" t="str">
        <f>_xlfn.XLOOKUP(tbl_Ledger[[#This Row],[Account_Code]], tbl_Accounts[Account_Code], tbl_Accounts[Type])</f>
        <v>Revenue</v>
      </c>
      <c r="S1040" s="25" t="str">
        <f>_xlfn.XLOOKUP(tbl_Ledger[[#This Row],[Account_Code]], tbl_Accounts[Account_Code], tbl_Accounts[PL_Bucket])</f>
        <v>Revenue</v>
      </c>
      <c r="T1040" s="25">
        <f t="shared" si="16"/>
        <v>42100</v>
      </c>
    </row>
    <row r="1041" spans="1:20">
      <c r="A1041" t="s">
        <v>2788</v>
      </c>
      <c r="B1041" s="7">
        <v>45906</v>
      </c>
      <c r="C1041" t="s">
        <v>93</v>
      </c>
      <c r="D1041" t="s">
        <v>94</v>
      </c>
      <c r="E1041" t="s">
        <v>160</v>
      </c>
      <c r="F1041" s="12" t="s">
        <v>24</v>
      </c>
      <c r="G1041" t="s">
        <v>25</v>
      </c>
      <c r="H1041" t="s">
        <v>2789</v>
      </c>
      <c r="I1041" t="s">
        <v>71</v>
      </c>
      <c r="J1041" s="6">
        <v>36200</v>
      </c>
      <c r="K1041" t="s">
        <v>3</v>
      </c>
      <c r="L1041" t="s">
        <v>2787</v>
      </c>
      <c r="M1041" t="s">
        <v>3</v>
      </c>
      <c r="N1041" s="25" t="str">
        <f>TEXT(tbl_Ledger[[#This Row],[Date]],"yyyy-mm")</f>
        <v>2025-09</v>
      </c>
      <c r="O1041" s="25" t="str">
        <f>TEXT(tbl_Ledger[[#This Row],[Date]],"yyyy-mm") &amp; TRIM(tbl_Ledger[[#This Row],[Currency]])</f>
        <v>2025-09NGN</v>
      </c>
      <c r="P1041" s="25">
        <f>_xlfn.XLOOKUP(tbl_Ledger[[#This Row],[Key]], tbl_FX[Key], tbl_FX[Rate_to_NGN])</f>
        <v>1</v>
      </c>
      <c r="Q1041" s="37">
        <f>IF(tbl_Ledger[[#This Row],[Account_Type]]="Expense",-ABS(tbl_Ledger[[#This Row],[Amount]]*tbl_Ledger[[#This Row],[Rate_to_NGN]]),tbl_Ledger[[#This Row],[Amount]]*tbl_Ledger[[#This Row],[Rate_to_NGN]])</f>
        <v>36200</v>
      </c>
      <c r="R1041" s="25" t="str">
        <f>_xlfn.XLOOKUP(tbl_Ledger[[#This Row],[Account_Code]], tbl_Accounts[Account_Code], tbl_Accounts[Type])</f>
        <v>Revenue</v>
      </c>
      <c r="S1041" s="25" t="str">
        <f>_xlfn.XLOOKUP(tbl_Ledger[[#This Row],[Account_Code]], tbl_Accounts[Account_Code], tbl_Accounts[PL_Bucket])</f>
        <v>Revenue</v>
      </c>
      <c r="T1041" s="25">
        <f t="shared" si="16"/>
        <v>36200</v>
      </c>
    </row>
    <row r="1042" spans="1:20">
      <c r="A1042" t="s">
        <v>2790</v>
      </c>
      <c r="B1042" s="7">
        <v>45906</v>
      </c>
      <c r="C1042" t="s">
        <v>93</v>
      </c>
      <c r="D1042" t="s">
        <v>94</v>
      </c>
      <c r="E1042" t="s">
        <v>107</v>
      </c>
      <c r="F1042" s="12" t="s">
        <v>24</v>
      </c>
      <c r="G1042" t="s">
        <v>25</v>
      </c>
      <c r="H1042" t="s">
        <v>2791</v>
      </c>
      <c r="I1042" t="s">
        <v>71</v>
      </c>
      <c r="J1042" s="6">
        <v>36700</v>
      </c>
      <c r="K1042" t="s">
        <v>3</v>
      </c>
      <c r="L1042" t="s">
        <v>2792</v>
      </c>
      <c r="M1042" t="s">
        <v>3</v>
      </c>
      <c r="N1042" s="25" t="str">
        <f>TEXT(tbl_Ledger[[#This Row],[Date]],"yyyy-mm")</f>
        <v>2025-09</v>
      </c>
      <c r="O1042" s="25" t="str">
        <f>TEXT(tbl_Ledger[[#This Row],[Date]],"yyyy-mm") &amp; TRIM(tbl_Ledger[[#This Row],[Currency]])</f>
        <v>2025-09NGN</v>
      </c>
      <c r="P1042" s="25">
        <f>_xlfn.XLOOKUP(tbl_Ledger[[#This Row],[Key]], tbl_FX[Key], tbl_FX[Rate_to_NGN])</f>
        <v>1</v>
      </c>
      <c r="Q1042" s="37">
        <f>IF(tbl_Ledger[[#This Row],[Account_Type]]="Expense",-ABS(tbl_Ledger[[#This Row],[Amount]]*tbl_Ledger[[#This Row],[Rate_to_NGN]]),tbl_Ledger[[#This Row],[Amount]]*tbl_Ledger[[#This Row],[Rate_to_NGN]])</f>
        <v>36700</v>
      </c>
      <c r="R1042" s="25" t="str">
        <f>_xlfn.XLOOKUP(tbl_Ledger[[#This Row],[Account_Code]], tbl_Accounts[Account_Code], tbl_Accounts[Type])</f>
        <v>Revenue</v>
      </c>
      <c r="S1042" s="25" t="str">
        <f>_xlfn.XLOOKUP(tbl_Ledger[[#This Row],[Account_Code]], tbl_Accounts[Account_Code], tbl_Accounts[PL_Bucket])</f>
        <v>Revenue</v>
      </c>
      <c r="T1042" s="25">
        <f t="shared" si="16"/>
        <v>36700</v>
      </c>
    </row>
    <row r="1043" spans="1:20">
      <c r="A1043" t="s">
        <v>2793</v>
      </c>
      <c r="B1043" s="7">
        <v>45906</v>
      </c>
      <c r="C1043" t="s">
        <v>93</v>
      </c>
      <c r="D1043" t="s">
        <v>111</v>
      </c>
      <c r="E1043" t="s">
        <v>112</v>
      </c>
      <c r="F1043" s="12" t="s">
        <v>24</v>
      </c>
      <c r="G1043" t="s">
        <v>25</v>
      </c>
      <c r="H1043" t="s">
        <v>2794</v>
      </c>
      <c r="I1043" t="s">
        <v>71</v>
      </c>
      <c r="J1043" s="6">
        <v>59400</v>
      </c>
      <c r="K1043" t="s">
        <v>3</v>
      </c>
      <c r="L1043" t="s">
        <v>2795</v>
      </c>
      <c r="M1043" t="s">
        <v>3</v>
      </c>
      <c r="N1043" s="25" t="str">
        <f>TEXT(tbl_Ledger[[#This Row],[Date]],"yyyy-mm")</f>
        <v>2025-09</v>
      </c>
      <c r="O1043" s="25" t="str">
        <f>TEXT(tbl_Ledger[[#This Row],[Date]],"yyyy-mm") &amp; TRIM(tbl_Ledger[[#This Row],[Currency]])</f>
        <v>2025-09NGN</v>
      </c>
      <c r="P1043" s="25">
        <f>_xlfn.XLOOKUP(tbl_Ledger[[#This Row],[Key]], tbl_FX[Key], tbl_FX[Rate_to_NGN])</f>
        <v>1</v>
      </c>
      <c r="Q1043" s="37">
        <f>IF(tbl_Ledger[[#This Row],[Account_Type]]="Expense",-ABS(tbl_Ledger[[#This Row],[Amount]]*tbl_Ledger[[#This Row],[Rate_to_NGN]]),tbl_Ledger[[#This Row],[Amount]]*tbl_Ledger[[#This Row],[Rate_to_NGN]])</f>
        <v>59400</v>
      </c>
      <c r="R1043" s="25" t="str">
        <f>_xlfn.XLOOKUP(tbl_Ledger[[#This Row],[Account_Code]], tbl_Accounts[Account_Code], tbl_Accounts[Type])</f>
        <v>Revenue</v>
      </c>
      <c r="S1043" s="25" t="str">
        <f>_xlfn.XLOOKUP(tbl_Ledger[[#This Row],[Account_Code]], tbl_Accounts[Account_Code], tbl_Accounts[PL_Bucket])</f>
        <v>Revenue</v>
      </c>
      <c r="T1043" s="25">
        <f t="shared" si="16"/>
        <v>59400</v>
      </c>
    </row>
    <row r="1044" spans="1:20">
      <c r="A1044" t="s">
        <v>2796</v>
      </c>
      <c r="B1044" s="7">
        <v>45906</v>
      </c>
      <c r="C1044" t="s">
        <v>93</v>
      </c>
      <c r="D1044" t="s">
        <v>111</v>
      </c>
      <c r="E1044" t="s">
        <v>116</v>
      </c>
      <c r="F1044" s="12" t="s">
        <v>24</v>
      </c>
      <c r="G1044" t="s">
        <v>25</v>
      </c>
      <c r="H1044" t="s">
        <v>2797</v>
      </c>
      <c r="I1044" t="s">
        <v>71</v>
      </c>
      <c r="J1044" s="6">
        <v>66700</v>
      </c>
      <c r="K1044" t="s">
        <v>3</v>
      </c>
      <c r="L1044" t="s">
        <v>2795</v>
      </c>
      <c r="M1044" t="s">
        <v>3</v>
      </c>
      <c r="N1044" s="25" t="str">
        <f>TEXT(tbl_Ledger[[#This Row],[Date]],"yyyy-mm")</f>
        <v>2025-09</v>
      </c>
      <c r="O1044" s="25" t="str">
        <f>TEXT(tbl_Ledger[[#This Row],[Date]],"yyyy-mm") &amp; TRIM(tbl_Ledger[[#This Row],[Currency]])</f>
        <v>2025-09NGN</v>
      </c>
      <c r="P1044" s="25">
        <f>_xlfn.XLOOKUP(tbl_Ledger[[#This Row],[Key]], tbl_FX[Key], tbl_FX[Rate_to_NGN])</f>
        <v>1</v>
      </c>
      <c r="Q1044" s="37">
        <f>IF(tbl_Ledger[[#This Row],[Account_Type]]="Expense",-ABS(tbl_Ledger[[#This Row],[Amount]]*tbl_Ledger[[#This Row],[Rate_to_NGN]]),tbl_Ledger[[#This Row],[Amount]]*tbl_Ledger[[#This Row],[Rate_to_NGN]])</f>
        <v>66700</v>
      </c>
      <c r="R1044" s="25" t="str">
        <f>_xlfn.XLOOKUP(tbl_Ledger[[#This Row],[Account_Code]], tbl_Accounts[Account_Code], tbl_Accounts[Type])</f>
        <v>Revenue</v>
      </c>
      <c r="S1044" s="25" t="str">
        <f>_xlfn.XLOOKUP(tbl_Ledger[[#This Row],[Account_Code]], tbl_Accounts[Account_Code], tbl_Accounts[PL_Bucket])</f>
        <v>Revenue</v>
      </c>
      <c r="T1044" s="25">
        <f t="shared" si="16"/>
        <v>66700</v>
      </c>
    </row>
    <row r="1045" spans="1:20">
      <c r="A1045" t="s">
        <v>2798</v>
      </c>
      <c r="B1045" s="7">
        <v>45906</v>
      </c>
      <c r="C1045" t="s">
        <v>93</v>
      </c>
      <c r="D1045" t="s">
        <v>111</v>
      </c>
      <c r="E1045" t="s">
        <v>119</v>
      </c>
      <c r="F1045" s="12" t="s">
        <v>24</v>
      </c>
      <c r="G1045" t="s">
        <v>25</v>
      </c>
      <c r="H1045" t="s">
        <v>2799</v>
      </c>
      <c r="I1045" t="s">
        <v>71</v>
      </c>
      <c r="J1045" s="6">
        <v>61000</v>
      </c>
      <c r="K1045" t="s">
        <v>3</v>
      </c>
      <c r="L1045" t="s">
        <v>2795</v>
      </c>
      <c r="M1045" t="s">
        <v>3</v>
      </c>
      <c r="N1045" s="25" t="str">
        <f>TEXT(tbl_Ledger[[#This Row],[Date]],"yyyy-mm")</f>
        <v>2025-09</v>
      </c>
      <c r="O1045" s="25" t="str">
        <f>TEXT(tbl_Ledger[[#This Row],[Date]],"yyyy-mm") &amp; TRIM(tbl_Ledger[[#This Row],[Currency]])</f>
        <v>2025-09NGN</v>
      </c>
      <c r="P1045" s="25">
        <f>_xlfn.XLOOKUP(tbl_Ledger[[#This Row],[Key]], tbl_FX[Key], tbl_FX[Rate_to_NGN])</f>
        <v>1</v>
      </c>
      <c r="Q1045" s="37">
        <f>IF(tbl_Ledger[[#This Row],[Account_Type]]="Expense",-ABS(tbl_Ledger[[#This Row],[Amount]]*tbl_Ledger[[#This Row],[Rate_to_NGN]]),tbl_Ledger[[#This Row],[Amount]]*tbl_Ledger[[#This Row],[Rate_to_NGN]])</f>
        <v>61000</v>
      </c>
      <c r="R1045" s="25" t="str">
        <f>_xlfn.XLOOKUP(tbl_Ledger[[#This Row],[Account_Code]], tbl_Accounts[Account_Code], tbl_Accounts[Type])</f>
        <v>Revenue</v>
      </c>
      <c r="S1045" s="25" t="str">
        <f>_xlfn.XLOOKUP(tbl_Ledger[[#This Row],[Account_Code]], tbl_Accounts[Account_Code], tbl_Accounts[PL_Bucket])</f>
        <v>Revenue</v>
      </c>
      <c r="T1045" s="25">
        <f t="shared" si="16"/>
        <v>61000</v>
      </c>
    </row>
    <row r="1046" spans="1:20">
      <c r="A1046" t="s">
        <v>2800</v>
      </c>
      <c r="B1046" s="7">
        <v>45906</v>
      </c>
      <c r="C1046" t="s">
        <v>93</v>
      </c>
      <c r="D1046" t="s">
        <v>111</v>
      </c>
      <c r="E1046" t="s">
        <v>170</v>
      </c>
      <c r="F1046" s="12" t="s">
        <v>24</v>
      </c>
      <c r="G1046" t="s">
        <v>25</v>
      </c>
      <c r="H1046" t="s">
        <v>2801</v>
      </c>
      <c r="I1046" t="s">
        <v>71</v>
      </c>
      <c r="J1046" s="6">
        <v>63700</v>
      </c>
      <c r="K1046" t="s">
        <v>3</v>
      </c>
      <c r="L1046" t="s">
        <v>2795</v>
      </c>
      <c r="M1046" t="s">
        <v>3</v>
      </c>
      <c r="N1046" s="25" t="str">
        <f>TEXT(tbl_Ledger[[#This Row],[Date]],"yyyy-mm")</f>
        <v>2025-09</v>
      </c>
      <c r="O1046" s="25" t="str">
        <f>TEXT(tbl_Ledger[[#This Row],[Date]],"yyyy-mm") &amp; TRIM(tbl_Ledger[[#This Row],[Currency]])</f>
        <v>2025-09NGN</v>
      </c>
      <c r="P1046" s="25">
        <f>_xlfn.XLOOKUP(tbl_Ledger[[#This Row],[Key]], tbl_FX[Key], tbl_FX[Rate_to_NGN])</f>
        <v>1</v>
      </c>
      <c r="Q1046" s="37">
        <f>IF(tbl_Ledger[[#This Row],[Account_Type]]="Expense",-ABS(tbl_Ledger[[#This Row],[Amount]]*tbl_Ledger[[#This Row],[Rate_to_NGN]]),tbl_Ledger[[#This Row],[Amount]]*tbl_Ledger[[#This Row],[Rate_to_NGN]])</f>
        <v>63700</v>
      </c>
      <c r="R1046" s="25" t="str">
        <f>_xlfn.XLOOKUP(tbl_Ledger[[#This Row],[Account_Code]], tbl_Accounts[Account_Code], tbl_Accounts[Type])</f>
        <v>Revenue</v>
      </c>
      <c r="S1046" s="25" t="str">
        <f>_xlfn.XLOOKUP(tbl_Ledger[[#This Row],[Account_Code]], tbl_Accounts[Account_Code], tbl_Accounts[PL_Bucket])</f>
        <v>Revenue</v>
      </c>
      <c r="T1046" s="25">
        <f t="shared" si="16"/>
        <v>63700</v>
      </c>
    </row>
    <row r="1047" spans="1:20">
      <c r="A1047" t="s">
        <v>2802</v>
      </c>
      <c r="B1047" s="7">
        <v>45906</v>
      </c>
      <c r="C1047" t="s">
        <v>93</v>
      </c>
      <c r="D1047" t="s">
        <v>111</v>
      </c>
      <c r="E1047" t="s">
        <v>122</v>
      </c>
      <c r="F1047" s="12" t="s">
        <v>24</v>
      </c>
      <c r="G1047" t="s">
        <v>25</v>
      </c>
      <c r="H1047" t="s">
        <v>2803</v>
      </c>
      <c r="I1047" t="s">
        <v>71</v>
      </c>
      <c r="J1047" s="6">
        <v>66400</v>
      </c>
      <c r="K1047" t="s">
        <v>3</v>
      </c>
      <c r="L1047" t="s">
        <v>2804</v>
      </c>
      <c r="M1047" t="s">
        <v>3</v>
      </c>
      <c r="N1047" s="25" t="str">
        <f>TEXT(tbl_Ledger[[#This Row],[Date]],"yyyy-mm")</f>
        <v>2025-09</v>
      </c>
      <c r="O1047" s="25" t="str">
        <f>TEXT(tbl_Ledger[[#This Row],[Date]],"yyyy-mm") &amp; TRIM(tbl_Ledger[[#This Row],[Currency]])</f>
        <v>2025-09NGN</v>
      </c>
      <c r="P1047" s="25">
        <f>_xlfn.XLOOKUP(tbl_Ledger[[#This Row],[Key]], tbl_FX[Key], tbl_FX[Rate_to_NGN])</f>
        <v>1</v>
      </c>
      <c r="Q1047" s="37">
        <f>IF(tbl_Ledger[[#This Row],[Account_Type]]="Expense",-ABS(tbl_Ledger[[#This Row],[Amount]]*tbl_Ledger[[#This Row],[Rate_to_NGN]]),tbl_Ledger[[#This Row],[Amount]]*tbl_Ledger[[#This Row],[Rate_to_NGN]])</f>
        <v>66400</v>
      </c>
      <c r="R1047" s="25" t="str">
        <f>_xlfn.XLOOKUP(tbl_Ledger[[#This Row],[Account_Code]], tbl_Accounts[Account_Code], tbl_Accounts[Type])</f>
        <v>Revenue</v>
      </c>
      <c r="S1047" s="25" t="str">
        <f>_xlfn.XLOOKUP(tbl_Ledger[[#This Row],[Account_Code]], tbl_Accounts[Account_Code], tbl_Accounts[PL_Bucket])</f>
        <v>Revenue</v>
      </c>
      <c r="T1047" s="25">
        <f t="shared" si="16"/>
        <v>66400</v>
      </c>
    </row>
    <row r="1048" spans="1:20">
      <c r="A1048" t="s">
        <v>2805</v>
      </c>
      <c r="B1048" s="7">
        <v>45906</v>
      </c>
      <c r="C1048" t="s">
        <v>126</v>
      </c>
      <c r="D1048" t="s">
        <v>88</v>
      </c>
      <c r="E1048" t="s">
        <v>127</v>
      </c>
      <c r="F1048" s="12" t="s">
        <v>29</v>
      </c>
      <c r="G1048" t="s">
        <v>30</v>
      </c>
      <c r="H1048" t="s">
        <v>2806</v>
      </c>
      <c r="I1048" t="s">
        <v>72</v>
      </c>
      <c r="J1048" s="6">
        <v>35.200000000000003</v>
      </c>
      <c r="K1048" t="s">
        <v>129</v>
      </c>
      <c r="L1048" t="s">
        <v>2807</v>
      </c>
      <c r="M1048" t="s">
        <v>3</v>
      </c>
      <c r="N1048" s="25" t="str">
        <f>TEXT(tbl_Ledger[[#This Row],[Date]],"yyyy-mm")</f>
        <v>2025-09</v>
      </c>
      <c r="O1048" s="25" t="str">
        <f>TEXT(tbl_Ledger[[#This Row],[Date]],"yyyy-mm") &amp; TRIM(tbl_Ledger[[#This Row],[Currency]])</f>
        <v>2025-09USD</v>
      </c>
      <c r="P1048" s="25">
        <f>_xlfn.XLOOKUP(tbl_Ledger[[#This Row],[Key]], tbl_FX[Key], tbl_FX[Rate_to_NGN])</f>
        <v>1611</v>
      </c>
      <c r="Q1048" s="37">
        <f>IF(tbl_Ledger[[#This Row],[Account_Type]]="Expense",-ABS(tbl_Ledger[[#This Row],[Amount]]*tbl_Ledger[[#This Row],[Rate_to_NGN]]),tbl_Ledger[[#This Row],[Amount]]*tbl_Ledger[[#This Row],[Rate_to_NGN]])</f>
        <v>56707.200000000004</v>
      </c>
      <c r="R1048" s="25" t="str">
        <f>_xlfn.XLOOKUP(tbl_Ledger[[#This Row],[Account_Code]], tbl_Accounts[Account_Code], tbl_Accounts[Type])</f>
        <v>Revenue</v>
      </c>
      <c r="S1048" s="25" t="str">
        <f>_xlfn.XLOOKUP(tbl_Ledger[[#This Row],[Account_Code]], tbl_Accounts[Account_Code], tbl_Accounts[PL_Bucket])</f>
        <v>Revenue</v>
      </c>
      <c r="T1048" s="25">
        <f t="shared" si="16"/>
        <v>56707.200000000004</v>
      </c>
    </row>
    <row r="1049" spans="1:20">
      <c r="A1049" t="s">
        <v>2808</v>
      </c>
      <c r="B1049" s="7">
        <v>45906</v>
      </c>
      <c r="C1049" t="s">
        <v>126</v>
      </c>
      <c r="D1049" t="s">
        <v>88</v>
      </c>
      <c r="E1049" t="s">
        <v>132</v>
      </c>
      <c r="F1049" s="12" t="s">
        <v>29</v>
      </c>
      <c r="G1049" t="s">
        <v>30</v>
      </c>
      <c r="H1049" t="s">
        <v>2809</v>
      </c>
      <c r="I1049" t="s">
        <v>72</v>
      </c>
      <c r="J1049" s="6">
        <v>32.96</v>
      </c>
      <c r="K1049" t="s">
        <v>134</v>
      </c>
      <c r="L1049" t="s">
        <v>2807</v>
      </c>
      <c r="M1049" t="s">
        <v>3</v>
      </c>
      <c r="N1049" s="25" t="str">
        <f>TEXT(tbl_Ledger[[#This Row],[Date]],"yyyy-mm")</f>
        <v>2025-09</v>
      </c>
      <c r="O1049" s="25" t="str">
        <f>TEXT(tbl_Ledger[[#This Row],[Date]],"yyyy-mm") &amp; TRIM(tbl_Ledger[[#This Row],[Currency]])</f>
        <v>2025-09USD</v>
      </c>
      <c r="P1049" s="25">
        <f>_xlfn.XLOOKUP(tbl_Ledger[[#This Row],[Key]], tbl_FX[Key], tbl_FX[Rate_to_NGN])</f>
        <v>1611</v>
      </c>
      <c r="Q1049" s="37">
        <f>IF(tbl_Ledger[[#This Row],[Account_Type]]="Expense",-ABS(tbl_Ledger[[#This Row],[Amount]]*tbl_Ledger[[#This Row],[Rate_to_NGN]]),tbl_Ledger[[#This Row],[Amount]]*tbl_Ledger[[#This Row],[Rate_to_NGN]])</f>
        <v>53098.560000000005</v>
      </c>
      <c r="R1049" s="25" t="str">
        <f>_xlfn.XLOOKUP(tbl_Ledger[[#This Row],[Account_Code]], tbl_Accounts[Account_Code], tbl_Accounts[Type])</f>
        <v>Revenue</v>
      </c>
      <c r="S1049" s="25" t="str">
        <f>_xlfn.XLOOKUP(tbl_Ledger[[#This Row],[Account_Code]], tbl_Accounts[Account_Code], tbl_Accounts[PL_Bucket])</f>
        <v>Revenue</v>
      </c>
      <c r="T1049" s="25">
        <f t="shared" si="16"/>
        <v>53098.560000000005</v>
      </c>
    </row>
    <row r="1050" spans="1:20">
      <c r="A1050" t="s">
        <v>2810</v>
      </c>
      <c r="B1050" s="7">
        <v>45906</v>
      </c>
      <c r="C1050" t="s">
        <v>126</v>
      </c>
      <c r="D1050" t="s">
        <v>88</v>
      </c>
      <c r="E1050" t="s">
        <v>136</v>
      </c>
      <c r="F1050" s="12" t="s">
        <v>29</v>
      </c>
      <c r="G1050" t="s">
        <v>30</v>
      </c>
      <c r="H1050" t="s">
        <v>2811</v>
      </c>
      <c r="I1050" t="s">
        <v>71</v>
      </c>
      <c r="J1050" s="6">
        <v>49000</v>
      </c>
      <c r="K1050" t="s">
        <v>138</v>
      </c>
      <c r="L1050" t="s">
        <v>2807</v>
      </c>
      <c r="M1050" t="s">
        <v>3</v>
      </c>
      <c r="N1050" s="25" t="str">
        <f>TEXT(tbl_Ledger[[#This Row],[Date]],"yyyy-mm")</f>
        <v>2025-09</v>
      </c>
      <c r="O1050" s="25" t="str">
        <f>TEXT(tbl_Ledger[[#This Row],[Date]],"yyyy-mm") &amp; TRIM(tbl_Ledger[[#This Row],[Currency]])</f>
        <v>2025-09NGN</v>
      </c>
      <c r="P1050" s="25">
        <f>_xlfn.XLOOKUP(tbl_Ledger[[#This Row],[Key]], tbl_FX[Key], tbl_FX[Rate_to_NGN])</f>
        <v>1</v>
      </c>
      <c r="Q1050" s="37">
        <f>IF(tbl_Ledger[[#This Row],[Account_Type]]="Expense",-ABS(tbl_Ledger[[#This Row],[Amount]]*tbl_Ledger[[#This Row],[Rate_to_NGN]]),tbl_Ledger[[#This Row],[Amount]]*tbl_Ledger[[#This Row],[Rate_to_NGN]])</f>
        <v>49000</v>
      </c>
      <c r="R1050" s="25" t="str">
        <f>_xlfn.XLOOKUP(tbl_Ledger[[#This Row],[Account_Code]], tbl_Accounts[Account_Code], tbl_Accounts[Type])</f>
        <v>Revenue</v>
      </c>
      <c r="S1050" s="25" t="str">
        <f>_xlfn.XLOOKUP(tbl_Ledger[[#This Row],[Account_Code]], tbl_Accounts[Account_Code], tbl_Accounts[PL_Bucket])</f>
        <v>Revenue</v>
      </c>
      <c r="T1050" s="25">
        <f t="shared" si="16"/>
        <v>49000</v>
      </c>
    </row>
    <row r="1051" spans="1:20">
      <c r="A1051" t="s">
        <v>2812</v>
      </c>
      <c r="B1051" s="7">
        <v>45906</v>
      </c>
      <c r="C1051" t="s">
        <v>126</v>
      </c>
      <c r="D1051" t="s">
        <v>88</v>
      </c>
      <c r="E1051" t="s">
        <v>140</v>
      </c>
      <c r="F1051" s="12" t="s">
        <v>29</v>
      </c>
      <c r="G1051" t="s">
        <v>30</v>
      </c>
      <c r="H1051" t="s">
        <v>2813</v>
      </c>
      <c r="I1051" t="s">
        <v>71</v>
      </c>
      <c r="J1051" s="6">
        <v>51100</v>
      </c>
      <c r="K1051" t="s">
        <v>3</v>
      </c>
      <c r="L1051" t="s">
        <v>2814</v>
      </c>
      <c r="M1051" t="s">
        <v>3</v>
      </c>
      <c r="N1051" s="25" t="str">
        <f>TEXT(tbl_Ledger[[#This Row],[Date]],"yyyy-mm")</f>
        <v>2025-09</v>
      </c>
      <c r="O1051" s="25" t="str">
        <f>TEXT(tbl_Ledger[[#This Row],[Date]],"yyyy-mm") &amp; TRIM(tbl_Ledger[[#This Row],[Currency]])</f>
        <v>2025-09NGN</v>
      </c>
      <c r="P1051" s="25">
        <f>_xlfn.XLOOKUP(tbl_Ledger[[#This Row],[Key]], tbl_FX[Key], tbl_FX[Rate_to_NGN])</f>
        <v>1</v>
      </c>
      <c r="Q1051" s="37">
        <f>IF(tbl_Ledger[[#This Row],[Account_Type]]="Expense",-ABS(tbl_Ledger[[#This Row],[Amount]]*tbl_Ledger[[#This Row],[Rate_to_NGN]]),tbl_Ledger[[#This Row],[Amount]]*tbl_Ledger[[#This Row],[Rate_to_NGN]])</f>
        <v>51100</v>
      </c>
      <c r="R1051" s="25" t="str">
        <f>_xlfn.XLOOKUP(tbl_Ledger[[#This Row],[Account_Code]], tbl_Accounts[Account_Code], tbl_Accounts[Type])</f>
        <v>Revenue</v>
      </c>
      <c r="S1051" s="25" t="str">
        <f>_xlfn.XLOOKUP(tbl_Ledger[[#This Row],[Account_Code]], tbl_Accounts[Account_Code], tbl_Accounts[PL_Bucket])</f>
        <v>Revenue</v>
      </c>
      <c r="T1051" s="25">
        <f t="shared" si="16"/>
        <v>51100</v>
      </c>
    </row>
    <row r="1052" spans="1:20">
      <c r="A1052" t="s">
        <v>2815</v>
      </c>
      <c r="B1052" s="7">
        <v>45906</v>
      </c>
      <c r="C1052" t="s">
        <v>87</v>
      </c>
      <c r="D1052" t="s">
        <v>94</v>
      </c>
      <c r="E1052" t="s">
        <v>3</v>
      </c>
      <c r="F1052" s="12" t="s">
        <v>38</v>
      </c>
      <c r="G1052" t="s">
        <v>39</v>
      </c>
      <c r="H1052" t="s">
        <v>2694</v>
      </c>
      <c r="I1052" t="s">
        <v>71</v>
      </c>
      <c r="J1052" s="6">
        <v>-135000</v>
      </c>
      <c r="K1052" t="s">
        <v>276</v>
      </c>
      <c r="L1052" t="s">
        <v>2816</v>
      </c>
      <c r="M1052" t="s">
        <v>3</v>
      </c>
      <c r="N1052" s="25" t="str">
        <f>TEXT(tbl_Ledger[[#This Row],[Date]],"yyyy-mm")</f>
        <v>2025-09</v>
      </c>
      <c r="O1052" s="25" t="str">
        <f>TEXT(tbl_Ledger[[#This Row],[Date]],"yyyy-mm") &amp; TRIM(tbl_Ledger[[#This Row],[Currency]])</f>
        <v>2025-09NGN</v>
      </c>
      <c r="P1052" s="25">
        <f>_xlfn.XLOOKUP(tbl_Ledger[[#This Row],[Key]], tbl_FX[Key], tbl_FX[Rate_to_NGN])</f>
        <v>1</v>
      </c>
      <c r="Q1052" s="37">
        <f>IF(tbl_Ledger[[#This Row],[Account_Type]]="Expense",-ABS(tbl_Ledger[[#This Row],[Amount]]*tbl_Ledger[[#This Row],[Rate_to_NGN]]),tbl_Ledger[[#This Row],[Amount]]*tbl_Ledger[[#This Row],[Rate_to_NGN]])</f>
        <v>-135000</v>
      </c>
      <c r="R1052" s="25" t="str">
        <f>_xlfn.XLOOKUP(tbl_Ledger[[#This Row],[Account_Code]], tbl_Accounts[Account_Code], tbl_Accounts[Type])</f>
        <v>COGS</v>
      </c>
      <c r="S1052" s="25" t="str">
        <f>_xlfn.XLOOKUP(tbl_Ledger[[#This Row],[Account_Code]], tbl_Accounts[Account_Code], tbl_Accounts[PL_Bucket])</f>
        <v>COGS</v>
      </c>
      <c r="T1052" s="25">
        <f t="shared" si="16"/>
        <v>-135000</v>
      </c>
    </row>
    <row r="1053" spans="1:20">
      <c r="A1053" t="s">
        <v>2817</v>
      </c>
      <c r="B1053" s="7">
        <v>45906</v>
      </c>
      <c r="C1053" t="s">
        <v>87</v>
      </c>
      <c r="D1053" t="s">
        <v>111</v>
      </c>
      <c r="E1053" t="s">
        <v>3</v>
      </c>
      <c r="F1053" s="12" t="s">
        <v>36</v>
      </c>
      <c r="G1053" t="s">
        <v>37</v>
      </c>
      <c r="H1053" t="s">
        <v>2729</v>
      </c>
      <c r="I1053" t="s">
        <v>71</v>
      </c>
      <c r="J1053" s="6">
        <v>-1358000</v>
      </c>
      <c r="K1053" t="s">
        <v>145</v>
      </c>
      <c r="L1053" t="s">
        <v>2818</v>
      </c>
      <c r="M1053" t="s">
        <v>3</v>
      </c>
      <c r="N1053" s="25" t="str">
        <f>TEXT(tbl_Ledger[[#This Row],[Date]],"yyyy-mm")</f>
        <v>2025-09</v>
      </c>
      <c r="O1053" s="25" t="str">
        <f>TEXT(tbl_Ledger[[#This Row],[Date]],"yyyy-mm") &amp; TRIM(tbl_Ledger[[#This Row],[Currency]])</f>
        <v>2025-09NGN</v>
      </c>
      <c r="P1053" s="25">
        <f>_xlfn.XLOOKUP(tbl_Ledger[[#This Row],[Key]], tbl_FX[Key], tbl_FX[Rate_to_NGN])</f>
        <v>1</v>
      </c>
      <c r="Q1053" s="37">
        <f>IF(tbl_Ledger[[#This Row],[Account_Type]]="Expense",-ABS(tbl_Ledger[[#This Row],[Amount]]*tbl_Ledger[[#This Row],[Rate_to_NGN]]),tbl_Ledger[[#This Row],[Amount]]*tbl_Ledger[[#This Row],[Rate_to_NGN]])</f>
        <v>-1358000</v>
      </c>
      <c r="R1053" s="25" t="str">
        <f>_xlfn.XLOOKUP(tbl_Ledger[[#This Row],[Account_Code]], tbl_Accounts[Account_Code], tbl_Accounts[Type])</f>
        <v>COGS</v>
      </c>
      <c r="S1053" s="25" t="str">
        <f>_xlfn.XLOOKUP(tbl_Ledger[[#This Row],[Account_Code]], tbl_Accounts[Account_Code], tbl_Accounts[PL_Bucket])</f>
        <v>COGS</v>
      </c>
      <c r="T1053" s="25">
        <f t="shared" si="16"/>
        <v>-1358000</v>
      </c>
    </row>
    <row r="1054" spans="1:20">
      <c r="A1054" t="s">
        <v>2819</v>
      </c>
      <c r="B1054" s="7">
        <v>45906</v>
      </c>
      <c r="C1054" t="s">
        <v>87</v>
      </c>
      <c r="D1054" t="s">
        <v>88</v>
      </c>
      <c r="E1054" t="s">
        <v>3</v>
      </c>
      <c r="F1054" s="12" t="s">
        <v>40</v>
      </c>
      <c r="G1054" t="s">
        <v>41</v>
      </c>
      <c r="H1054" t="s">
        <v>2656</v>
      </c>
      <c r="I1054" t="s">
        <v>71</v>
      </c>
      <c r="J1054" s="6">
        <v>-611000</v>
      </c>
      <c r="K1054" t="s">
        <v>90</v>
      </c>
      <c r="L1054" t="s">
        <v>2820</v>
      </c>
      <c r="M1054" t="s">
        <v>3</v>
      </c>
      <c r="N1054" s="25" t="str">
        <f>TEXT(tbl_Ledger[[#This Row],[Date]],"yyyy-mm")</f>
        <v>2025-09</v>
      </c>
      <c r="O1054" s="25" t="str">
        <f>TEXT(tbl_Ledger[[#This Row],[Date]],"yyyy-mm") &amp; TRIM(tbl_Ledger[[#This Row],[Currency]])</f>
        <v>2025-09NGN</v>
      </c>
      <c r="P1054" s="25">
        <f>_xlfn.XLOOKUP(tbl_Ledger[[#This Row],[Key]], tbl_FX[Key], tbl_FX[Rate_to_NGN])</f>
        <v>1</v>
      </c>
      <c r="Q1054" s="37">
        <f>IF(tbl_Ledger[[#This Row],[Account_Type]]="Expense",-ABS(tbl_Ledger[[#This Row],[Amount]]*tbl_Ledger[[#This Row],[Rate_to_NGN]]),tbl_Ledger[[#This Row],[Amount]]*tbl_Ledger[[#This Row],[Rate_to_NGN]])</f>
        <v>-611000</v>
      </c>
      <c r="R1054" s="25" t="str">
        <f>_xlfn.XLOOKUP(tbl_Ledger[[#This Row],[Account_Code]], tbl_Accounts[Account_Code], tbl_Accounts[Type])</f>
        <v>COGS</v>
      </c>
      <c r="S1054" s="25" t="str">
        <f>_xlfn.XLOOKUP(tbl_Ledger[[#This Row],[Account_Code]], tbl_Accounts[Account_Code], tbl_Accounts[PL_Bucket])</f>
        <v>COGS</v>
      </c>
      <c r="T1054" s="25">
        <f t="shared" si="16"/>
        <v>-611000</v>
      </c>
    </row>
    <row r="1055" spans="1:20">
      <c r="A1055" t="s">
        <v>2821</v>
      </c>
      <c r="B1055" s="7">
        <v>45906</v>
      </c>
      <c r="C1055" t="s">
        <v>87</v>
      </c>
      <c r="D1055" t="s">
        <v>88</v>
      </c>
      <c r="E1055" t="s">
        <v>3</v>
      </c>
      <c r="F1055" s="12" t="s">
        <v>40</v>
      </c>
      <c r="G1055" t="s">
        <v>41</v>
      </c>
      <c r="H1055" t="s">
        <v>2822</v>
      </c>
      <c r="I1055" t="s">
        <v>71</v>
      </c>
      <c r="J1055" s="6">
        <v>-284000</v>
      </c>
      <c r="K1055" t="s">
        <v>280</v>
      </c>
      <c r="L1055" t="s">
        <v>2823</v>
      </c>
      <c r="M1055" t="s">
        <v>3</v>
      </c>
      <c r="N1055" s="25" t="str">
        <f>TEXT(tbl_Ledger[[#This Row],[Date]],"yyyy-mm")</f>
        <v>2025-09</v>
      </c>
      <c r="O1055" s="25" t="str">
        <f>TEXT(tbl_Ledger[[#This Row],[Date]],"yyyy-mm") &amp; TRIM(tbl_Ledger[[#This Row],[Currency]])</f>
        <v>2025-09NGN</v>
      </c>
      <c r="P1055" s="25">
        <f>_xlfn.XLOOKUP(tbl_Ledger[[#This Row],[Key]], tbl_FX[Key], tbl_FX[Rate_to_NGN])</f>
        <v>1</v>
      </c>
      <c r="Q1055" s="37">
        <f>IF(tbl_Ledger[[#This Row],[Account_Type]]="Expense",-ABS(tbl_Ledger[[#This Row],[Amount]]*tbl_Ledger[[#This Row],[Rate_to_NGN]]),tbl_Ledger[[#This Row],[Amount]]*tbl_Ledger[[#This Row],[Rate_to_NGN]])</f>
        <v>-284000</v>
      </c>
      <c r="R1055" s="25" t="str">
        <f>_xlfn.XLOOKUP(tbl_Ledger[[#This Row],[Account_Code]], tbl_Accounts[Account_Code], tbl_Accounts[Type])</f>
        <v>COGS</v>
      </c>
      <c r="S1055" s="25" t="str">
        <f>_xlfn.XLOOKUP(tbl_Ledger[[#This Row],[Account_Code]], tbl_Accounts[Account_Code], tbl_Accounts[PL_Bucket])</f>
        <v>COGS</v>
      </c>
      <c r="T1055" s="25">
        <f t="shared" si="16"/>
        <v>-284000</v>
      </c>
    </row>
    <row r="1056" spans="1:20">
      <c r="A1056" t="s">
        <v>2824</v>
      </c>
      <c r="B1056" s="7">
        <v>45907</v>
      </c>
      <c r="C1056" t="s">
        <v>93</v>
      </c>
      <c r="D1056" t="s">
        <v>94</v>
      </c>
      <c r="E1056" t="s">
        <v>95</v>
      </c>
      <c r="F1056" s="12" t="s">
        <v>24</v>
      </c>
      <c r="G1056" t="s">
        <v>25</v>
      </c>
      <c r="H1056" t="s">
        <v>2825</v>
      </c>
      <c r="I1056" t="s">
        <v>71</v>
      </c>
      <c r="J1056" s="6">
        <v>41300</v>
      </c>
      <c r="K1056" t="s">
        <v>3</v>
      </c>
      <c r="L1056" t="s">
        <v>2826</v>
      </c>
      <c r="M1056" t="s">
        <v>3</v>
      </c>
      <c r="N1056" s="25" t="str">
        <f>TEXT(tbl_Ledger[[#This Row],[Date]],"yyyy-mm")</f>
        <v>2025-09</v>
      </c>
      <c r="O1056" s="25" t="str">
        <f>TEXT(tbl_Ledger[[#This Row],[Date]],"yyyy-mm") &amp; TRIM(tbl_Ledger[[#This Row],[Currency]])</f>
        <v>2025-09NGN</v>
      </c>
      <c r="P1056" s="25">
        <f>_xlfn.XLOOKUP(tbl_Ledger[[#This Row],[Key]], tbl_FX[Key], tbl_FX[Rate_to_NGN])</f>
        <v>1</v>
      </c>
      <c r="Q1056" s="37">
        <f>IF(tbl_Ledger[[#This Row],[Account_Type]]="Expense",-ABS(tbl_Ledger[[#This Row],[Amount]]*tbl_Ledger[[#This Row],[Rate_to_NGN]]),tbl_Ledger[[#This Row],[Amount]]*tbl_Ledger[[#This Row],[Rate_to_NGN]])</f>
        <v>41300</v>
      </c>
      <c r="R1056" s="25" t="str">
        <f>_xlfn.XLOOKUP(tbl_Ledger[[#This Row],[Account_Code]], tbl_Accounts[Account_Code], tbl_Accounts[Type])</f>
        <v>Revenue</v>
      </c>
      <c r="S1056" s="25" t="str">
        <f>_xlfn.XLOOKUP(tbl_Ledger[[#This Row],[Account_Code]], tbl_Accounts[Account_Code], tbl_Accounts[PL_Bucket])</f>
        <v>Revenue</v>
      </c>
      <c r="T1056" s="25">
        <f t="shared" si="16"/>
        <v>41300</v>
      </c>
    </row>
    <row r="1057" spans="1:20">
      <c r="A1057" t="s">
        <v>2827</v>
      </c>
      <c r="B1057" s="7">
        <v>45907</v>
      </c>
      <c r="C1057" t="s">
        <v>93</v>
      </c>
      <c r="D1057" t="s">
        <v>94</v>
      </c>
      <c r="E1057" t="s">
        <v>99</v>
      </c>
      <c r="F1057" s="12" t="s">
        <v>24</v>
      </c>
      <c r="G1057" t="s">
        <v>25</v>
      </c>
      <c r="H1057" t="s">
        <v>2828</v>
      </c>
      <c r="I1057" t="s">
        <v>71</v>
      </c>
      <c r="J1057" s="6">
        <v>39100</v>
      </c>
      <c r="K1057" t="s">
        <v>3</v>
      </c>
      <c r="L1057" t="s">
        <v>2829</v>
      </c>
      <c r="M1057" t="s">
        <v>3</v>
      </c>
      <c r="N1057" s="25" t="str">
        <f>TEXT(tbl_Ledger[[#This Row],[Date]],"yyyy-mm")</f>
        <v>2025-09</v>
      </c>
      <c r="O1057" s="25" t="str">
        <f>TEXT(tbl_Ledger[[#This Row],[Date]],"yyyy-mm") &amp; TRIM(tbl_Ledger[[#This Row],[Currency]])</f>
        <v>2025-09NGN</v>
      </c>
      <c r="P1057" s="25">
        <f>_xlfn.XLOOKUP(tbl_Ledger[[#This Row],[Key]], tbl_FX[Key], tbl_FX[Rate_to_NGN])</f>
        <v>1</v>
      </c>
      <c r="Q1057" s="37">
        <f>IF(tbl_Ledger[[#This Row],[Account_Type]]="Expense",-ABS(tbl_Ledger[[#This Row],[Amount]]*tbl_Ledger[[#This Row],[Rate_to_NGN]]),tbl_Ledger[[#This Row],[Amount]]*tbl_Ledger[[#This Row],[Rate_to_NGN]])</f>
        <v>39100</v>
      </c>
      <c r="R1057" s="25" t="str">
        <f>_xlfn.XLOOKUP(tbl_Ledger[[#This Row],[Account_Code]], tbl_Accounts[Account_Code], tbl_Accounts[Type])</f>
        <v>Revenue</v>
      </c>
      <c r="S1057" s="25" t="str">
        <f>_xlfn.XLOOKUP(tbl_Ledger[[#This Row],[Account_Code]], tbl_Accounts[Account_Code], tbl_Accounts[PL_Bucket])</f>
        <v>Revenue</v>
      </c>
      <c r="T1057" s="25">
        <f t="shared" si="16"/>
        <v>39100</v>
      </c>
    </row>
    <row r="1058" spans="1:20">
      <c r="A1058" t="s">
        <v>2830</v>
      </c>
      <c r="B1058" s="7">
        <v>45907</v>
      </c>
      <c r="C1058" t="s">
        <v>93</v>
      </c>
      <c r="D1058" t="s">
        <v>94</v>
      </c>
      <c r="E1058" t="s">
        <v>103</v>
      </c>
      <c r="F1058" s="12" t="s">
        <v>24</v>
      </c>
      <c r="G1058" t="s">
        <v>25</v>
      </c>
      <c r="H1058" t="s">
        <v>2831</v>
      </c>
      <c r="I1058" t="s">
        <v>71</v>
      </c>
      <c r="J1058" s="6">
        <v>37100</v>
      </c>
      <c r="K1058" t="s">
        <v>3</v>
      </c>
      <c r="L1058" t="s">
        <v>2832</v>
      </c>
      <c r="M1058" t="s">
        <v>3</v>
      </c>
      <c r="N1058" s="25" t="str">
        <f>TEXT(tbl_Ledger[[#This Row],[Date]],"yyyy-mm")</f>
        <v>2025-09</v>
      </c>
      <c r="O1058" s="25" t="str">
        <f>TEXT(tbl_Ledger[[#This Row],[Date]],"yyyy-mm") &amp; TRIM(tbl_Ledger[[#This Row],[Currency]])</f>
        <v>2025-09NGN</v>
      </c>
      <c r="P1058" s="25">
        <f>_xlfn.XLOOKUP(tbl_Ledger[[#This Row],[Key]], tbl_FX[Key], tbl_FX[Rate_to_NGN])</f>
        <v>1</v>
      </c>
      <c r="Q1058" s="37">
        <f>IF(tbl_Ledger[[#This Row],[Account_Type]]="Expense",-ABS(tbl_Ledger[[#This Row],[Amount]]*tbl_Ledger[[#This Row],[Rate_to_NGN]]),tbl_Ledger[[#This Row],[Amount]]*tbl_Ledger[[#This Row],[Rate_to_NGN]])</f>
        <v>37100</v>
      </c>
      <c r="R1058" s="25" t="str">
        <f>_xlfn.XLOOKUP(tbl_Ledger[[#This Row],[Account_Code]], tbl_Accounts[Account_Code], tbl_Accounts[Type])</f>
        <v>Revenue</v>
      </c>
      <c r="S1058" s="25" t="str">
        <f>_xlfn.XLOOKUP(tbl_Ledger[[#This Row],[Account_Code]], tbl_Accounts[Account_Code], tbl_Accounts[PL_Bucket])</f>
        <v>Revenue</v>
      </c>
      <c r="T1058" s="25">
        <f t="shared" si="16"/>
        <v>37100</v>
      </c>
    </row>
    <row r="1059" spans="1:20">
      <c r="A1059" t="s">
        <v>2833</v>
      </c>
      <c r="B1059" s="7">
        <v>45907</v>
      </c>
      <c r="C1059" t="s">
        <v>93</v>
      </c>
      <c r="D1059" t="s">
        <v>94</v>
      </c>
      <c r="E1059" t="s">
        <v>160</v>
      </c>
      <c r="F1059" s="12" t="s">
        <v>24</v>
      </c>
      <c r="G1059" t="s">
        <v>25</v>
      </c>
      <c r="H1059" t="s">
        <v>2834</v>
      </c>
      <c r="I1059" t="s">
        <v>71</v>
      </c>
      <c r="J1059" s="6">
        <v>40400</v>
      </c>
      <c r="K1059" t="s">
        <v>3</v>
      </c>
      <c r="L1059" t="s">
        <v>2832</v>
      </c>
      <c r="M1059" t="s">
        <v>3</v>
      </c>
      <c r="N1059" s="25" t="str">
        <f>TEXT(tbl_Ledger[[#This Row],[Date]],"yyyy-mm")</f>
        <v>2025-09</v>
      </c>
      <c r="O1059" s="25" t="str">
        <f>TEXT(tbl_Ledger[[#This Row],[Date]],"yyyy-mm") &amp; TRIM(tbl_Ledger[[#This Row],[Currency]])</f>
        <v>2025-09NGN</v>
      </c>
      <c r="P1059" s="25">
        <f>_xlfn.XLOOKUP(tbl_Ledger[[#This Row],[Key]], tbl_FX[Key], tbl_FX[Rate_to_NGN])</f>
        <v>1</v>
      </c>
      <c r="Q1059" s="37">
        <f>IF(tbl_Ledger[[#This Row],[Account_Type]]="Expense",-ABS(tbl_Ledger[[#This Row],[Amount]]*tbl_Ledger[[#This Row],[Rate_to_NGN]]),tbl_Ledger[[#This Row],[Amount]]*tbl_Ledger[[#This Row],[Rate_to_NGN]])</f>
        <v>40400</v>
      </c>
      <c r="R1059" s="25" t="str">
        <f>_xlfn.XLOOKUP(tbl_Ledger[[#This Row],[Account_Code]], tbl_Accounts[Account_Code], tbl_Accounts[Type])</f>
        <v>Revenue</v>
      </c>
      <c r="S1059" s="25" t="str">
        <f>_xlfn.XLOOKUP(tbl_Ledger[[#This Row],[Account_Code]], tbl_Accounts[Account_Code], tbl_Accounts[PL_Bucket])</f>
        <v>Revenue</v>
      </c>
      <c r="T1059" s="25">
        <f t="shared" si="16"/>
        <v>40400</v>
      </c>
    </row>
    <row r="1060" spans="1:20">
      <c r="A1060" t="s">
        <v>2835</v>
      </c>
      <c r="B1060" s="7">
        <v>45907</v>
      </c>
      <c r="C1060" t="s">
        <v>93</v>
      </c>
      <c r="D1060" t="s">
        <v>94</v>
      </c>
      <c r="E1060" t="s">
        <v>107</v>
      </c>
      <c r="F1060" s="12" t="s">
        <v>24</v>
      </c>
      <c r="G1060" t="s">
        <v>25</v>
      </c>
      <c r="H1060" t="s">
        <v>2836</v>
      </c>
      <c r="I1060" t="s">
        <v>71</v>
      </c>
      <c r="J1060" s="6">
        <v>39800</v>
      </c>
      <c r="K1060" t="s">
        <v>3</v>
      </c>
      <c r="L1060" t="s">
        <v>2837</v>
      </c>
      <c r="M1060" t="s">
        <v>3</v>
      </c>
      <c r="N1060" s="25" t="str">
        <f>TEXT(tbl_Ledger[[#This Row],[Date]],"yyyy-mm")</f>
        <v>2025-09</v>
      </c>
      <c r="O1060" s="25" t="str">
        <f>TEXT(tbl_Ledger[[#This Row],[Date]],"yyyy-mm") &amp; TRIM(tbl_Ledger[[#This Row],[Currency]])</f>
        <v>2025-09NGN</v>
      </c>
      <c r="P1060" s="25">
        <f>_xlfn.XLOOKUP(tbl_Ledger[[#This Row],[Key]], tbl_FX[Key], tbl_FX[Rate_to_NGN])</f>
        <v>1</v>
      </c>
      <c r="Q1060" s="37">
        <f>IF(tbl_Ledger[[#This Row],[Account_Type]]="Expense",-ABS(tbl_Ledger[[#This Row],[Amount]]*tbl_Ledger[[#This Row],[Rate_to_NGN]]),tbl_Ledger[[#This Row],[Amount]]*tbl_Ledger[[#This Row],[Rate_to_NGN]])</f>
        <v>39800</v>
      </c>
      <c r="R1060" s="25" t="str">
        <f>_xlfn.XLOOKUP(tbl_Ledger[[#This Row],[Account_Code]], tbl_Accounts[Account_Code], tbl_Accounts[Type])</f>
        <v>Revenue</v>
      </c>
      <c r="S1060" s="25" t="str">
        <f>_xlfn.XLOOKUP(tbl_Ledger[[#This Row],[Account_Code]], tbl_Accounts[Account_Code], tbl_Accounts[PL_Bucket])</f>
        <v>Revenue</v>
      </c>
      <c r="T1060" s="25">
        <f t="shared" si="16"/>
        <v>39800</v>
      </c>
    </row>
    <row r="1061" spans="1:20">
      <c r="A1061" t="s">
        <v>2838</v>
      </c>
      <c r="B1061" s="7">
        <v>45907</v>
      </c>
      <c r="C1061" t="s">
        <v>93</v>
      </c>
      <c r="D1061" t="s">
        <v>111</v>
      </c>
      <c r="E1061" t="s">
        <v>112</v>
      </c>
      <c r="F1061" s="12" t="s">
        <v>24</v>
      </c>
      <c r="G1061" t="s">
        <v>25</v>
      </c>
      <c r="H1061" t="s">
        <v>2839</v>
      </c>
      <c r="I1061" t="s">
        <v>71</v>
      </c>
      <c r="J1061" s="6">
        <v>66000</v>
      </c>
      <c r="K1061" t="s">
        <v>3</v>
      </c>
      <c r="L1061" t="s">
        <v>2840</v>
      </c>
      <c r="M1061" t="s">
        <v>3</v>
      </c>
      <c r="N1061" s="25" t="str">
        <f>TEXT(tbl_Ledger[[#This Row],[Date]],"yyyy-mm")</f>
        <v>2025-09</v>
      </c>
      <c r="O1061" s="25" t="str">
        <f>TEXT(tbl_Ledger[[#This Row],[Date]],"yyyy-mm") &amp; TRIM(tbl_Ledger[[#This Row],[Currency]])</f>
        <v>2025-09NGN</v>
      </c>
      <c r="P1061" s="25">
        <f>_xlfn.XLOOKUP(tbl_Ledger[[#This Row],[Key]], tbl_FX[Key], tbl_FX[Rate_to_NGN])</f>
        <v>1</v>
      </c>
      <c r="Q1061" s="37">
        <f>IF(tbl_Ledger[[#This Row],[Account_Type]]="Expense",-ABS(tbl_Ledger[[#This Row],[Amount]]*tbl_Ledger[[#This Row],[Rate_to_NGN]]),tbl_Ledger[[#This Row],[Amount]]*tbl_Ledger[[#This Row],[Rate_to_NGN]])</f>
        <v>66000</v>
      </c>
      <c r="R1061" s="25" t="str">
        <f>_xlfn.XLOOKUP(tbl_Ledger[[#This Row],[Account_Code]], tbl_Accounts[Account_Code], tbl_Accounts[Type])</f>
        <v>Revenue</v>
      </c>
      <c r="S1061" s="25" t="str">
        <f>_xlfn.XLOOKUP(tbl_Ledger[[#This Row],[Account_Code]], tbl_Accounts[Account_Code], tbl_Accounts[PL_Bucket])</f>
        <v>Revenue</v>
      </c>
      <c r="T1061" s="25">
        <f t="shared" si="16"/>
        <v>66000</v>
      </c>
    </row>
    <row r="1062" spans="1:20">
      <c r="A1062" t="s">
        <v>2841</v>
      </c>
      <c r="B1062" s="7">
        <v>45907</v>
      </c>
      <c r="C1062" t="s">
        <v>93</v>
      </c>
      <c r="D1062" t="s">
        <v>111</v>
      </c>
      <c r="E1062" t="s">
        <v>116</v>
      </c>
      <c r="F1062" s="12" t="s">
        <v>24</v>
      </c>
      <c r="G1062" t="s">
        <v>25</v>
      </c>
      <c r="H1062" t="s">
        <v>2842</v>
      </c>
      <c r="I1062" t="s">
        <v>71</v>
      </c>
      <c r="J1062" s="6">
        <v>65400</v>
      </c>
      <c r="K1062" t="s">
        <v>3</v>
      </c>
      <c r="L1062" t="s">
        <v>2840</v>
      </c>
      <c r="M1062" t="s">
        <v>3</v>
      </c>
      <c r="N1062" s="25" t="str">
        <f>TEXT(tbl_Ledger[[#This Row],[Date]],"yyyy-mm")</f>
        <v>2025-09</v>
      </c>
      <c r="O1062" s="25" t="str">
        <f>TEXT(tbl_Ledger[[#This Row],[Date]],"yyyy-mm") &amp; TRIM(tbl_Ledger[[#This Row],[Currency]])</f>
        <v>2025-09NGN</v>
      </c>
      <c r="P1062" s="25">
        <f>_xlfn.XLOOKUP(tbl_Ledger[[#This Row],[Key]], tbl_FX[Key], tbl_FX[Rate_to_NGN])</f>
        <v>1</v>
      </c>
      <c r="Q1062" s="37">
        <f>IF(tbl_Ledger[[#This Row],[Account_Type]]="Expense",-ABS(tbl_Ledger[[#This Row],[Amount]]*tbl_Ledger[[#This Row],[Rate_to_NGN]]),tbl_Ledger[[#This Row],[Amount]]*tbl_Ledger[[#This Row],[Rate_to_NGN]])</f>
        <v>65400</v>
      </c>
      <c r="R1062" s="25" t="str">
        <f>_xlfn.XLOOKUP(tbl_Ledger[[#This Row],[Account_Code]], tbl_Accounts[Account_Code], tbl_Accounts[Type])</f>
        <v>Revenue</v>
      </c>
      <c r="S1062" s="25" t="str">
        <f>_xlfn.XLOOKUP(tbl_Ledger[[#This Row],[Account_Code]], tbl_Accounts[Account_Code], tbl_Accounts[PL_Bucket])</f>
        <v>Revenue</v>
      </c>
      <c r="T1062" s="25">
        <f t="shared" si="16"/>
        <v>65400</v>
      </c>
    </row>
    <row r="1063" spans="1:20">
      <c r="A1063" t="s">
        <v>2843</v>
      </c>
      <c r="B1063" s="7">
        <v>45907</v>
      </c>
      <c r="C1063" t="s">
        <v>93</v>
      </c>
      <c r="D1063" t="s">
        <v>111</v>
      </c>
      <c r="E1063" t="s">
        <v>119</v>
      </c>
      <c r="F1063" s="12" t="s">
        <v>24</v>
      </c>
      <c r="G1063" t="s">
        <v>25</v>
      </c>
      <c r="H1063" t="s">
        <v>2844</v>
      </c>
      <c r="I1063" t="s">
        <v>71</v>
      </c>
      <c r="J1063" s="6">
        <v>63100</v>
      </c>
      <c r="K1063" t="s">
        <v>3</v>
      </c>
      <c r="L1063" t="s">
        <v>2840</v>
      </c>
      <c r="M1063" t="s">
        <v>3</v>
      </c>
      <c r="N1063" s="25" t="str">
        <f>TEXT(tbl_Ledger[[#This Row],[Date]],"yyyy-mm")</f>
        <v>2025-09</v>
      </c>
      <c r="O1063" s="25" t="str">
        <f>TEXT(tbl_Ledger[[#This Row],[Date]],"yyyy-mm") &amp; TRIM(tbl_Ledger[[#This Row],[Currency]])</f>
        <v>2025-09NGN</v>
      </c>
      <c r="P1063" s="25">
        <f>_xlfn.XLOOKUP(tbl_Ledger[[#This Row],[Key]], tbl_FX[Key], tbl_FX[Rate_to_NGN])</f>
        <v>1</v>
      </c>
      <c r="Q1063" s="37">
        <f>IF(tbl_Ledger[[#This Row],[Account_Type]]="Expense",-ABS(tbl_Ledger[[#This Row],[Amount]]*tbl_Ledger[[#This Row],[Rate_to_NGN]]),tbl_Ledger[[#This Row],[Amount]]*tbl_Ledger[[#This Row],[Rate_to_NGN]])</f>
        <v>63100</v>
      </c>
      <c r="R1063" s="25" t="str">
        <f>_xlfn.XLOOKUP(tbl_Ledger[[#This Row],[Account_Code]], tbl_Accounts[Account_Code], tbl_Accounts[Type])</f>
        <v>Revenue</v>
      </c>
      <c r="S1063" s="25" t="str">
        <f>_xlfn.XLOOKUP(tbl_Ledger[[#This Row],[Account_Code]], tbl_Accounts[Account_Code], tbl_Accounts[PL_Bucket])</f>
        <v>Revenue</v>
      </c>
      <c r="T1063" s="25">
        <f t="shared" si="16"/>
        <v>63100</v>
      </c>
    </row>
    <row r="1064" spans="1:20">
      <c r="A1064" t="s">
        <v>2845</v>
      </c>
      <c r="B1064" s="7">
        <v>45907</v>
      </c>
      <c r="C1064" t="s">
        <v>93</v>
      </c>
      <c r="D1064" t="s">
        <v>111</v>
      </c>
      <c r="E1064" t="s">
        <v>170</v>
      </c>
      <c r="F1064" s="12" t="s">
        <v>24</v>
      </c>
      <c r="G1064" t="s">
        <v>25</v>
      </c>
      <c r="H1064" t="s">
        <v>2846</v>
      </c>
      <c r="I1064" t="s">
        <v>71</v>
      </c>
      <c r="J1064" s="6">
        <v>59500</v>
      </c>
      <c r="K1064" t="s">
        <v>3</v>
      </c>
      <c r="L1064" t="s">
        <v>2840</v>
      </c>
      <c r="M1064" t="s">
        <v>3</v>
      </c>
      <c r="N1064" s="25" t="str">
        <f>TEXT(tbl_Ledger[[#This Row],[Date]],"yyyy-mm")</f>
        <v>2025-09</v>
      </c>
      <c r="O1064" s="25" t="str">
        <f>TEXT(tbl_Ledger[[#This Row],[Date]],"yyyy-mm") &amp; TRIM(tbl_Ledger[[#This Row],[Currency]])</f>
        <v>2025-09NGN</v>
      </c>
      <c r="P1064" s="25">
        <f>_xlfn.XLOOKUP(tbl_Ledger[[#This Row],[Key]], tbl_FX[Key], tbl_FX[Rate_to_NGN])</f>
        <v>1</v>
      </c>
      <c r="Q1064" s="37">
        <f>IF(tbl_Ledger[[#This Row],[Account_Type]]="Expense",-ABS(tbl_Ledger[[#This Row],[Amount]]*tbl_Ledger[[#This Row],[Rate_to_NGN]]),tbl_Ledger[[#This Row],[Amount]]*tbl_Ledger[[#This Row],[Rate_to_NGN]])</f>
        <v>59500</v>
      </c>
      <c r="R1064" s="25" t="str">
        <f>_xlfn.XLOOKUP(tbl_Ledger[[#This Row],[Account_Code]], tbl_Accounts[Account_Code], tbl_Accounts[Type])</f>
        <v>Revenue</v>
      </c>
      <c r="S1064" s="25" t="str">
        <f>_xlfn.XLOOKUP(tbl_Ledger[[#This Row],[Account_Code]], tbl_Accounts[Account_Code], tbl_Accounts[PL_Bucket])</f>
        <v>Revenue</v>
      </c>
      <c r="T1064" s="25">
        <f t="shared" si="16"/>
        <v>59500</v>
      </c>
    </row>
    <row r="1065" spans="1:20">
      <c r="A1065" t="s">
        <v>2847</v>
      </c>
      <c r="B1065" s="7">
        <v>45907</v>
      </c>
      <c r="C1065" t="s">
        <v>126</v>
      </c>
      <c r="D1065" t="s">
        <v>88</v>
      </c>
      <c r="E1065" t="s">
        <v>127</v>
      </c>
      <c r="F1065" s="12" t="s">
        <v>29</v>
      </c>
      <c r="G1065" t="s">
        <v>30</v>
      </c>
      <c r="H1065" t="s">
        <v>2848</v>
      </c>
      <c r="I1065" t="s">
        <v>72</v>
      </c>
      <c r="J1065" s="6">
        <v>35.69</v>
      </c>
      <c r="K1065" t="s">
        <v>129</v>
      </c>
      <c r="L1065" t="s">
        <v>2849</v>
      </c>
      <c r="M1065" t="s">
        <v>3</v>
      </c>
      <c r="N1065" s="25" t="str">
        <f>TEXT(tbl_Ledger[[#This Row],[Date]],"yyyy-mm")</f>
        <v>2025-09</v>
      </c>
      <c r="O1065" s="25" t="str">
        <f>TEXT(tbl_Ledger[[#This Row],[Date]],"yyyy-mm") &amp; TRIM(tbl_Ledger[[#This Row],[Currency]])</f>
        <v>2025-09USD</v>
      </c>
      <c r="P1065" s="25">
        <f>_xlfn.XLOOKUP(tbl_Ledger[[#This Row],[Key]], tbl_FX[Key], tbl_FX[Rate_to_NGN])</f>
        <v>1611</v>
      </c>
      <c r="Q1065" s="37">
        <f>IF(tbl_Ledger[[#This Row],[Account_Type]]="Expense",-ABS(tbl_Ledger[[#This Row],[Amount]]*tbl_Ledger[[#This Row],[Rate_to_NGN]]),tbl_Ledger[[#This Row],[Amount]]*tbl_Ledger[[#This Row],[Rate_to_NGN]])</f>
        <v>57496.59</v>
      </c>
      <c r="R1065" s="25" t="str">
        <f>_xlfn.XLOOKUP(tbl_Ledger[[#This Row],[Account_Code]], tbl_Accounts[Account_Code], tbl_Accounts[Type])</f>
        <v>Revenue</v>
      </c>
      <c r="S1065" s="25" t="str">
        <f>_xlfn.XLOOKUP(tbl_Ledger[[#This Row],[Account_Code]], tbl_Accounts[Account_Code], tbl_Accounts[PL_Bucket])</f>
        <v>Revenue</v>
      </c>
      <c r="T1065" s="25">
        <f t="shared" si="16"/>
        <v>57496.59</v>
      </c>
    </row>
    <row r="1066" spans="1:20">
      <c r="A1066" t="s">
        <v>2850</v>
      </c>
      <c r="B1066" s="7">
        <v>45907</v>
      </c>
      <c r="C1066" t="s">
        <v>126</v>
      </c>
      <c r="D1066" t="s">
        <v>88</v>
      </c>
      <c r="E1066" t="s">
        <v>132</v>
      </c>
      <c r="F1066" s="12" t="s">
        <v>29</v>
      </c>
      <c r="G1066" t="s">
        <v>30</v>
      </c>
      <c r="H1066" t="s">
        <v>2851</v>
      </c>
      <c r="I1066" t="s">
        <v>72</v>
      </c>
      <c r="J1066" s="6">
        <v>36.44</v>
      </c>
      <c r="K1066" t="s">
        <v>134</v>
      </c>
      <c r="L1066" t="s">
        <v>2849</v>
      </c>
      <c r="M1066" t="s">
        <v>3</v>
      </c>
      <c r="N1066" s="25" t="str">
        <f>TEXT(tbl_Ledger[[#This Row],[Date]],"yyyy-mm")</f>
        <v>2025-09</v>
      </c>
      <c r="O1066" s="25" t="str">
        <f>TEXT(tbl_Ledger[[#This Row],[Date]],"yyyy-mm") &amp; TRIM(tbl_Ledger[[#This Row],[Currency]])</f>
        <v>2025-09USD</v>
      </c>
      <c r="P1066" s="25">
        <f>_xlfn.XLOOKUP(tbl_Ledger[[#This Row],[Key]], tbl_FX[Key], tbl_FX[Rate_to_NGN])</f>
        <v>1611</v>
      </c>
      <c r="Q1066" s="37">
        <f>IF(tbl_Ledger[[#This Row],[Account_Type]]="Expense",-ABS(tbl_Ledger[[#This Row],[Amount]]*tbl_Ledger[[#This Row],[Rate_to_NGN]]),tbl_Ledger[[#This Row],[Amount]]*tbl_Ledger[[#This Row],[Rate_to_NGN]])</f>
        <v>58704.84</v>
      </c>
      <c r="R1066" s="25" t="str">
        <f>_xlfn.XLOOKUP(tbl_Ledger[[#This Row],[Account_Code]], tbl_Accounts[Account_Code], tbl_Accounts[Type])</f>
        <v>Revenue</v>
      </c>
      <c r="S1066" s="25" t="str">
        <f>_xlfn.XLOOKUP(tbl_Ledger[[#This Row],[Account_Code]], tbl_Accounts[Account_Code], tbl_Accounts[PL_Bucket])</f>
        <v>Revenue</v>
      </c>
      <c r="T1066" s="25">
        <f t="shared" si="16"/>
        <v>58704.84</v>
      </c>
    </row>
    <row r="1067" spans="1:20">
      <c r="A1067" t="s">
        <v>2852</v>
      </c>
      <c r="B1067" s="7">
        <v>45907</v>
      </c>
      <c r="C1067" t="s">
        <v>126</v>
      </c>
      <c r="D1067" t="s">
        <v>88</v>
      </c>
      <c r="E1067" t="s">
        <v>136</v>
      </c>
      <c r="F1067" s="12" t="s">
        <v>29</v>
      </c>
      <c r="G1067" t="s">
        <v>30</v>
      </c>
      <c r="H1067" t="s">
        <v>2853</v>
      </c>
      <c r="I1067" t="s">
        <v>72</v>
      </c>
      <c r="J1067" s="6">
        <v>29.11</v>
      </c>
      <c r="K1067" t="s">
        <v>138</v>
      </c>
      <c r="L1067" t="s">
        <v>2849</v>
      </c>
      <c r="M1067" t="s">
        <v>3</v>
      </c>
      <c r="N1067" s="25" t="str">
        <f>TEXT(tbl_Ledger[[#This Row],[Date]],"yyyy-mm")</f>
        <v>2025-09</v>
      </c>
      <c r="O1067" s="25" t="str">
        <f>TEXT(tbl_Ledger[[#This Row],[Date]],"yyyy-mm") &amp; TRIM(tbl_Ledger[[#This Row],[Currency]])</f>
        <v>2025-09USD</v>
      </c>
      <c r="P1067" s="25">
        <f>_xlfn.XLOOKUP(tbl_Ledger[[#This Row],[Key]], tbl_FX[Key], tbl_FX[Rate_to_NGN])</f>
        <v>1611</v>
      </c>
      <c r="Q1067" s="37">
        <f>IF(tbl_Ledger[[#This Row],[Account_Type]]="Expense",-ABS(tbl_Ledger[[#This Row],[Amount]]*tbl_Ledger[[#This Row],[Rate_to_NGN]]),tbl_Ledger[[#This Row],[Amount]]*tbl_Ledger[[#This Row],[Rate_to_NGN]])</f>
        <v>46896.21</v>
      </c>
      <c r="R1067" s="25" t="str">
        <f>_xlfn.XLOOKUP(tbl_Ledger[[#This Row],[Account_Code]], tbl_Accounts[Account_Code], tbl_Accounts[Type])</f>
        <v>Revenue</v>
      </c>
      <c r="S1067" s="25" t="str">
        <f>_xlfn.XLOOKUP(tbl_Ledger[[#This Row],[Account_Code]], tbl_Accounts[Account_Code], tbl_Accounts[PL_Bucket])</f>
        <v>Revenue</v>
      </c>
      <c r="T1067" s="25">
        <f t="shared" si="16"/>
        <v>46896.21</v>
      </c>
    </row>
    <row r="1068" spans="1:20">
      <c r="A1068" t="s">
        <v>2854</v>
      </c>
      <c r="B1068" s="7">
        <v>45907</v>
      </c>
      <c r="C1068" t="s">
        <v>126</v>
      </c>
      <c r="D1068" t="s">
        <v>88</v>
      </c>
      <c r="E1068" t="s">
        <v>140</v>
      </c>
      <c r="F1068" s="12" t="s">
        <v>29</v>
      </c>
      <c r="G1068" t="s">
        <v>30</v>
      </c>
      <c r="H1068" t="s">
        <v>2855</v>
      </c>
      <c r="I1068" t="s">
        <v>71</v>
      </c>
      <c r="J1068" s="6">
        <v>59500</v>
      </c>
      <c r="K1068" t="s">
        <v>3</v>
      </c>
      <c r="L1068" t="s">
        <v>2856</v>
      </c>
      <c r="M1068" t="s">
        <v>3</v>
      </c>
      <c r="N1068" s="25" t="str">
        <f>TEXT(tbl_Ledger[[#This Row],[Date]],"yyyy-mm")</f>
        <v>2025-09</v>
      </c>
      <c r="O1068" s="25" t="str">
        <f>TEXT(tbl_Ledger[[#This Row],[Date]],"yyyy-mm") &amp; TRIM(tbl_Ledger[[#This Row],[Currency]])</f>
        <v>2025-09NGN</v>
      </c>
      <c r="P1068" s="25">
        <f>_xlfn.XLOOKUP(tbl_Ledger[[#This Row],[Key]], tbl_FX[Key], tbl_FX[Rate_to_NGN])</f>
        <v>1</v>
      </c>
      <c r="Q1068" s="37">
        <f>IF(tbl_Ledger[[#This Row],[Account_Type]]="Expense",-ABS(tbl_Ledger[[#This Row],[Amount]]*tbl_Ledger[[#This Row],[Rate_to_NGN]]),tbl_Ledger[[#This Row],[Amount]]*tbl_Ledger[[#This Row],[Rate_to_NGN]])</f>
        <v>59500</v>
      </c>
      <c r="R1068" s="25" t="str">
        <f>_xlfn.XLOOKUP(tbl_Ledger[[#This Row],[Account_Code]], tbl_Accounts[Account_Code], tbl_Accounts[Type])</f>
        <v>Revenue</v>
      </c>
      <c r="S1068" s="25" t="str">
        <f>_xlfn.XLOOKUP(tbl_Ledger[[#This Row],[Account_Code]], tbl_Accounts[Account_Code], tbl_Accounts[PL_Bucket])</f>
        <v>Revenue</v>
      </c>
      <c r="T1068" s="25">
        <f t="shared" si="16"/>
        <v>59500</v>
      </c>
    </row>
    <row r="1069" spans="1:20">
      <c r="A1069" t="s">
        <v>2857</v>
      </c>
      <c r="B1069" s="7">
        <v>45907</v>
      </c>
      <c r="C1069" t="s">
        <v>93</v>
      </c>
      <c r="D1069" t="s">
        <v>111</v>
      </c>
      <c r="E1069" t="s">
        <v>112</v>
      </c>
      <c r="F1069" s="12" t="s">
        <v>31</v>
      </c>
      <c r="G1069" t="s">
        <v>32</v>
      </c>
      <c r="H1069" t="s">
        <v>2858</v>
      </c>
      <c r="I1069" t="s">
        <v>71</v>
      </c>
      <c r="J1069" s="6">
        <v>-176465</v>
      </c>
      <c r="K1069" t="s">
        <v>3</v>
      </c>
      <c r="L1069" t="s">
        <v>2859</v>
      </c>
      <c r="M1069" t="s">
        <v>3</v>
      </c>
      <c r="N1069" s="25" t="str">
        <f>TEXT(tbl_Ledger[[#This Row],[Date]],"yyyy-mm")</f>
        <v>2025-09</v>
      </c>
      <c r="O1069" s="25" t="str">
        <f>TEXT(tbl_Ledger[[#This Row],[Date]],"yyyy-mm") &amp; TRIM(tbl_Ledger[[#This Row],[Currency]])</f>
        <v>2025-09NGN</v>
      </c>
      <c r="P1069" s="25">
        <f>_xlfn.XLOOKUP(tbl_Ledger[[#This Row],[Key]], tbl_FX[Key], tbl_FX[Rate_to_NGN])</f>
        <v>1</v>
      </c>
      <c r="Q1069" s="37">
        <f>IF(tbl_Ledger[[#This Row],[Account_Type]]="Expense",-ABS(tbl_Ledger[[#This Row],[Amount]]*tbl_Ledger[[#This Row],[Rate_to_NGN]]),tbl_Ledger[[#This Row],[Amount]]*tbl_Ledger[[#This Row],[Rate_to_NGN]])</f>
        <v>-176465</v>
      </c>
      <c r="R1069" s="25" t="str">
        <f>_xlfn.XLOOKUP(tbl_Ledger[[#This Row],[Account_Code]], tbl_Accounts[Account_Code], tbl_Accounts[Type])</f>
        <v>Revenue</v>
      </c>
      <c r="S1069" s="25" t="str">
        <f>_xlfn.XLOOKUP(tbl_Ledger[[#This Row],[Account_Code]], tbl_Accounts[Account_Code], tbl_Accounts[PL_Bucket])</f>
        <v>Revenue</v>
      </c>
      <c r="T1069" s="25">
        <f t="shared" si="16"/>
        <v>176465</v>
      </c>
    </row>
    <row r="1070" spans="1:20">
      <c r="A1070" t="s">
        <v>2860</v>
      </c>
      <c r="B1070" s="7">
        <v>45907</v>
      </c>
      <c r="C1070" t="s">
        <v>87</v>
      </c>
      <c r="D1070" t="s">
        <v>94</v>
      </c>
      <c r="E1070" t="s">
        <v>3</v>
      </c>
      <c r="F1070" s="12" t="s">
        <v>42</v>
      </c>
      <c r="G1070" t="s">
        <v>43</v>
      </c>
      <c r="H1070" t="s">
        <v>2861</v>
      </c>
      <c r="I1070" t="s">
        <v>71</v>
      </c>
      <c r="J1070" s="6">
        <v>-550000</v>
      </c>
      <c r="K1070" t="s">
        <v>187</v>
      </c>
      <c r="L1070" t="s">
        <v>2862</v>
      </c>
      <c r="M1070" t="s">
        <v>3</v>
      </c>
      <c r="N1070" s="25" t="str">
        <f>TEXT(tbl_Ledger[[#This Row],[Date]],"yyyy-mm")</f>
        <v>2025-09</v>
      </c>
      <c r="O1070" s="25" t="str">
        <f>TEXT(tbl_Ledger[[#This Row],[Date]],"yyyy-mm") &amp; TRIM(tbl_Ledger[[#This Row],[Currency]])</f>
        <v>2025-09NGN</v>
      </c>
      <c r="P1070" s="25">
        <f>_xlfn.XLOOKUP(tbl_Ledger[[#This Row],[Key]], tbl_FX[Key], tbl_FX[Rate_to_NGN])</f>
        <v>1</v>
      </c>
      <c r="Q1070" s="37">
        <f>IF(tbl_Ledger[[#This Row],[Account_Type]]="Expense",-ABS(tbl_Ledger[[#This Row],[Amount]]*tbl_Ledger[[#This Row],[Rate_to_NGN]]),tbl_Ledger[[#This Row],[Amount]]*tbl_Ledger[[#This Row],[Rate_to_NGN]])</f>
        <v>-550000</v>
      </c>
      <c r="R1070" s="25" t="str">
        <f>_xlfn.XLOOKUP(tbl_Ledger[[#This Row],[Account_Code]], tbl_Accounts[Account_Code], tbl_Accounts[Type])</f>
        <v>COGS</v>
      </c>
      <c r="S1070" s="25" t="str">
        <f>_xlfn.XLOOKUP(tbl_Ledger[[#This Row],[Account_Code]], tbl_Accounts[Account_Code], tbl_Accounts[PL_Bucket])</f>
        <v>COGS</v>
      </c>
      <c r="T1070" s="25">
        <f t="shared" si="16"/>
        <v>-550000</v>
      </c>
    </row>
    <row r="1071" spans="1:20">
      <c r="A1071" t="s">
        <v>2863</v>
      </c>
      <c r="B1071" s="7">
        <v>45907</v>
      </c>
      <c r="C1071" t="s">
        <v>87</v>
      </c>
      <c r="D1071" t="s">
        <v>88</v>
      </c>
      <c r="E1071" t="s">
        <v>3</v>
      </c>
      <c r="F1071" s="12" t="s">
        <v>42</v>
      </c>
      <c r="G1071" t="s">
        <v>43</v>
      </c>
      <c r="H1071" t="s">
        <v>2864</v>
      </c>
      <c r="I1071" t="s">
        <v>71</v>
      </c>
      <c r="J1071" s="6">
        <v>-722000</v>
      </c>
      <c r="K1071" t="s">
        <v>398</v>
      </c>
      <c r="L1071" t="s">
        <v>2865</v>
      </c>
      <c r="M1071" t="s">
        <v>3</v>
      </c>
      <c r="N1071" s="25" t="str">
        <f>TEXT(tbl_Ledger[[#This Row],[Date]],"yyyy-mm")</f>
        <v>2025-09</v>
      </c>
      <c r="O1071" s="25" t="str">
        <f>TEXT(tbl_Ledger[[#This Row],[Date]],"yyyy-mm") &amp; TRIM(tbl_Ledger[[#This Row],[Currency]])</f>
        <v>2025-09NGN</v>
      </c>
      <c r="P1071" s="25">
        <f>_xlfn.XLOOKUP(tbl_Ledger[[#This Row],[Key]], tbl_FX[Key], tbl_FX[Rate_to_NGN])</f>
        <v>1</v>
      </c>
      <c r="Q1071" s="37">
        <f>IF(tbl_Ledger[[#This Row],[Account_Type]]="Expense",-ABS(tbl_Ledger[[#This Row],[Amount]]*tbl_Ledger[[#This Row],[Rate_to_NGN]]),tbl_Ledger[[#This Row],[Amount]]*tbl_Ledger[[#This Row],[Rate_to_NGN]])</f>
        <v>-722000</v>
      </c>
      <c r="R1071" s="25" t="str">
        <f>_xlfn.XLOOKUP(tbl_Ledger[[#This Row],[Account_Code]], tbl_Accounts[Account_Code], tbl_Accounts[Type])</f>
        <v>COGS</v>
      </c>
      <c r="S1071" s="25" t="str">
        <f>_xlfn.XLOOKUP(tbl_Ledger[[#This Row],[Account_Code]], tbl_Accounts[Account_Code], tbl_Accounts[PL_Bucket])</f>
        <v>COGS</v>
      </c>
      <c r="T1071" s="25">
        <f t="shared" si="16"/>
        <v>-722000</v>
      </c>
    </row>
    <row r="1072" spans="1:20">
      <c r="A1072" t="s">
        <v>2866</v>
      </c>
      <c r="B1072" s="7">
        <v>45908</v>
      </c>
      <c r="C1072" t="s">
        <v>93</v>
      </c>
      <c r="D1072" t="s">
        <v>94</v>
      </c>
      <c r="E1072" t="s">
        <v>95</v>
      </c>
      <c r="F1072" s="12" t="s">
        <v>24</v>
      </c>
      <c r="G1072" t="s">
        <v>25</v>
      </c>
      <c r="H1072" t="s">
        <v>2867</v>
      </c>
      <c r="I1072" t="s">
        <v>71</v>
      </c>
      <c r="J1072" s="6">
        <v>29900</v>
      </c>
      <c r="K1072" t="s">
        <v>3</v>
      </c>
      <c r="L1072" t="s">
        <v>2868</v>
      </c>
      <c r="M1072" t="s">
        <v>3</v>
      </c>
      <c r="N1072" s="25" t="str">
        <f>TEXT(tbl_Ledger[[#This Row],[Date]],"yyyy-mm")</f>
        <v>2025-09</v>
      </c>
      <c r="O1072" s="25" t="str">
        <f>TEXT(tbl_Ledger[[#This Row],[Date]],"yyyy-mm") &amp; TRIM(tbl_Ledger[[#This Row],[Currency]])</f>
        <v>2025-09NGN</v>
      </c>
      <c r="P1072" s="25">
        <f>_xlfn.XLOOKUP(tbl_Ledger[[#This Row],[Key]], tbl_FX[Key], tbl_FX[Rate_to_NGN])</f>
        <v>1</v>
      </c>
      <c r="Q1072" s="37">
        <f>IF(tbl_Ledger[[#This Row],[Account_Type]]="Expense",-ABS(tbl_Ledger[[#This Row],[Amount]]*tbl_Ledger[[#This Row],[Rate_to_NGN]]),tbl_Ledger[[#This Row],[Amount]]*tbl_Ledger[[#This Row],[Rate_to_NGN]])</f>
        <v>29900</v>
      </c>
      <c r="R1072" s="25" t="str">
        <f>_xlfn.XLOOKUP(tbl_Ledger[[#This Row],[Account_Code]], tbl_Accounts[Account_Code], tbl_Accounts[Type])</f>
        <v>Revenue</v>
      </c>
      <c r="S1072" s="25" t="str">
        <f>_xlfn.XLOOKUP(tbl_Ledger[[#This Row],[Account_Code]], tbl_Accounts[Account_Code], tbl_Accounts[PL_Bucket])</f>
        <v>Revenue</v>
      </c>
      <c r="T1072" s="25">
        <f t="shared" si="16"/>
        <v>29900</v>
      </c>
    </row>
    <row r="1073" spans="1:20">
      <c r="A1073" t="s">
        <v>2869</v>
      </c>
      <c r="B1073" s="7">
        <v>45908</v>
      </c>
      <c r="C1073" t="s">
        <v>93</v>
      </c>
      <c r="D1073" t="s">
        <v>94</v>
      </c>
      <c r="E1073" t="s">
        <v>99</v>
      </c>
      <c r="F1073" s="12" t="s">
        <v>24</v>
      </c>
      <c r="G1073" t="s">
        <v>25</v>
      </c>
      <c r="H1073" t="s">
        <v>2870</v>
      </c>
      <c r="I1073" t="s">
        <v>71</v>
      </c>
      <c r="J1073" s="6">
        <v>33500</v>
      </c>
      <c r="K1073" t="s">
        <v>3</v>
      </c>
      <c r="L1073" t="s">
        <v>2871</v>
      </c>
      <c r="M1073" t="s">
        <v>3</v>
      </c>
      <c r="N1073" s="25" t="str">
        <f>TEXT(tbl_Ledger[[#This Row],[Date]],"yyyy-mm")</f>
        <v>2025-09</v>
      </c>
      <c r="O1073" s="25" t="str">
        <f>TEXT(tbl_Ledger[[#This Row],[Date]],"yyyy-mm") &amp; TRIM(tbl_Ledger[[#This Row],[Currency]])</f>
        <v>2025-09NGN</v>
      </c>
      <c r="P1073" s="25">
        <f>_xlfn.XLOOKUP(tbl_Ledger[[#This Row],[Key]], tbl_FX[Key], tbl_FX[Rate_to_NGN])</f>
        <v>1</v>
      </c>
      <c r="Q1073" s="37">
        <f>IF(tbl_Ledger[[#This Row],[Account_Type]]="Expense",-ABS(tbl_Ledger[[#This Row],[Amount]]*tbl_Ledger[[#This Row],[Rate_to_NGN]]),tbl_Ledger[[#This Row],[Amount]]*tbl_Ledger[[#This Row],[Rate_to_NGN]])</f>
        <v>33500</v>
      </c>
      <c r="R1073" s="25" t="str">
        <f>_xlfn.XLOOKUP(tbl_Ledger[[#This Row],[Account_Code]], tbl_Accounts[Account_Code], tbl_Accounts[Type])</f>
        <v>Revenue</v>
      </c>
      <c r="S1073" s="25" t="str">
        <f>_xlfn.XLOOKUP(tbl_Ledger[[#This Row],[Account_Code]], tbl_Accounts[Account_Code], tbl_Accounts[PL_Bucket])</f>
        <v>Revenue</v>
      </c>
      <c r="T1073" s="25">
        <f t="shared" si="16"/>
        <v>33500</v>
      </c>
    </row>
    <row r="1074" spans="1:20">
      <c r="A1074" t="s">
        <v>2872</v>
      </c>
      <c r="B1074" s="7">
        <v>45908</v>
      </c>
      <c r="C1074" t="s">
        <v>93</v>
      </c>
      <c r="D1074" t="s">
        <v>94</v>
      </c>
      <c r="E1074" t="s">
        <v>103</v>
      </c>
      <c r="F1074" s="12" t="s">
        <v>24</v>
      </c>
      <c r="G1074" t="s">
        <v>25</v>
      </c>
      <c r="H1074" t="s">
        <v>2873</v>
      </c>
      <c r="I1074" t="s">
        <v>71</v>
      </c>
      <c r="J1074" s="6">
        <v>33100</v>
      </c>
      <c r="K1074" t="s">
        <v>3</v>
      </c>
      <c r="L1074" t="s">
        <v>2874</v>
      </c>
      <c r="M1074" t="s">
        <v>3</v>
      </c>
      <c r="N1074" s="25" t="str">
        <f>TEXT(tbl_Ledger[[#This Row],[Date]],"yyyy-mm")</f>
        <v>2025-09</v>
      </c>
      <c r="O1074" s="25" t="str">
        <f>TEXT(tbl_Ledger[[#This Row],[Date]],"yyyy-mm") &amp; TRIM(tbl_Ledger[[#This Row],[Currency]])</f>
        <v>2025-09NGN</v>
      </c>
      <c r="P1074" s="25">
        <f>_xlfn.XLOOKUP(tbl_Ledger[[#This Row],[Key]], tbl_FX[Key], tbl_FX[Rate_to_NGN])</f>
        <v>1</v>
      </c>
      <c r="Q1074" s="37">
        <f>IF(tbl_Ledger[[#This Row],[Account_Type]]="Expense",-ABS(tbl_Ledger[[#This Row],[Amount]]*tbl_Ledger[[#This Row],[Rate_to_NGN]]),tbl_Ledger[[#This Row],[Amount]]*tbl_Ledger[[#This Row],[Rate_to_NGN]])</f>
        <v>33100</v>
      </c>
      <c r="R1074" s="25" t="str">
        <f>_xlfn.XLOOKUP(tbl_Ledger[[#This Row],[Account_Code]], tbl_Accounts[Account_Code], tbl_Accounts[Type])</f>
        <v>Revenue</v>
      </c>
      <c r="S1074" s="25" t="str">
        <f>_xlfn.XLOOKUP(tbl_Ledger[[#This Row],[Account_Code]], tbl_Accounts[Account_Code], tbl_Accounts[PL_Bucket])</f>
        <v>Revenue</v>
      </c>
      <c r="T1074" s="25">
        <f t="shared" si="16"/>
        <v>33100</v>
      </c>
    </row>
    <row r="1075" spans="1:20">
      <c r="A1075" t="s">
        <v>2875</v>
      </c>
      <c r="B1075" s="7">
        <v>45908</v>
      </c>
      <c r="C1075" t="s">
        <v>93</v>
      </c>
      <c r="D1075" t="s">
        <v>94</v>
      </c>
      <c r="E1075" t="s">
        <v>160</v>
      </c>
      <c r="F1075" s="12" t="s">
        <v>24</v>
      </c>
      <c r="G1075" t="s">
        <v>25</v>
      </c>
      <c r="H1075" t="s">
        <v>2876</v>
      </c>
      <c r="I1075" t="s">
        <v>71</v>
      </c>
      <c r="J1075" s="6">
        <v>30700</v>
      </c>
      <c r="K1075" t="s">
        <v>3</v>
      </c>
      <c r="L1075" t="s">
        <v>2874</v>
      </c>
      <c r="M1075" t="s">
        <v>3</v>
      </c>
      <c r="N1075" s="25" t="str">
        <f>TEXT(tbl_Ledger[[#This Row],[Date]],"yyyy-mm")</f>
        <v>2025-09</v>
      </c>
      <c r="O1075" s="25" t="str">
        <f>TEXT(tbl_Ledger[[#This Row],[Date]],"yyyy-mm") &amp; TRIM(tbl_Ledger[[#This Row],[Currency]])</f>
        <v>2025-09NGN</v>
      </c>
      <c r="P1075" s="25">
        <f>_xlfn.XLOOKUP(tbl_Ledger[[#This Row],[Key]], tbl_FX[Key], tbl_FX[Rate_to_NGN])</f>
        <v>1</v>
      </c>
      <c r="Q1075" s="37">
        <f>IF(tbl_Ledger[[#This Row],[Account_Type]]="Expense",-ABS(tbl_Ledger[[#This Row],[Amount]]*tbl_Ledger[[#This Row],[Rate_to_NGN]]),tbl_Ledger[[#This Row],[Amount]]*tbl_Ledger[[#This Row],[Rate_to_NGN]])</f>
        <v>30700</v>
      </c>
      <c r="R1075" s="25" t="str">
        <f>_xlfn.XLOOKUP(tbl_Ledger[[#This Row],[Account_Code]], tbl_Accounts[Account_Code], tbl_Accounts[Type])</f>
        <v>Revenue</v>
      </c>
      <c r="S1075" s="25" t="str">
        <f>_xlfn.XLOOKUP(tbl_Ledger[[#This Row],[Account_Code]], tbl_Accounts[Account_Code], tbl_Accounts[PL_Bucket])</f>
        <v>Revenue</v>
      </c>
      <c r="T1075" s="25">
        <f t="shared" si="16"/>
        <v>30700</v>
      </c>
    </row>
    <row r="1076" spans="1:20">
      <c r="A1076" t="s">
        <v>2877</v>
      </c>
      <c r="B1076" s="7">
        <v>45908</v>
      </c>
      <c r="C1076" t="s">
        <v>93</v>
      </c>
      <c r="D1076" t="s">
        <v>94</v>
      </c>
      <c r="E1076" t="s">
        <v>107</v>
      </c>
      <c r="F1076" s="12" t="s">
        <v>24</v>
      </c>
      <c r="G1076" t="s">
        <v>25</v>
      </c>
      <c r="H1076" t="s">
        <v>2878</v>
      </c>
      <c r="I1076" t="s">
        <v>71</v>
      </c>
      <c r="J1076" s="6">
        <v>33700</v>
      </c>
      <c r="K1076" t="s">
        <v>3</v>
      </c>
      <c r="L1076" t="s">
        <v>2879</v>
      </c>
      <c r="M1076" t="s">
        <v>3</v>
      </c>
      <c r="N1076" s="25" t="str">
        <f>TEXT(tbl_Ledger[[#This Row],[Date]],"yyyy-mm")</f>
        <v>2025-09</v>
      </c>
      <c r="O1076" s="25" t="str">
        <f>TEXT(tbl_Ledger[[#This Row],[Date]],"yyyy-mm") &amp; TRIM(tbl_Ledger[[#This Row],[Currency]])</f>
        <v>2025-09NGN</v>
      </c>
      <c r="P1076" s="25">
        <f>_xlfn.XLOOKUP(tbl_Ledger[[#This Row],[Key]], tbl_FX[Key], tbl_FX[Rate_to_NGN])</f>
        <v>1</v>
      </c>
      <c r="Q1076" s="37">
        <f>IF(tbl_Ledger[[#This Row],[Account_Type]]="Expense",-ABS(tbl_Ledger[[#This Row],[Amount]]*tbl_Ledger[[#This Row],[Rate_to_NGN]]),tbl_Ledger[[#This Row],[Amount]]*tbl_Ledger[[#This Row],[Rate_to_NGN]])</f>
        <v>33700</v>
      </c>
      <c r="R1076" s="25" t="str">
        <f>_xlfn.XLOOKUP(tbl_Ledger[[#This Row],[Account_Code]], tbl_Accounts[Account_Code], tbl_Accounts[Type])</f>
        <v>Revenue</v>
      </c>
      <c r="S1076" s="25" t="str">
        <f>_xlfn.XLOOKUP(tbl_Ledger[[#This Row],[Account_Code]], tbl_Accounts[Account_Code], tbl_Accounts[PL_Bucket])</f>
        <v>Revenue</v>
      </c>
      <c r="T1076" s="25">
        <f t="shared" si="16"/>
        <v>33700</v>
      </c>
    </row>
    <row r="1077" spans="1:20">
      <c r="A1077" t="s">
        <v>2880</v>
      </c>
      <c r="B1077" s="7">
        <v>45908</v>
      </c>
      <c r="C1077" t="s">
        <v>93</v>
      </c>
      <c r="D1077" t="s">
        <v>111</v>
      </c>
      <c r="E1077" t="s">
        <v>116</v>
      </c>
      <c r="F1077" s="12" t="s">
        <v>24</v>
      </c>
      <c r="G1077" t="s">
        <v>25</v>
      </c>
      <c r="H1077" t="s">
        <v>2881</v>
      </c>
      <c r="I1077" t="s">
        <v>71</v>
      </c>
      <c r="J1077" s="6">
        <v>51200</v>
      </c>
      <c r="K1077" t="s">
        <v>3</v>
      </c>
      <c r="L1077" t="s">
        <v>2882</v>
      </c>
      <c r="M1077" t="s">
        <v>3</v>
      </c>
      <c r="N1077" s="25" t="str">
        <f>TEXT(tbl_Ledger[[#This Row],[Date]],"yyyy-mm")</f>
        <v>2025-09</v>
      </c>
      <c r="O1077" s="25" t="str">
        <f>TEXT(tbl_Ledger[[#This Row],[Date]],"yyyy-mm") &amp; TRIM(tbl_Ledger[[#This Row],[Currency]])</f>
        <v>2025-09NGN</v>
      </c>
      <c r="P1077" s="25">
        <f>_xlfn.XLOOKUP(tbl_Ledger[[#This Row],[Key]], tbl_FX[Key], tbl_FX[Rate_to_NGN])</f>
        <v>1</v>
      </c>
      <c r="Q1077" s="37">
        <f>IF(tbl_Ledger[[#This Row],[Account_Type]]="Expense",-ABS(tbl_Ledger[[#This Row],[Amount]]*tbl_Ledger[[#This Row],[Rate_to_NGN]]),tbl_Ledger[[#This Row],[Amount]]*tbl_Ledger[[#This Row],[Rate_to_NGN]])</f>
        <v>51200</v>
      </c>
      <c r="R1077" s="25" t="str">
        <f>_xlfn.XLOOKUP(tbl_Ledger[[#This Row],[Account_Code]], tbl_Accounts[Account_Code], tbl_Accounts[Type])</f>
        <v>Revenue</v>
      </c>
      <c r="S1077" s="25" t="str">
        <f>_xlfn.XLOOKUP(tbl_Ledger[[#This Row],[Account_Code]], tbl_Accounts[Account_Code], tbl_Accounts[PL_Bucket])</f>
        <v>Revenue</v>
      </c>
      <c r="T1077" s="25">
        <f t="shared" si="16"/>
        <v>51200</v>
      </c>
    </row>
    <row r="1078" spans="1:20">
      <c r="A1078" t="s">
        <v>2883</v>
      </c>
      <c r="B1078" s="7">
        <v>45908</v>
      </c>
      <c r="C1078" t="s">
        <v>93</v>
      </c>
      <c r="D1078" t="s">
        <v>111</v>
      </c>
      <c r="E1078" t="s">
        <v>119</v>
      </c>
      <c r="F1078" s="12" t="s">
        <v>24</v>
      </c>
      <c r="G1078" t="s">
        <v>25</v>
      </c>
      <c r="H1078" t="s">
        <v>2884</v>
      </c>
      <c r="I1078" t="s">
        <v>71</v>
      </c>
      <c r="J1078" s="6">
        <v>51700</v>
      </c>
      <c r="K1078" t="s">
        <v>3</v>
      </c>
      <c r="L1078" t="s">
        <v>2882</v>
      </c>
      <c r="M1078" t="s">
        <v>3</v>
      </c>
      <c r="N1078" s="25" t="str">
        <f>TEXT(tbl_Ledger[[#This Row],[Date]],"yyyy-mm")</f>
        <v>2025-09</v>
      </c>
      <c r="O1078" s="25" t="str">
        <f>TEXT(tbl_Ledger[[#This Row],[Date]],"yyyy-mm") &amp; TRIM(tbl_Ledger[[#This Row],[Currency]])</f>
        <v>2025-09NGN</v>
      </c>
      <c r="P1078" s="25">
        <f>_xlfn.XLOOKUP(tbl_Ledger[[#This Row],[Key]], tbl_FX[Key], tbl_FX[Rate_to_NGN])</f>
        <v>1</v>
      </c>
      <c r="Q1078" s="37">
        <f>IF(tbl_Ledger[[#This Row],[Account_Type]]="Expense",-ABS(tbl_Ledger[[#This Row],[Amount]]*tbl_Ledger[[#This Row],[Rate_to_NGN]]),tbl_Ledger[[#This Row],[Amount]]*tbl_Ledger[[#This Row],[Rate_to_NGN]])</f>
        <v>51700</v>
      </c>
      <c r="R1078" s="25" t="str">
        <f>_xlfn.XLOOKUP(tbl_Ledger[[#This Row],[Account_Code]], tbl_Accounts[Account_Code], tbl_Accounts[Type])</f>
        <v>Revenue</v>
      </c>
      <c r="S1078" s="25" t="str">
        <f>_xlfn.XLOOKUP(tbl_Ledger[[#This Row],[Account_Code]], tbl_Accounts[Account_Code], tbl_Accounts[PL_Bucket])</f>
        <v>Revenue</v>
      </c>
      <c r="T1078" s="25">
        <f t="shared" si="16"/>
        <v>51700</v>
      </c>
    </row>
    <row r="1079" spans="1:20">
      <c r="A1079" t="s">
        <v>2885</v>
      </c>
      <c r="B1079" s="7">
        <v>45908</v>
      </c>
      <c r="C1079" t="s">
        <v>93</v>
      </c>
      <c r="D1079" t="s">
        <v>111</v>
      </c>
      <c r="E1079" t="s">
        <v>170</v>
      </c>
      <c r="F1079" s="12" t="s">
        <v>24</v>
      </c>
      <c r="G1079" t="s">
        <v>25</v>
      </c>
      <c r="H1079" t="s">
        <v>2886</v>
      </c>
      <c r="I1079" t="s">
        <v>71</v>
      </c>
      <c r="J1079" s="6">
        <v>47600</v>
      </c>
      <c r="K1079" t="s">
        <v>3</v>
      </c>
      <c r="L1079" t="s">
        <v>2882</v>
      </c>
      <c r="M1079" t="s">
        <v>3</v>
      </c>
      <c r="N1079" s="25" t="str">
        <f>TEXT(tbl_Ledger[[#This Row],[Date]],"yyyy-mm")</f>
        <v>2025-09</v>
      </c>
      <c r="O1079" s="25" t="str">
        <f>TEXT(tbl_Ledger[[#This Row],[Date]],"yyyy-mm") &amp; TRIM(tbl_Ledger[[#This Row],[Currency]])</f>
        <v>2025-09NGN</v>
      </c>
      <c r="P1079" s="25">
        <f>_xlfn.XLOOKUP(tbl_Ledger[[#This Row],[Key]], tbl_FX[Key], tbl_FX[Rate_to_NGN])</f>
        <v>1</v>
      </c>
      <c r="Q1079" s="37">
        <f>IF(tbl_Ledger[[#This Row],[Account_Type]]="Expense",-ABS(tbl_Ledger[[#This Row],[Amount]]*tbl_Ledger[[#This Row],[Rate_to_NGN]]),tbl_Ledger[[#This Row],[Amount]]*tbl_Ledger[[#This Row],[Rate_to_NGN]])</f>
        <v>47600</v>
      </c>
      <c r="R1079" s="25" t="str">
        <f>_xlfn.XLOOKUP(tbl_Ledger[[#This Row],[Account_Code]], tbl_Accounts[Account_Code], tbl_Accounts[Type])</f>
        <v>Revenue</v>
      </c>
      <c r="S1079" s="25" t="str">
        <f>_xlfn.XLOOKUP(tbl_Ledger[[#This Row],[Account_Code]], tbl_Accounts[Account_Code], tbl_Accounts[PL_Bucket])</f>
        <v>Revenue</v>
      </c>
      <c r="T1079" s="25">
        <f t="shared" si="16"/>
        <v>47600</v>
      </c>
    </row>
    <row r="1080" spans="1:20">
      <c r="A1080" t="s">
        <v>2887</v>
      </c>
      <c r="B1080" s="7">
        <v>45908</v>
      </c>
      <c r="C1080" t="s">
        <v>93</v>
      </c>
      <c r="D1080" t="s">
        <v>111</v>
      </c>
      <c r="E1080" t="s">
        <v>122</v>
      </c>
      <c r="F1080" s="12" t="s">
        <v>24</v>
      </c>
      <c r="G1080" t="s">
        <v>25</v>
      </c>
      <c r="H1080" t="s">
        <v>2888</v>
      </c>
      <c r="I1080" t="s">
        <v>71</v>
      </c>
      <c r="J1080" s="6">
        <v>52700</v>
      </c>
      <c r="K1080" t="s">
        <v>3</v>
      </c>
      <c r="L1080" t="s">
        <v>2889</v>
      </c>
      <c r="M1080" t="s">
        <v>3</v>
      </c>
      <c r="N1080" s="25" t="str">
        <f>TEXT(tbl_Ledger[[#This Row],[Date]],"yyyy-mm")</f>
        <v>2025-09</v>
      </c>
      <c r="O1080" s="25" t="str">
        <f>TEXT(tbl_Ledger[[#This Row],[Date]],"yyyy-mm") &amp; TRIM(tbl_Ledger[[#This Row],[Currency]])</f>
        <v>2025-09NGN</v>
      </c>
      <c r="P1080" s="25">
        <f>_xlfn.XLOOKUP(tbl_Ledger[[#This Row],[Key]], tbl_FX[Key], tbl_FX[Rate_to_NGN])</f>
        <v>1</v>
      </c>
      <c r="Q1080" s="37">
        <f>IF(tbl_Ledger[[#This Row],[Account_Type]]="Expense",-ABS(tbl_Ledger[[#This Row],[Amount]]*tbl_Ledger[[#This Row],[Rate_to_NGN]]),tbl_Ledger[[#This Row],[Amount]]*tbl_Ledger[[#This Row],[Rate_to_NGN]])</f>
        <v>52700</v>
      </c>
      <c r="R1080" s="25" t="str">
        <f>_xlfn.XLOOKUP(tbl_Ledger[[#This Row],[Account_Code]], tbl_Accounts[Account_Code], tbl_Accounts[Type])</f>
        <v>Revenue</v>
      </c>
      <c r="S1080" s="25" t="str">
        <f>_xlfn.XLOOKUP(tbl_Ledger[[#This Row],[Account_Code]], tbl_Accounts[Account_Code], tbl_Accounts[PL_Bucket])</f>
        <v>Revenue</v>
      </c>
      <c r="T1080" s="25">
        <f t="shared" si="16"/>
        <v>52700</v>
      </c>
    </row>
    <row r="1081" spans="1:20">
      <c r="A1081" t="s">
        <v>2890</v>
      </c>
      <c r="B1081" s="7">
        <v>45908</v>
      </c>
      <c r="C1081" t="s">
        <v>126</v>
      </c>
      <c r="D1081" t="s">
        <v>88</v>
      </c>
      <c r="E1081" t="s">
        <v>127</v>
      </c>
      <c r="F1081" s="12" t="s">
        <v>29</v>
      </c>
      <c r="G1081" t="s">
        <v>30</v>
      </c>
      <c r="H1081" t="s">
        <v>2891</v>
      </c>
      <c r="I1081" t="s">
        <v>71</v>
      </c>
      <c r="J1081" s="6">
        <v>47700</v>
      </c>
      <c r="K1081" t="s">
        <v>129</v>
      </c>
      <c r="L1081" t="s">
        <v>2892</v>
      </c>
      <c r="M1081" t="s">
        <v>3</v>
      </c>
      <c r="N1081" s="25" t="str">
        <f>TEXT(tbl_Ledger[[#This Row],[Date]],"yyyy-mm")</f>
        <v>2025-09</v>
      </c>
      <c r="O1081" s="25" t="str">
        <f>TEXT(tbl_Ledger[[#This Row],[Date]],"yyyy-mm") &amp; TRIM(tbl_Ledger[[#This Row],[Currency]])</f>
        <v>2025-09NGN</v>
      </c>
      <c r="P1081" s="25">
        <f>_xlfn.XLOOKUP(tbl_Ledger[[#This Row],[Key]], tbl_FX[Key], tbl_FX[Rate_to_NGN])</f>
        <v>1</v>
      </c>
      <c r="Q1081" s="37">
        <f>IF(tbl_Ledger[[#This Row],[Account_Type]]="Expense",-ABS(tbl_Ledger[[#This Row],[Amount]]*tbl_Ledger[[#This Row],[Rate_to_NGN]]),tbl_Ledger[[#This Row],[Amount]]*tbl_Ledger[[#This Row],[Rate_to_NGN]])</f>
        <v>47700</v>
      </c>
      <c r="R1081" s="25" t="str">
        <f>_xlfn.XLOOKUP(tbl_Ledger[[#This Row],[Account_Code]], tbl_Accounts[Account_Code], tbl_Accounts[Type])</f>
        <v>Revenue</v>
      </c>
      <c r="S1081" s="25" t="str">
        <f>_xlfn.XLOOKUP(tbl_Ledger[[#This Row],[Account_Code]], tbl_Accounts[Account_Code], tbl_Accounts[PL_Bucket])</f>
        <v>Revenue</v>
      </c>
      <c r="T1081" s="25">
        <f t="shared" si="16"/>
        <v>47700</v>
      </c>
    </row>
    <row r="1082" spans="1:20">
      <c r="A1082" t="s">
        <v>2893</v>
      </c>
      <c r="B1082" s="7">
        <v>45908</v>
      </c>
      <c r="C1082" t="s">
        <v>126</v>
      </c>
      <c r="D1082" t="s">
        <v>88</v>
      </c>
      <c r="E1082" t="s">
        <v>132</v>
      </c>
      <c r="F1082" s="12" t="s">
        <v>29</v>
      </c>
      <c r="G1082" t="s">
        <v>30</v>
      </c>
      <c r="H1082" t="s">
        <v>2894</v>
      </c>
      <c r="I1082" t="s">
        <v>71</v>
      </c>
      <c r="J1082" s="6">
        <v>47700</v>
      </c>
      <c r="K1082" t="s">
        <v>134</v>
      </c>
      <c r="L1082" t="s">
        <v>2892</v>
      </c>
      <c r="M1082" t="s">
        <v>3</v>
      </c>
      <c r="N1082" s="25" t="str">
        <f>TEXT(tbl_Ledger[[#This Row],[Date]],"yyyy-mm")</f>
        <v>2025-09</v>
      </c>
      <c r="O1082" s="25" t="str">
        <f>TEXT(tbl_Ledger[[#This Row],[Date]],"yyyy-mm") &amp; TRIM(tbl_Ledger[[#This Row],[Currency]])</f>
        <v>2025-09NGN</v>
      </c>
      <c r="P1082" s="25">
        <f>_xlfn.XLOOKUP(tbl_Ledger[[#This Row],[Key]], tbl_FX[Key], tbl_FX[Rate_to_NGN])</f>
        <v>1</v>
      </c>
      <c r="Q1082" s="37">
        <f>IF(tbl_Ledger[[#This Row],[Account_Type]]="Expense",-ABS(tbl_Ledger[[#This Row],[Amount]]*tbl_Ledger[[#This Row],[Rate_to_NGN]]),tbl_Ledger[[#This Row],[Amount]]*tbl_Ledger[[#This Row],[Rate_to_NGN]])</f>
        <v>47700</v>
      </c>
      <c r="R1082" s="25" t="str">
        <f>_xlfn.XLOOKUP(tbl_Ledger[[#This Row],[Account_Code]], tbl_Accounts[Account_Code], tbl_Accounts[Type])</f>
        <v>Revenue</v>
      </c>
      <c r="S1082" s="25" t="str">
        <f>_xlfn.XLOOKUP(tbl_Ledger[[#This Row],[Account_Code]], tbl_Accounts[Account_Code], tbl_Accounts[PL_Bucket])</f>
        <v>Revenue</v>
      </c>
      <c r="T1082" s="25">
        <f t="shared" si="16"/>
        <v>47700</v>
      </c>
    </row>
    <row r="1083" spans="1:20">
      <c r="A1083" t="s">
        <v>2895</v>
      </c>
      <c r="B1083" s="7">
        <v>45908</v>
      </c>
      <c r="C1083" t="s">
        <v>126</v>
      </c>
      <c r="D1083" t="s">
        <v>88</v>
      </c>
      <c r="E1083" t="s">
        <v>136</v>
      </c>
      <c r="F1083" s="12" t="s">
        <v>29</v>
      </c>
      <c r="G1083" t="s">
        <v>30</v>
      </c>
      <c r="H1083" t="s">
        <v>2896</v>
      </c>
      <c r="I1083" t="s">
        <v>71</v>
      </c>
      <c r="J1083" s="6">
        <v>50200</v>
      </c>
      <c r="K1083" t="s">
        <v>138</v>
      </c>
      <c r="L1083" t="s">
        <v>2892</v>
      </c>
      <c r="M1083" t="s">
        <v>3</v>
      </c>
      <c r="N1083" s="25" t="str">
        <f>TEXT(tbl_Ledger[[#This Row],[Date]],"yyyy-mm")</f>
        <v>2025-09</v>
      </c>
      <c r="O1083" s="25" t="str">
        <f>TEXT(tbl_Ledger[[#This Row],[Date]],"yyyy-mm") &amp; TRIM(tbl_Ledger[[#This Row],[Currency]])</f>
        <v>2025-09NGN</v>
      </c>
      <c r="P1083" s="25">
        <f>_xlfn.XLOOKUP(tbl_Ledger[[#This Row],[Key]], tbl_FX[Key], tbl_FX[Rate_to_NGN])</f>
        <v>1</v>
      </c>
      <c r="Q1083" s="37">
        <f>IF(tbl_Ledger[[#This Row],[Account_Type]]="Expense",-ABS(tbl_Ledger[[#This Row],[Amount]]*tbl_Ledger[[#This Row],[Rate_to_NGN]]),tbl_Ledger[[#This Row],[Amount]]*tbl_Ledger[[#This Row],[Rate_to_NGN]])</f>
        <v>50200</v>
      </c>
      <c r="R1083" s="25" t="str">
        <f>_xlfn.XLOOKUP(tbl_Ledger[[#This Row],[Account_Code]], tbl_Accounts[Account_Code], tbl_Accounts[Type])</f>
        <v>Revenue</v>
      </c>
      <c r="S1083" s="25" t="str">
        <f>_xlfn.XLOOKUP(tbl_Ledger[[#This Row],[Account_Code]], tbl_Accounts[Account_Code], tbl_Accounts[PL_Bucket])</f>
        <v>Revenue</v>
      </c>
      <c r="T1083" s="25">
        <f t="shared" si="16"/>
        <v>50200</v>
      </c>
    </row>
    <row r="1084" spans="1:20">
      <c r="A1084" t="s">
        <v>2897</v>
      </c>
      <c r="B1084" s="7">
        <v>45908</v>
      </c>
      <c r="C1084" t="s">
        <v>126</v>
      </c>
      <c r="D1084" t="s">
        <v>88</v>
      </c>
      <c r="E1084" t="s">
        <v>140</v>
      </c>
      <c r="F1084" s="12" t="s">
        <v>29</v>
      </c>
      <c r="G1084" t="s">
        <v>30</v>
      </c>
      <c r="H1084" t="s">
        <v>2898</v>
      </c>
      <c r="I1084" t="s">
        <v>71</v>
      </c>
      <c r="J1084" s="6">
        <v>54700</v>
      </c>
      <c r="K1084" t="s">
        <v>3</v>
      </c>
      <c r="L1084" t="s">
        <v>2899</v>
      </c>
      <c r="M1084" t="s">
        <v>3</v>
      </c>
      <c r="N1084" s="25" t="str">
        <f>TEXT(tbl_Ledger[[#This Row],[Date]],"yyyy-mm")</f>
        <v>2025-09</v>
      </c>
      <c r="O1084" s="25" t="str">
        <f>TEXT(tbl_Ledger[[#This Row],[Date]],"yyyy-mm") &amp; TRIM(tbl_Ledger[[#This Row],[Currency]])</f>
        <v>2025-09NGN</v>
      </c>
      <c r="P1084" s="25">
        <f>_xlfn.XLOOKUP(tbl_Ledger[[#This Row],[Key]], tbl_FX[Key], tbl_FX[Rate_to_NGN])</f>
        <v>1</v>
      </c>
      <c r="Q1084" s="37">
        <f>IF(tbl_Ledger[[#This Row],[Account_Type]]="Expense",-ABS(tbl_Ledger[[#This Row],[Amount]]*tbl_Ledger[[#This Row],[Rate_to_NGN]]),tbl_Ledger[[#This Row],[Amount]]*tbl_Ledger[[#This Row],[Rate_to_NGN]])</f>
        <v>54700</v>
      </c>
      <c r="R1084" s="25" t="str">
        <f>_xlfn.XLOOKUP(tbl_Ledger[[#This Row],[Account_Code]], tbl_Accounts[Account_Code], tbl_Accounts[Type])</f>
        <v>Revenue</v>
      </c>
      <c r="S1084" s="25" t="str">
        <f>_xlfn.XLOOKUP(tbl_Ledger[[#This Row],[Account_Code]], tbl_Accounts[Account_Code], tbl_Accounts[PL_Bucket])</f>
        <v>Revenue</v>
      </c>
      <c r="T1084" s="25">
        <f t="shared" si="16"/>
        <v>54700</v>
      </c>
    </row>
    <row r="1085" spans="1:20">
      <c r="A1085" t="s">
        <v>2900</v>
      </c>
      <c r="B1085" s="7">
        <v>45908</v>
      </c>
      <c r="C1085" t="s">
        <v>93</v>
      </c>
      <c r="D1085" t="s">
        <v>111</v>
      </c>
      <c r="E1085" t="s">
        <v>112</v>
      </c>
      <c r="F1085" s="12" t="s">
        <v>31</v>
      </c>
      <c r="G1085" t="s">
        <v>32</v>
      </c>
      <c r="H1085" t="s">
        <v>2901</v>
      </c>
      <c r="I1085" t="s">
        <v>71</v>
      </c>
      <c r="J1085" s="6">
        <v>-34929</v>
      </c>
      <c r="K1085" t="s">
        <v>3</v>
      </c>
      <c r="L1085" t="s">
        <v>2902</v>
      </c>
      <c r="M1085" t="s">
        <v>3</v>
      </c>
      <c r="N1085" s="25" t="str">
        <f>TEXT(tbl_Ledger[[#This Row],[Date]],"yyyy-mm")</f>
        <v>2025-09</v>
      </c>
      <c r="O1085" s="25" t="str">
        <f>TEXT(tbl_Ledger[[#This Row],[Date]],"yyyy-mm") &amp; TRIM(tbl_Ledger[[#This Row],[Currency]])</f>
        <v>2025-09NGN</v>
      </c>
      <c r="P1085" s="25">
        <f>_xlfn.XLOOKUP(tbl_Ledger[[#This Row],[Key]], tbl_FX[Key], tbl_FX[Rate_to_NGN])</f>
        <v>1</v>
      </c>
      <c r="Q1085" s="37">
        <f>IF(tbl_Ledger[[#This Row],[Account_Type]]="Expense",-ABS(tbl_Ledger[[#This Row],[Amount]]*tbl_Ledger[[#This Row],[Rate_to_NGN]]),tbl_Ledger[[#This Row],[Amount]]*tbl_Ledger[[#This Row],[Rate_to_NGN]])</f>
        <v>-34929</v>
      </c>
      <c r="R1085" s="25" t="str">
        <f>_xlfn.XLOOKUP(tbl_Ledger[[#This Row],[Account_Code]], tbl_Accounts[Account_Code], tbl_Accounts[Type])</f>
        <v>Revenue</v>
      </c>
      <c r="S1085" s="25" t="str">
        <f>_xlfn.XLOOKUP(tbl_Ledger[[#This Row],[Account_Code]], tbl_Accounts[Account_Code], tbl_Accounts[PL_Bucket])</f>
        <v>Revenue</v>
      </c>
      <c r="T1085" s="25">
        <f t="shared" si="16"/>
        <v>34929</v>
      </c>
    </row>
    <row r="1086" spans="1:20">
      <c r="A1086" t="s">
        <v>2903</v>
      </c>
      <c r="B1086" s="7">
        <v>45909</v>
      </c>
      <c r="C1086" t="s">
        <v>93</v>
      </c>
      <c r="D1086" t="s">
        <v>94</v>
      </c>
      <c r="E1086" t="s">
        <v>95</v>
      </c>
      <c r="F1086" s="12" t="s">
        <v>24</v>
      </c>
      <c r="G1086" t="s">
        <v>25</v>
      </c>
      <c r="H1086" t="s">
        <v>2904</v>
      </c>
      <c r="I1086" t="s">
        <v>71</v>
      </c>
      <c r="J1086" s="6">
        <v>33100</v>
      </c>
      <c r="K1086" t="s">
        <v>3</v>
      </c>
      <c r="L1086" t="s">
        <v>2905</v>
      </c>
      <c r="M1086" t="s">
        <v>3</v>
      </c>
      <c r="N1086" s="25" t="str">
        <f>TEXT(tbl_Ledger[[#This Row],[Date]],"yyyy-mm")</f>
        <v>2025-09</v>
      </c>
      <c r="O1086" s="25" t="str">
        <f>TEXT(tbl_Ledger[[#This Row],[Date]],"yyyy-mm") &amp; TRIM(tbl_Ledger[[#This Row],[Currency]])</f>
        <v>2025-09NGN</v>
      </c>
      <c r="P1086" s="25">
        <f>_xlfn.XLOOKUP(tbl_Ledger[[#This Row],[Key]], tbl_FX[Key], tbl_FX[Rate_to_NGN])</f>
        <v>1</v>
      </c>
      <c r="Q1086" s="37">
        <f>IF(tbl_Ledger[[#This Row],[Account_Type]]="Expense",-ABS(tbl_Ledger[[#This Row],[Amount]]*tbl_Ledger[[#This Row],[Rate_to_NGN]]),tbl_Ledger[[#This Row],[Amount]]*tbl_Ledger[[#This Row],[Rate_to_NGN]])</f>
        <v>33100</v>
      </c>
      <c r="R1086" s="25" t="str">
        <f>_xlfn.XLOOKUP(tbl_Ledger[[#This Row],[Account_Code]], tbl_Accounts[Account_Code], tbl_Accounts[Type])</f>
        <v>Revenue</v>
      </c>
      <c r="S1086" s="25" t="str">
        <f>_xlfn.XLOOKUP(tbl_Ledger[[#This Row],[Account_Code]], tbl_Accounts[Account_Code], tbl_Accounts[PL_Bucket])</f>
        <v>Revenue</v>
      </c>
      <c r="T1086" s="25">
        <f t="shared" si="16"/>
        <v>33100</v>
      </c>
    </row>
    <row r="1087" spans="1:20">
      <c r="A1087" t="s">
        <v>2906</v>
      </c>
      <c r="B1087" s="7">
        <v>45909</v>
      </c>
      <c r="C1087" t="s">
        <v>93</v>
      </c>
      <c r="D1087" t="s">
        <v>94</v>
      </c>
      <c r="E1087" t="s">
        <v>99</v>
      </c>
      <c r="F1087" s="12" t="s">
        <v>24</v>
      </c>
      <c r="G1087" t="s">
        <v>25</v>
      </c>
      <c r="H1087" t="s">
        <v>2907</v>
      </c>
      <c r="I1087" t="s">
        <v>71</v>
      </c>
      <c r="J1087" s="6">
        <v>33600</v>
      </c>
      <c r="K1087" t="s">
        <v>3</v>
      </c>
      <c r="L1087" t="s">
        <v>2908</v>
      </c>
      <c r="M1087" t="s">
        <v>3</v>
      </c>
      <c r="N1087" s="25" t="str">
        <f>TEXT(tbl_Ledger[[#This Row],[Date]],"yyyy-mm")</f>
        <v>2025-09</v>
      </c>
      <c r="O1087" s="25" t="str">
        <f>TEXT(tbl_Ledger[[#This Row],[Date]],"yyyy-mm") &amp; TRIM(tbl_Ledger[[#This Row],[Currency]])</f>
        <v>2025-09NGN</v>
      </c>
      <c r="P1087" s="25">
        <f>_xlfn.XLOOKUP(tbl_Ledger[[#This Row],[Key]], tbl_FX[Key], tbl_FX[Rate_to_NGN])</f>
        <v>1</v>
      </c>
      <c r="Q1087" s="37">
        <f>IF(tbl_Ledger[[#This Row],[Account_Type]]="Expense",-ABS(tbl_Ledger[[#This Row],[Amount]]*tbl_Ledger[[#This Row],[Rate_to_NGN]]),tbl_Ledger[[#This Row],[Amount]]*tbl_Ledger[[#This Row],[Rate_to_NGN]])</f>
        <v>33600</v>
      </c>
      <c r="R1087" s="25" t="str">
        <f>_xlfn.XLOOKUP(tbl_Ledger[[#This Row],[Account_Code]], tbl_Accounts[Account_Code], tbl_Accounts[Type])</f>
        <v>Revenue</v>
      </c>
      <c r="S1087" s="25" t="str">
        <f>_xlfn.XLOOKUP(tbl_Ledger[[#This Row],[Account_Code]], tbl_Accounts[Account_Code], tbl_Accounts[PL_Bucket])</f>
        <v>Revenue</v>
      </c>
      <c r="T1087" s="25">
        <f t="shared" si="16"/>
        <v>33600</v>
      </c>
    </row>
    <row r="1088" spans="1:20">
      <c r="A1088" t="s">
        <v>2909</v>
      </c>
      <c r="B1088" s="7">
        <v>45909</v>
      </c>
      <c r="C1088" t="s">
        <v>93</v>
      </c>
      <c r="D1088" t="s">
        <v>94</v>
      </c>
      <c r="E1088" t="s">
        <v>103</v>
      </c>
      <c r="F1088" s="12" t="s">
        <v>24</v>
      </c>
      <c r="G1088" t="s">
        <v>25</v>
      </c>
      <c r="H1088" t="s">
        <v>2910</v>
      </c>
      <c r="I1088" t="s">
        <v>71</v>
      </c>
      <c r="J1088" s="6">
        <v>32000</v>
      </c>
      <c r="K1088" t="s">
        <v>3</v>
      </c>
      <c r="L1088" t="s">
        <v>2911</v>
      </c>
      <c r="M1088" t="s">
        <v>3</v>
      </c>
      <c r="N1088" s="25" t="str">
        <f>TEXT(tbl_Ledger[[#This Row],[Date]],"yyyy-mm")</f>
        <v>2025-09</v>
      </c>
      <c r="O1088" s="25" t="str">
        <f>TEXT(tbl_Ledger[[#This Row],[Date]],"yyyy-mm") &amp; TRIM(tbl_Ledger[[#This Row],[Currency]])</f>
        <v>2025-09NGN</v>
      </c>
      <c r="P1088" s="25">
        <f>_xlfn.XLOOKUP(tbl_Ledger[[#This Row],[Key]], tbl_FX[Key], tbl_FX[Rate_to_NGN])</f>
        <v>1</v>
      </c>
      <c r="Q1088" s="37">
        <f>IF(tbl_Ledger[[#This Row],[Account_Type]]="Expense",-ABS(tbl_Ledger[[#This Row],[Amount]]*tbl_Ledger[[#This Row],[Rate_to_NGN]]),tbl_Ledger[[#This Row],[Amount]]*tbl_Ledger[[#This Row],[Rate_to_NGN]])</f>
        <v>32000</v>
      </c>
      <c r="R1088" s="25" t="str">
        <f>_xlfn.XLOOKUP(tbl_Ledger[[#This Row],[Account_Code]], tbl_Accounts[Account_Code], tbl_Accounts[Type])</f>
        <v>Revenue</v>
      </c>
      <c r="S1088" s="25" t="str">
        <f>_xlfn.XLOOKUP(tbl_Ledger[[#This Row],[Account_Code]], tbl_Accounts[Account_Code], tbl_Accounts[PL_Bucket])</f>
        <v>Revenue</v>
      </c>
      <c r="T1088" s="25">
        <f t="shared" si="16"/>
        <v>32000</v>
      </c>
    </row>
    <row r="1089" spans="1:20">
      <c r="A1089" t="s">
        <v>2912</v>
      </c>
      <c r="B1089" s="7">
        <v>45909</v>
      </c>
      <c r="C1089" t="s">
        <v>93</v>
      </c>
      <c r="D1089" t="s">
        <v>94</v>
      </c>
      <c r="E1089" t="s">
        <v>160</v>
      </c>
      <c r="F1089" s="12" t="s">
        <v>24</v>
      </c>
      <c r="G1089" t="s">
        <v>25</v>
      </c>
      <c r="H1089" t="s">
        <v>2913</v>
      </c>
      <c r="I1089" t="s">
        <v>71</v>
      </c>
      <c r="J1089" s="6">
        <v>31900</v>
      </c>
      <c r="K1089" t="s">
        <v>3</v>
      </c>
      <c r="L1089" t="s">
        <v>2911</v>
      </c>
      <c r="M1089" t="s">
        <v>3</v>
      </c>
      <c r="N1089" s="25" t="str">
        <f>TEXT(tbl_Ledger[[#This Row],[Date]],"yyyy-mm")</f>
        <v>2025-09</v>
      </c>
      <c r="O1089" s="25" t="str">
        <f>TEXT(tbl_Ledger[[#This Row],[Date]],"yyyy-mm") &amp; TRIM(tbl_Ledger[[#This Row],[Currency]])</f>
        <v>2025-09NGN</v>
      </c>
      <c r="P1089" s="25">
        <f>_xlfn.XLOOKUP(tbl_Ledger[[#This Row],[Key]], tbl_FX[Key], tbl_FX[Rate_to_NGN])</f>
        <v>1</v>
      </c>
      <c r="Q1089" s="37">
        <f>IF(tbl_Ledger[[#This Row],[Account_Type]]="Expense",-ABS(tbl_Ledger[[#This Row],[Amount]]*tbl_Ledger[[#This Row],[Rate_to_NGN]]),tbl_Ledger[[#This Row],[Amount]]*tbl_Ledger[[#This Row],[Rate_to_NGN]])</f>
        <v>31900</v>
      </c>
      <c r="R1089" s="25" t="str">
        <f>_xlfn.XLOOKUP(tbl_Ledger[[#This Row],[Account_Code]], tbl_Accounts[Account_Code], tbl_Accounts[Type])</f>
        <v>Revenue</v>
      </c>
      <c r="S1089" s="25" t="str">
        <f>_xlfn.XLOOKUP(tbl_Ledger[[#This Row],[Account_Code]], tbl_Accounts[Account_Code], tbl_Accounts[PL_Bucket])</f>
        <v>Revenue</v>
      </c>
      <c r="T1089" s="25">
        <f t="shared" si="16"/>
        <v>31900</v>
      </c>
    </row>
    <row r="1090" spans="1:20">
      <c r="A1090" t="s">
        <v>2914</v>
      </c>
      <c r="B1090" s="7">
        <v>45909</v>
      </c>
      <c r="C1090" t="s">
        <v>93</v>
      </c>
      <c r="D1090" t="s">
        <v>94</v>
      </c>
      <c r="E1090" t="s">
        <v>107</v>
      </c>
      <c r="F1090" s="12" t="s">
        <v>24</v>
      </c>
      <c r="G1090" t="s">
        <v>25</v>
      </c>
      <c r="H1090" t="s">
        <v>2915</v>
      </c>
      <c r="I1090" t="s">
        <v>71</v>
      </c>
      <c r="J1090" s="6">
        <v>29200</v>
      </c>
      <c r="K1090" t="s">
        <v>3</v>
      </c>
      <c r="L1090" t="s">
        <v>2916</v>
      </c>
      <c r="M1090" t="s">
        <v>3</v>
      </c>
      <c r="N1090" s="25" t="str">
        <f>TEXT(tbl_Ledger[[#This Row],[Date]],"yyyy-mm")</f>
        <v>2025-09</v>
      </c>
      <c r="O1090" s="25" t="str">
        <f>TEXT(tbl_Ledger[[#This Row],[Date]],"yyyy-mm") &amp; TRIM(tbl_Ledger[[#This Row],[Currency]])</f>
        <v>2025-09NGN</v>
      </c>
      <c r="P1090" s="25">
        <f>_xlfn.XLOOKUP(tbl_Ledger[[#This Row],[Key]], tbl_FX[Key], tbl_FX[Rate_to_NGN])</f>
        <v>1</v>
      </c>
      <c r="Q1090" s="37">
        <f>IF(tbl_Ledger[[#This Row],[Account_Type]]="Expense",-ABS(tbl_Ledger[[#This Row],[Amount]]*tbl_Ledger[[#This Row],[Rate_to_NGN]]),tbl_Ledger[[#This Row],[Amount]]*tbl_Ledger[[#This Row],[Rate_to_NGN]])</f>
        <v>29200</v>
      </c>
      <c r="R1090" s="25" t="str">
        <f>_xlfn.XLOOKUP(tbl_Ledger[[#This Row],[Account_Code]], tbl_Accounts[Account_Code], tbl_Accounts[Type])</f>
        <v>Revenue</v>
      </c>
      <c r="S1090" s="25" t="str">
        <f>_xlfn.XLOOKUP(tbl_Ledger[[#This Row],[Account_Code]], tbl_Accounts[Account_Code], tbl_Accounts[PL_Bucket])</f>
        <v>Revenue</v>
      </c>
      <c r="T1090" s="25">
        <f t="shared" ref="T1090:T1153" si="17">IF(AND(S1090="Revenue",F1090&lt;&gt;4900),ABS(Q1090),-ABS(Q1090))</f>
        <v>29200</v>
      </c>
    </row>
    <row r="1091" spans="1:20">
      <c r="A1091" t="s">
        <v>2917</v>
      </c>
      <c r="B1091" s="7">
        <v>45909</v>
      </c>
      <c r="C1091" t="s">
        <v>93</v>
      </c>
      <c r="D1091" t="s">
        <v>111</v>
      </c>
      <c r="E1091" t="s">
        <v>112</v>
      </c>
      <c r="F1091" s="12" t="s">
        <v>24</v>
      </c>
      <c r="G1091" t="s">
        <v>25</v>
      </c>
      <c r="H1091" t="s">
        <v>2918</v>
      </c>
      <c r="I1091" t="s">
        <v>71</v>
      </c>
      <c r="J1091" s="6">
        <v>47900</v>
      </c>
      <c r="K1091" t="s">
        <v>3</v>
      </c>
      <c r="L1091" t="s">
        <v>2919</v>
      </c>
      <c r="M1091" t="s">
        <v>3</v>
      </c>
      <c r="N1091" s="25" t="str">
        <f>TEXT(tbl_Ledger[[#This Row],[Date]],"yyyy-mm")</f>
        <v>2025-09</v>
      </c>
      <c r="O1091" s="25" t="str">
        <f>TEXT(tbl_Ledger[[#This Row],[Date]],"yyyy-mm") &amp; TRIM(tbl_Ledger[[#This Row],[Currency]])</f>
        <v>2025-09NGN</v>
      </c>
      <c r="P1091" s="25">
        <f>_xlfn.XLOOKUP(tbl_Ledger[[#This Row],[Key]], tbl_FX[Key], tbl_FX[Rate_to_NGN])</f>
        <v>1</v>
      </c>
      <c r="Q1091" s="37">
        <f>IF(tbl_Ledger[[#This Row],[Account_Type]]="Expense",-ABS(tbl_Ledger[[#This Row],[Amount]]*tbl_Ledger[[#This Row],[Rate_to_NGN]]),tbl_Ledger[[#This Row],[Amount]]*tbl_Ledger[[#This Row],[Rate_to_NGN]])</f>
        <v>47900</v>
      </c>
      <c r="R1091" s="25" t="str">
        <f>_xlfn.XLOOKUP(tbl_Ledger[[#This Row],[Account_Code]], tbl_Accounts[Account_Code], tbl_Accounts[Type])</f>
        <v>Revenue</v>
      </c>
      <c r="S1091" s="25" t="str">
        <f>_xlfn.XLOOKUP(tbl_Ledger[[#This Row],[Account_Code]], tbl_Accounts[Account_Code], tbl_Accounts[PL_Bucket])</f>
        <v>Revenue</v>
      </c>
      <c r="T1091" s="25">
        <f t="shared" si="17"/>
        <v>47900</v>
      </c>
    </row>
    <row r="1092" spans="1:20">
      <c r="A1092" t="s">
        <v>2920</v>
      </c>
      <c r="B1092" s="7">
        <v>45909</v>
      </c>
      <c r="C1092" t="s">
        <v>93</v>
      </c>
      <c r="D1092" t="s">
        <v>111</v>
      </c>
      <c r="E1092" t="s">
        <v>116</v>
      </c>
      <c r="F1092" s="12" t="s">
        <v>24</v>
      </c>
      <c r="G1092" t="s">
        <v>25</v>
      </c>
      <c r="H1092" t="s">
        <v>2921</v>
      </c>
      <c r="I1092" t="s">
        <v>71</v>
      </c>
      <c r="J1092" s="6">
        <v>47700</v>
      </c>
      <c r="K1092" t="s">
        <v>3</v>
      </c>
      <c r="L1092" t="s">
        <v>2919</v>
      </c>
      <c r="M1092" t="s">
        <v>3</v>
      </c>
      <c r="N1092" s="25" t="str">
        <f>TEXT(tbl_Ledger[[#This Row],[Date]],"yyyy-mm")</f>
        <v>2025-09</v>
      </c>
      <c r="O1092" s="25" t="str">
        <f>TEXT(tbl_Ledger[[#This Row],[Date]],"yyyy-mm") &amp; TRIM(tbl_Ledger[[#This Row],[Currency]])</f>
        <v>2025-09NGN</v>
      </c>
      <c r="P1092" s="25">
        <f>_xlfn.XLOOKUP(tbl_Ledger[[#This Row],[Key]], tbl_FX[Key], tbl_FX[Rate_to_NGN])</f>
        <v>1</v>
      </c>
      <c r="Q1092" s="37">
        <f>IF(tbl_Ledger[[#This Row],[Account_Type]]="Expense",-ABS(tbl_Ledger[[#This Row],[Amount]]*tbl_Ledger[[#This Row],[Rate_to_NGN]]),tbl_Ledger[[#This Row],[Amount]]*tbl_Ledger[[#This Row],[Rate_to_NGN]])</f>
        <v>47700</v>
      </c>
      <c r="R1092" s="25" t="str">
        <f>_xlfn.XLOOKUP(tbl_Ledger[[#This Row],[Account_Code]], tbl_Accounts[Account_Code], tbl_Accounts[Type])</f>
        <v>Revenue</v>
      </c>
      <c r="S1092" s="25" t="str">
        <f>_xlfn.XLOOKUP(tbl_Ledger[[#This Row],[Account_Code]], tbl_Accounts[Account_Code], tbl_Accounts[PL_Bucket])</f>
        <v>Revenue</v>
      </c>
      <c r="T1092" s="25">
        <f t="shared" si="17"/>
        <v>47700</v>
      </c>
    </row>
    <row r="1093" spans="1:20">
      <c r="A1093" t="s">
        <v>2922</v>
      </c>
      <c r="B1093" s="7">
        <v>45909</v>
      </c>
      <c r="C1093" t="s">
        <v>93</v>
      </c>
      <c r="D1093" t="s">
        <v>111</v>
      </c>
      <c r="E1093" t="s">
        <v>119</v>
      </c>
      <c r="F1093" s="12" t="s">
        <v>24</v>
      </c>
      <c r="G1093" t="s">
        <v>25</v>
      </c>
      <c r="H1093" t="s">
        <v>2923</v>
      </c>
      <c r="I1093" t="s">
        <v>71</v>
      </c>
      <c r="J1093" s="6">
        <v>47800</v>
      </c>
      <c r="K1093" t="s">
        <v>3</v>
      </c>
      <c r="L1093" t="s">
        <v>2919</v>
      </c>
      <c r="M1093" t="s">
        <v>3</v>
      </c>
      <c r="N1093" s="25" t="str">
        <f>TEXT(tbl_Ledger[[#This Row],[Date]],"yyyy-mm")</f>
        <v>2025-09</v>
      </c>
      <c r="O1093" s="25" t="str">
        <f>TEXT(tbl_Ledger[[#This Row],[Date]],"yyyy-mm") &amp; TRIM(tbl_Ledger[[#This Row],[Currency]])</f>
        <v>2025-09NGN</v>
      </c>
      <c r="P1093" s="25">
        <f>_xlfn.XLOOKUP(tbl_Ledger[[#This Row],[Key]], tbl_FX[Key], tbl_FX[Rate_to_NGN])</f>
        <v>1</v>
      </c>
      <c r="Q1093" s="37">
        <f>IF(tbl_Ledger[[#This Row],[Account_Type]]="Expense",-ABS(tbl_Ledger[[#This Row],[Amount]]*tbl_Ledger[[#This Row],[Rate_to_NGN]]),tbl_Ledger[[#This Row],[Amount]]*tbl_Ledger[[#This Row],[Rate_to_NGN]])</f>
        <v>47800</v>
      </c>
      <c r="R1093" s="25" t="str">
        <f>_xlfn.XLOOKUP(tbl_Ledger[[#This Row],[Account_Code]], tbl_Accounts[Account_Code], tbl_Accounts[Type])</f>
        <v>Revenue</v>
      </c>
      <c r="S1093" s="25" t="str">
        <f>_xlfn.XLOOKUP(tbl_Ledger[[#This Row],[Account_Code]], tbl_Accounts[Account_Code], tbl_Accounts[PL_Bucket])</f>
        <v>Revenue</v>
      </c>
      <c r="T1093" s="25">
        <f t="shared" si="17"/>
        <v>47800</v>
      </c>
    </row>
    <row r="1094" spans="1:20">
      <c r="A1094" t="s">
        <v>2924</v>
      </c>
      <c r="B1094" s="7">
        <v>45909</v>
      </c>
      <c r="C1094" t="s">
        <v>93</v>
      </c>
      <c r="D1094" t="s">
        <v>111</v>
      </c>
      <c r="E1094" t="s">
        <v>170</v>
      </c>
      <c r="F1094" s="12" t="s">
        <v>24</v>
      </c>
      <c r="G1094" t="s">
        <v>25</v>
      </c>
      <c r="H1094" t="s">
        <v>2925</v>
      </c>
      <c r="I1094" t="s">
        <v>71</v>
      </c>
      <c r="J1094" s="6">
        <v>48200</v>
      </c>
      <c r="K1094" t="s">
        <v>3</v>
      </c>
      <c r="L1094" t="s">
        <v>2919</v>
      </c>
      <c r="M1094" t="s">
        <v>3</v>
      </c>
      <c r="N1094" s="25" t="str">
        <f>TEXT(tbl_Ledger[[#This Row],[Date]],"yyyy-mm")</f>
        <v>2025-09</v>
      </c>
      <c r="O1094" s="25" t="str">
        <f>TEXT(tbl_Ledger[[#This Row],[Date]],"yyyy-mm") &amp; TRIM(tbl_Ledger[[#This Row],[Currency]])</f>
        <v>2025-09NGN</v>
      </c>
      <c r="P1094" s="25">
        <f>_xlfn.XLOOKUP(tbl_Ledger[[#This Row],[Key]], tbl_FX[Key], tbl_FX[Rate_to_NGN])</f>
        <v>1</v>
      </c>
      <c r="Q1094" s="37">
        <f>IF(tbl_Ledger[[#This Row],[Account_Type]]="Expense",-ABS(tbl_Ledger[[#This Row],[Amount]]*tbl_Ledger[[#This Row],[Rate_to_NGN]]),tbl_Ledger[[#This Row],[Amount]]*tbl_Ledger[[#This Row],[Rate_to_NGN]])</f>
        <v>48200</v>
      </c>
      <c r="R1094" s="25" t="str">
        <f>_xlfn.XLOOKUP(tbl_Ledger[[#This Row],[Account_Code]], tbl_Accounts[Account_Code], tbl_Accounts[Type])</f>
        <v>Revenue</v>
      </c>
      <c r="S1094" s="25" t="str">
        <f>_xlfn.XLOOKUP(tbl_Ledger[[#This Row],[Account_Code]], tbl_Accounts[Account_Code], tbl_Accounts[PL_Bucket])</f>
        <v>Revenue</v>
      </c>
      <c r="T1094" s="25">
        <f t="shared" si="17"/>
        <v>48200</v>
      </c>
    </row>
    <row r="1095" spans="1:20">
      <c r="A1095" t="s">
        <v>2926</v>
      </c>
      <c r="B1095" s="7">
        <v>45909</v>
      </c>
      <c r="C1095" t="s">
        <v>93</v>
      </c>
      <c r="D1095" t="s">
        <v>111</v>
      </c>
      <c r="E1095" t="s">
        <v>122</v>
      </c>
      <c r="F1095" s="12" t="s">
        <v>24</v>
      </c>
      <c r="G1095" t="s">
        <v>25</v>
      </c>
      <c r="H1095" t="s">
        <v>2927</v>
      </c>
      <c r="I1095" t="s">
        <v>71</v>
      </c>
      <c r="J1095" s="6">
        <v>52400</v>
      </c>
      <c r="K1095" t="s">
        <v>3</v>
      </c>
      <c r="L1095" t="s">
        <v>2928</v>
      </c>
      <c r="M1095" t="s">
        <v>3</v>
      </c>
      <c r="N1095" s="25" t="str">
        <f>TEXT(tbl_Ledger[[#This Row],[Date]],"yyyy-mm")</f>
        <v>2025-09</v>
      </c>
      <c r="O1095" s="25" t="str">
        <f>TEXT(tbl_Ledger[[#This Row],[Date]],"yyyy-mm") &amp; TRIM(tbl_Ledger[[#This Row],[Currency]])</f>
        <v>2025-09NGN</v>
      </c>
      <c r="P1095" s="25">
        <f>_xlfn.XLOOKUP(tbl_Ledger[[#This Row],[Key]], tbl_FX[Key], tbl_FX[Rate_to_NGN])</f>
        <v>1</v>
      </c>
      <c r="Q1095" s="37">
        <f>IF(tbl_Ledger[[#This Row],[Account_Type]]="Expense",-ABS(tbl_Ledger[[#This Row],[Amount]]*tbl_Ledger[[#This Row],[Rate_to_NGN]]),tbl_Ledger[[#This Row],[Amount]]*tbl_Ledger[[#This Row],[Rate_to_NGN]])</f>
        <v>52400</v>
      </c>
      <c r="R1095" s="25" t="str">
        <f>_xlfn.XLOOKUP(tbl_Ledger[[#This Row],[Account_Code]], tbl_Accounts[Account_Code], tbl_Accounts[Type])</f>
        <v>Revenue</v>
      </c>
      <c r="S1095" s="25" t="str">
        <f>_xlfn.XLOOKUP(tbl_Ledger[[#This Row],[Account_Code]], tbl_Accounts[Account_Code], tbl_Accounts[PL_Bucket])</f>
        <v>Revenue</v>
      </c>
      <c r="T1095" s="25">
        <f t="shared" si="17"/>
        <v>52400</v>
      </c>
    </row>
    <row r="1096" spans="1:20">
      <c r="A1096" t="s">
        <v>2929</v>
      </c>
      <c r="B1096" s="7">
        <v>45909</v>
      </c>
      <c r="C1096" t="s">
        <v>126</v>
      </c>
      <c r="D1096" t="s">
        <v>88</v>
      </c>
      <c r="E1096" t="s">
        <v>127</v>
      </c>
      <c r="F1096" s="12" t="s">
        <v>29</v>
      </c>
      <c r="G1096" t="s">
        <v>30</v>
      </c>
      <c r="H1096" t="s">
        <v>2930</v>
      </c>
      <c r="I1096" t="s">
        <v>71</v>
      </c>
      <c r="J1096" s="6">
        <v>47200</v>
      </c>
      <c r="K1096" t="s">
        <v>129</v>
      </c>
      <c r="L1096" t="s">
        <v>2931</v>
      </c>
      <c r="M1096" t="s">
        <v>3</v>
      </c>
      <c r="N1096" s="25" t="str">
        <f>TEXT(tbl_Ledger[[#This Row],[Date]],"yyyy-mm")</f>
        <v>2025-09</v>
      </c>
      <c r="O1096" s="25" t="str">
        <f>TEXT(tbl_Ledger[[#This Row],[Date]],"yyyy-mm") &amp; TRIM(tbl_Ledger[[#This Row],[Currency]])</f>
        <v>2025-09NGN</v>
      </c>
      <c r="P1096" s="25">
        <f>_xlfn.XLOOKUP(tbl_Ledger[[#This Row],[Key]], tbl_FX[Key], tbl_FX[Rate_to_NGN])</f>
        <v>1</v>
      </c>
      <c r="Q1096" s="37">
        <f>IF(tbl_Ledger[[#This Row],[Account_Type]]="Expense",-ABS(tbl_Ledger[[#This Row],[Amount]]*tbl_Ledger[[#This Row],[Rate_to_NGN]]),tbl_Ledger[[#This Row],[Amount]]*tbl_Ledger[[#This Row],[Rate_to_NGN]])</f>
        <v>47200</v>
      </c>
      <c r="R1096" s="25" t="str">
        <f>_xlfn.XLOOKUP(tbl_Ledger[[#This Row],[Account_Code]], tbl_Accounts[Account_Code], tbl_Accounts[Type])</f>
        <v>Revenue</v>
      </c>
      <c r="S1096" s="25" t="str">
        <f>_xlfn.XLOOKUP(tbl_Ledger[[#This Row],[Account_Code]], tbl_Accounts[Account_Code], tbl_Accounts[PL_Bucket])</f>
        <v>Revenue</v>
      </c>
      <c r="T1096" s="25">
        <f t="shared" si="17"/>
        <v>47200</v>
      </c>
    </row>
    <row r="1097" spans="1:20">
      <c r="A1097" t="s">
        <v>2932</v>
      </c>
      <c r="B1097" s="7">
        <v>45909</v>
      </c>
      <c r="C1097" t="s">
        <v>126</v>
      </c>
      <c r="D1097" t="s">
        <v>88</v>
      </c>
      <c r="E1097" t="s">
        <v>132</v>
      </c>
      <c r="F1097" s="12" t="s">
        <v>29</v>
      </c>
      <c r="G1097" t="s">
        <v>30</v>
      </c>
      <c r="H1097" t="s">
        <v>2933</v>
      </c>
      <c r="I1097" t="s">
        <v>71</v>
      </c>
      <c r="J1097" s="6">
        <v>54900</v>
      </c>
      <c r="K1097" t="s">
        <v>134</v>
      </c>
      <c r="L1097" t="s">
        <v>2931</v>
      </c>
      <c r="M1097" t="s">
        <v>3</v>
      </c>
      <c r="N1097" s="25" t="str">
        <f>TEXT(tbl_Ledger[[#This Row],[Date]],"yyyy-mm")</f>
        <v>2025-09</v>
      </c>
      <c r="O1097" s="25" t="str">
        <f>TEXT(tbl_Ledger[[#This Row],[Date]],"yyyy-mm") &amp; TRIM(tbl_Ledger[[#This Row],[Currency]])</f>
        <v>2025-09NGN</v>
      </c>
      <c r="P1097" s="25">
        <f>_xlfn.XLOOKUP(tbl_Ledger[[#This Row],[Key]], tbl_FX[Key], tbl_FX[Rate_to_NGN])</f>
        <v>1</v>
      </c>
      <c r="Q1097" s="37">
        <f>IF(tbl_Ledger[[#This Row],[Account_Type]]="Expense",-ABS(tbl_Ledger[[#This Row],[Amount]]*tbl_Ledger[[#This Row],[Rate_to_NGN]]),tbl_Ledger[[#This Row],[Amount]]*tbl_Ledger[[#This Row],[Rate_to_NGN]])</f>
        <v>54900</v>
      </c>
      <c r="R1097" s="25" t="str">
        <f>_xlfn.XLOOKUP(tbl_Ledger[[#This Row],[Account_Code]], tbl_Accounts[Account_Code], tbl_Accounts[Type])</f>
        <v>Revenue</v>
      </c>
      <c r="S1097" s="25" t="str">
        <f>_xlfn.XLOOKUP(tbl_Ledger[[#This Row],[Account_Code]], tbl_Accounts[Account_Code], tbl_Accounts[PL_Bucket])</f>
        <v>Revenue</v>
      </c>
      <c r="T1097" s="25">
        <f t="shared" si="17"/>
        <v>54900</v>
      </c>
    </row>
    <row r="1098" spans="1:20">
      <c r="A1098" t="s">
        <v>2934</v>
      </c>
      <c r="B1098" s="7">
        <v>45909</v>
      </c>
      <c r="C1098" t="s">
        <v>126</v>
      </c>
      <c r="D1098" t="s">
        <v>88</v>
      </c>
      <c r="E1098" t="s">
        <v>136</v>
      </c>
      <c r="F1098" s="12" t="s">
        <v>29</v>
      </c>
      <c r="G1098" t="s">
        <v>30</v>
      </c>
      <c r="H1098" t="s">
        <v>2935</v>
      </c>
      <c r="I1098" t="s">
        <v>71</v>
      </c>
      <c r="J1098" s="6">
        <v>48000</v>
      </c>
      <c r="K1098" t="s">
        <v>138</v>
      </c>
      <c r="L1098" t="s">
        <v>2931</v>
      </c>
      <c r="M1098" t="s">
        <v>3</v>
      </c>
      <c r="N1098" s="25" t="str">
        <f>TEXT(tbl_Ledger[[#This Row],[Date]],"yyyy-mm")</f>
        <v>2025-09</v>
      </c>
      <c r="O1098" s="25" t="str">
        <f>TEXT(tbl_Ledger[[#This Row],[Date]],"yyyy-mm") &amp; TRIM(tbl_Ledger[[#This Row],[Currency]])</f>
        <v>2025-09NGN</v>
      </c>
      <c r="P1098" s="25">
        <f>_xlfn.XLOOKUP(tbl_Ledger[[#This Row],[Key]], tbl_FX[Key], tbl_FX[Rate_to_NGN])</f>
        <v>1</v>
      </c>
      <c r="Q1098" s="37">
        <f>IF(tbl_Ledger[[#This Row],[Account_Type]]="Expense",-ABS(tbl_Ledger[[#This Row],[Amount]]*tbl_Ledger[[#This Row],[Rate_to_NGN]]),tbl_Ledger[[#This Row],[Amount]]*tbl_Ledger[[#This Row],[Rate_to_NGN]])</f>
        <v>48000</v>
      </c>
      <c r="R1098" s="25" t="str">
        <f>_xlfn.XLOOKUP(tbl_Ledger[[#This Row],[Account_Code]], tbl_Accounts[Account_Code], tbl_Accounts[Type])</f>
        <v>Revenue</v>
      </c>
      <c r="S1098" s="25" t="str">
        <f>_xlfn.XLOOKUP(tbl_Ledger[[#This Row],[Account_Code]], tbl_Accounts[Account_Code], tbl_Accounts[PL_Bucket])</f>
        <v>Revenue</v>
      </c>
      <c r="T1098" s="25">
        <f t="shared" si="17"/>
        <v>48000</v>
      </c>
    </row>
    <row r="1099" spans="1:20">
      <c r="A1099" t="s">
        <v>2936</v>
      </c>
      <c r="B1099" s="7">
        <v>45909</v>
      </c>
      <c r="C1099" t="s">
        <v>126</v>
      </c>
      <c r="D1099" t="s">
        <v>88</v>
      </c>
      <c r="E1099" t="s">
        <v>140</v>
      </c>
      <c r="F1099" s="12" t="s">
        <v>29</v>
      </c>
      <c r="G1099" t="s">
        <v>30</v>
      </c>
      <c r="H1099" t="s">
        <v>2937</v>
      </c>
      <c r="I1099" t="s">
        <v>71</v>
      </c>
      <c r="J1099" s="6">
        <v>57400</v>
      </c>
      <c r="K1099" t="s">
        <v>3</v>
      </c>
      <c r="L1099" t="s">
        <v>2938</v>
      </c>
      <c r="M1099" t="s">
        <v>3</v>
      </c>
      <c r="N1099" s="25" t="str">
        <f>TEXT(tbl_Ledger[[#This Row],[Date]],"yyyy-mm")</f>
        <v>2025-09</v>
      </c>
      <c r="O1099" s="25" t="str">
        <f>TEXT(tbl_Ledger[[#This Row],[Date]],"yyyy-mm") &amp; TRIM(tbl_Ledger[[#This Row],[Currency]])</f>
        <v>2025-09NGN</v>
      </c>
      <c r="P1099" s="25">
        <f>_xlfn.XLOOKUP(tbl_Ledger[[#This Row],[Key]], tbl_FX[Key], tbl_FX[Rate_to_NGN])</f>
        <v>1</v>
      </c>
      <c r="Q1099" s="37">
        <f>IF(tbl_Ledger[[#This Row],[Account_Type]]="Expense",-ABS(tbl_Ledger[[#This Row],[Amount]]*tbl_Ledger[[#This Row],[Rate_to_NGN]]),tbl_Ledger[[#This Row],[Amount]]*tbl_Ledger[[#This Row],[Rate_to_NGN]])</f>
        <v>57400</v>
      </c>
      <c r="R1099" s="25" t="str">
        <f>_xlfn.XLOOKUP(tbl_Ledger[[#This Row],[Account_Code]], tbl_Accounts[Account_Code], tbl_Accounts[Type])</f>
        <v>Revenue</v>
      </c>
      <c r="S1099" s="25" t="str">
        <f>_xlfn.XLOOKUP(tbl_Ledger[[#This Row],[Account_Code]], tbl_Accounts[Account_Code], tbl_Accounts[PL_Bucket])</f>
        <v>Revenue</v>
      </c>
      <c r="T1099" s="25">
        <f t="shared" si="17"/>
        <v>57400</v>
      </c>
    </row>
    <row r="1100" spans="1:20">
      <c r="A1100" t="s">
        <v>2939</v>
      </c>
      <c r="B1100" s="7">
        <v>45909</v>
      </c>
      <c r="C1100" t="s">
        <v>87</v>
      </c>
      <c r="D1100" t="s">
        <v>111</v>
      </c>
      <c r="E1100" t="s">
        <v>3</v>
      </c>
      <c r="F1100" s="12" t="s">
        <v>36</v>
      </c>
      <c r="G1100" t="s">
        <v>37</v>
      </c>
      <c r="H1100" t="s">
        <v>2770</v>
      </c>
      <c r="I1100" t="s">
        <v>71</v>
      </c>
      <c r="J1100" s="6">
        <v>-912000</v>
      </c>
      <c r="K1100" t="s">
        <v>987</v>
      </c>
      <c r="L1100" t="s">
        <v>2940</v>
      </c>
      <c r="M1100" t="s">
        <v>3</v>
      </c>
      <c r="N1100" s="25" t="str">
        <f>TEXT(tbl_Ledger[[#This Row],[Date]],"yyyy-mm")</f>
        <v>2025-09</v>
      </c>
      <c r="O1100" s="25" t="str">
        <f>TEXT(tbl_Ledger[[#This Row],[Date]],"yyyy-mm") &amp; TRIM(tbl_Ledger[[#This Row],[Currency]])</f>
        <v>2025-09NGN</v>
      </c>
      <c r="P1100" s="25">
        <f>_xlfn.XLOOKUP(tbl_Ledger[[#This Row],[Key]], tbl_FX[Key], tbl_FX[Rate_to_NGN])</f>
        <v>1</v>
      </c>
      <c r="Q1100" s="37">
        <f>IF(tbl_Ledger[[#This Row],[Account_Type]]="Expense",-ABS(tbl_Ledger[[#This Row],[Amount]]*tbl_Ledger[[#This Row],[Rate_to_NGN]]),tbl_Ledger[[#This Row],[Amount]]*tbl_Ledger[[#This Row],[Rate_to_NGN]])</f>
        <v>-912000</v>
      </c>
      <c r="R1100" s="25" t="str">
        <f>_xlfn.XLOOKUP(tbl_Ledger[[#This Row],[Account_Code]], tbl_Accounts[Account_Code], tbl_Accounts[Type])</f>
        <v>COGS</v>
      </c>
      <c r="S1100" s="25" t="str">
        <f>_xlfn.XLOOKUP(tbl_Ledger[[#This Row],[Account_Code]], tbl_Accounts[Account_Code], tbl_Accounts[PL_Bucket])</f>
        <v>COGS</v>
      </c>
      <c r="T1100" s="25">
        <f t="shared" si="17"/>
        <v>-912000</v>
      </c>
    </row>
    <row r="1101" spans="1:20">
      <c r="A1101" t="s">
        <v>2941</v>
      </c>
      <c r="B1101" s="7">
        <v>45910</v>
      </c>
      <c r="C1101" t="s">
        <v>93</v>
      </c>
      <c r="D1101" t="s">
        <v>94</v>
      </c>
      <c r="E1101" t="s">
        <v>95</v>
      </c>
      <c r="F1101" s="12" t="s">
        <v>24</v>
      </c>
      <c r="G1101" t="s">
        <v>25</v>
      </c>
      <c r="H1101" t="s">
        <v>2942</v>
      </c>
      <c r="I1101" t="s">
        <v>71</v>
      </c>
      <c r="J1101" s="6">
        <v>32000</v>
      </c>
      <c r="K1101" t="s">
        <v>3</v>
      </c>
      <c r="L1101" t="s">
        <v>2943</v>
      </c>
      <c r="M1101" t="s">
        <v>3</v>
      </c>
      <c r="N1101" s="25" t="str">
        <f>TEXT(tbl_Ledger[[#This Row],[Date]],"yyyy-mm")</f>
        <v>2025-09</v>
      </c>
      <c r="O1101" s="25" t="str">
        <f>TEXT(tbl_Ledger[[#This Row],[Date]],"yyyy-mm") &amp; TRIM(tbl_Ledger[[#This Row],[Currency]])</f>
        <v>2025-09NGN</v>
      </c>
      <c r="P1101" s="25">
        <f>_xlfn.XLOOKUP(tbl_Ledger[[#This Row],[Key]], tbl_FX[Key], tbl_FX[Rate_to_NGN])</f>
        <v>1</v>
      </c>
      <c r="Q1101" s="37">
        <f>IF(tbl_Ledger[[#This Row],[Account_Type]]="Expense",-ABS(tbl_Ledger[[#This Row],[Amount]]*tbl_Ledger[[#This Row],[Rate_to_NGN]]),tbl_Ledger[[#This Row],[Amount]]*tbl_Ledger[[#This Row],[Rate_to_NGN]])</f>
        <v>32000</v>
      </c>
      <c r="R1101" s="25" t="str">
        <f>_xlfn.XLOOKUP(tbl_Ledger[[#This Row],[Account_Code]], tbl_Accounts[Account_Code], tbl_Accounts[Type])</f>
        <v>Revenue</v>
      </c>
      <c r="S1101" s="25" t="str">
        <f>_xlfn.XLOOKUP(tbl_Ledger[[#This Row],[Account_Code]], tbl_Accounts[Account_Code], tbl_Accounts[PL_Bucket])</f>
        <v>Revenue</v>
      </c>
      <c r="T1101" s="25">
        <f t="shared" si="17"/>
        <v>32000</v>
      </c>
    </row>
    <row r="1102" spans="1:20">
      <c r="A1102" t="s">
        <v>2944</v>
      </c>
      <c r="B1102" s="7">
        <v>45910</v>
      </c>
      <c r="C1102" t="s">
        <v>93</v>
      </c>
      <c r="D1102" t="s">
        <v>94</v>
      </c>
      <c r="E1102" t="s">
        <v>99</v>
      </c>
      <c r="F1102" s="12" t="s">
        <v>24</v>
      </c>
      <c r="G1102" t="s">
        <v>25</v>
      </c>
      <c r="H1102" t="s">
        <v>2945</v>
      </c>
      <c r="I1102" t="s">
        <v>71</v>
      </c>
      <c r="J1102" s="6">
        <v>29300</v>
      </c>
      <c r="K1102" t="s">
        <v>3</v>
      </c>
      <c r="L1102" t="s">
        <v>2946</v>
      </c>
      <c r="M1102" t="s">
        <v>3</v>
      </c>
      <c r="N1102" s="25" t="str">
        <f>TEXT(tbl_Ledger[[#This Row],[Date]],"yyyy-mm")</f>
        <v>2025-09</v>
      </c>
      <c r="O1102" s="25" t="str">
        <f>TEXT(tbl_Ledger[[#This Row],[Date]],"yyyy-mm") &amp; TRIM(tbl_Ledger[[#This Row],[Currency]])</f>
        <v>2025-09NGN</v>
      </c>
      <c r="P1102" s="25">
        <f>_xlfn.XLOOKUP(tbl_Ledger[[#This Row],[Key]], tbl_FX[Key], tbl_FX[Rate_to_NGN])</f>
        <v>1</v>
      </c>
      <c r="Q1102" s="37">
        <f>IF(tbl_Ledger[[#This Row],[Account_Type]]="Expense",-ABS(tbl_Ledger[[#This Row],[Amount]]*tbl_Ledger[[#This Row],[Rate_to_NGN]]),tbl_Ledger[[#This Row],[Amount]]*tbl_Ledger[[#This Row],[Rate_to_NGN]])</f>
        <v>29300</v>
      </c>
      <c r="R1102" s="25" t="str">
        <f>_xlfn.XLOOKUP(tbl_Ledger[[#This Row],[Account_Code]], tbl_Accounts[Account_Code], tbl_Accounts[Type])</f>
        <v>Revenue</v>
      </c>
      <c r="S1102" s="25" t="str">
        <f>_xlfn.XLOOKUP(tbl_Ledger[[#This Row],[Account_Code]], tbl_Accounts[Account_Code], tbl_Accounts[PL_Bucket])</f>
        <v>Revenue</v>
      </c>
      <c r="T1102" s="25">
        <f t="shared" si="17"/>
        <v>29300</v>
      </c>
    </row>
    <row r="1103" spans="1:20">
      <c r="A1103" t="s">
        <v>2947</v>
      </c>
      <c r="B1103" s="7">
        <v>45910</v>
      </c>
      <c r="C1103" t="s">
        <v>93</v>
      </c>
      <c r="D1103" t="s">
        <v>94</v>
      </c>
      <c r="E1103" t="s">
        <v>103</v>
      </c>
      <c r="F1103" s="12" t="s">
        <v>24</v>
      </c>
      <c r="G1103" t="s">
        <v>25</v>
      </c>
      <c r="H1103" t="s">
        <v>2948</v>
      </c>
      <c r="I1103" t="s">
        <v>71</v>
      </c>
      <c r="J1103" s="6">
        <v>33100</v>
      </c>
      <c r="K1103" t="s">
        <v>3</v>
      </c>
      <c r="L1103" t="s">
        <v>2949</v>
      </c>
      <c r="M1103" t="s">
        <v>3</v>
      </c>
      <c r="N1103" s="25" t="str">
        <f>TEXT(tbl_Ledger[[#This Row],[Date]],"yyyy-mm")</f>
        <v>2025-09</v>
      </c>
      <c r="O1103" s="25" t="str">
        <f>TEXT(tbl_Ledger[[#This Row],[Date]],"yyyy-mm") &amp; TRIM(tbl_Ledger[[#This Row],[Currency]])</f>
        <v>2025-09NGN</v>
      </c>
      <c r="P1103" s="25">
        <f>_xlfn.XLOOKUP(tbl_Ledger[[#This Row],[Key]], tbl_FX[Key], tbl_FX[Rate_to_NGN])</f>
        <v>1</v>
      </c>
      <c r="Q1103" s="37">
        <f>IF(tbl_Ledger[[#This Row],[Account_Type]]="Expense",-ABS(tbl_Ledger[[#This Row],[Amount]]*tbl_Ledger[[#This Row],[Rate_to_NGN]]),tbl_Ledger[[#This Row],[Amount]]*tbl_Ledger[[#This Row],[Rate_to_NGN]])</f>
        <v>33100</v>
      </c>
      <c r="R1103" s="25" t="str">
        <f>_xlfn.XLOOKUP(tbl_Ledger[[#This Row],[Account_Code]], tbl_Accounts[Account_Code], tbl_Accounts[Type])</f>
        <v>Revenue</v>
      </c>
      <c r="S1103" s="25" t="str">
        <f>_xlfn.XLOOKUP(tbl_Ledger[[#This Row],[Account_Code]], tbl_Accounts[Account_Code], tbl_Accounts[PL_Bucket])</f>
        <v>Revenue</v>
      </c>
      <c r="T1103" s="25">
        <f t="shared" si="17"/>
        <v>33100</v>
      </c>
    </row>
    <row r="1104" spans="1:20">
      <c r="A1104" t="s">
        <v>2950</v>
      </c>
      <c r="B1104" s="7">
        <v>45910</v>
      </c>
      <c r="C1104" t="s">
        <v>93</v>
      </c>
      <c r="D1104" t="s">
        <v>94</v>
      </c>
      <c r="E1104" t="s">
        <v>160</v>
      </c>
      <c r="F1104" s="12" t="s">
        <v>24</v>
      </c>
      <c r="G1104" t="s">
        <v>25</v>
      </c>
      <c r="H1104" t="s">
        <v>2951</v>
      </c>
      <c r="I1104" t="s">
        <v>71</v>
      </c>
      <c r="J1104" s="6">
        <v>31700</v>
      </c>
      <c r="K1104" t="s">
        <v>3</v>
      </c>
      <c r="L1104" t="s">
        <v>2949</v>
      </c>
      <c r="M1104" t="s">
        <v>3</v>
      </c>
      <c r="N1104" s="25" t="str">
        <f>TEXT(tbl_Ledger[[#This Row],[Date]],"yyyy-mm")</f>
        <v>2025-09</v>
      </c>
      <c r="O1104" s="25" t="str">
        <f>TEXT(tbl_Ledger[[#This Row],[Date]],"yyyy-mm") &amp; TRIM(tbl_Ledger[[#This Row],[Currency]])</f>
        <v>2025-09NGN</v>
      </c>
      <c r="P1104" s="25">
        <f>_xlfn.XLOOKUP(tbl_Ledger[[#This Row],[Key]], tbl_FX[Key], tbl_FX[Rate_to_NGN])</f>
        <v>1</v>
      </c>
      <c r="Q1104" s="37">
        <f>IF(tbl_Ledger[[#This Row],[Account_Type]]="Expense",-ABS(tbl_Ledger[[#This Row],[Amount]]*tbl_Ledger[[#This Row],[Rate_to_NGN]]),tbl_Ledger[[#This Row],[Amount]]*tbl_Ledger[[#This Row],[Rate_to_NGN]])</f>
        <v>31700</v>
      </c>
      <c r="R1104" s="25" t="str">
        <f>_xlfn.XLOOKUP(tbl_Ledger[[#This Row],[Account_Code]], tbl_Accounts[Account_Code], tbl_Accounts[Type])</f>
        <v>Revenue</v>
      </c>
      <c r="S1104" s="25" t="str">
        <f>_xlfn.XLOOKUP(tbl_Ledger[[#This Row],[Account_Code]], tbl_Accounts[Account_Code], tbl_Accounts[PL_Bucket])</f>
        <v>Revenue</v>
      </c>
      <c r="T1104" s="25">
        <f t="shared" si="17"/>
        <v>31700</v>
      </c>
    </row>
    <row r="1105" spans="1:20">
      <c r="A1105" t="s">
        <v>2952</v>
      </c>
      <c r="B1105" s="7">
        <v>45910</v>
      </c>
      <c r="C1105" t="s">
        <v>93</v>
      </c>
      <c r="D1105" t="s">
        <v>94</v>
      </c>
      <c r="E1105" t="s">
        <v>107</v>
      </c>
      <c r="F1105" s="12" t="s">
        <v>24</v>
      </c>
      <c r="G1105" t="s">
        <v>25</v>
      </c>
      <c r="H1105" t="s">
        <v>2953</v>
      </c>
      <c r="I1105" t="s">
        <v>71</v>
      </c>
      <c r="J1105" s="6">
        <v>29700</v>
      </c>
      <c r="K1105" t="s">
        <v>3</v>
      </c>
      <c r="L1105" t="s">
        <v>2954</v>
      </c>
      <c r="M1105" t="s">
        <v>3</v>
      </c>
      <c r="N1105" s="25" t="str">
        <f>TEXT(tbl_Ledger[[#This Row],[Date]],"yyyy-mm")</f>
        <v>2025-09</v>
      </c>
      <c r="O1105" s="25" t="str">
        <f>TEXT(tbl_Ledger[[#This Row],[Date]],"yyyy-mm") &amp; TRIM(tbl_Ledger[[#This Row],[Currency]])</f>
        <v>2025-09NGN</v>
      </c>
      <c r="P1105" s="25">
        <f>_xlfn.XLOOKUP(tbl_Ledger[[#This Row],[Key]], tbl_FX[Key], tbl_FX[Rate_to_NGN])</f>
        <v>1</v>
      </c>
      <c r="Q1105" s="37">
        <f>IF(tbl_Ledger[[#This Row],[Account_Type]]="Expense",-ABS(tbl_Ledger[[#This Row],[Amount]]*tbl_Ledger[[#This Row],[Rate_to_NGN]]),tbl_Ledger[[#This Row],[Amount]]*tbl_Ledger[[#This Row],[Rate_to_NGN]])</f>
        <v>29700</v>
      </c>
      <c r="R1105" s="25" t="str">
        <f>_xlfn.XLOOKUP(tbl_Ledger[[#This Row],[Account_Code]], tbl_Accounts[Account_Code], tbl_Accounts[Type])</f>
        <v>Revenue</v>
      </c>
      <c r="S1105" s="25" t="str">
        <f>_xlfn.XLOOKUP(tbl_Ledger[[#This Row],[Account_Code]], tbl_Accounts[Account_Code], tbl_Accounts[PL_Bucket])</f>
        <v>Revenue</v>
      </c>
      <c r="T1105" s="25">
        <f t="shared" si="17"/>
        <v>29700</v>
      </c>
    </row>
    <row r="1106" spans="1:20">
      <c r="A1106" t="s">
        <v>2955</v>
      </c>
      <c r="B1106" s="7">
        <v>45910</v>
      </c>
      <c r="C1106" t="s">
        <v>93</v>
      </c>
      <c r="D1106" t="s">
        <v>111</v>
      </c>
      <c r="E1106" t="s">
        <v>112</v>
      </c>
      <c r="F1106" s="12" t="s">
        <v>24</v>
      </c>
      <c r="G1106" t="s">
        <v>25</v>
      </c>
      <c r="H1106" t="s">
        <v>2956</v>
      </c>
      <c r="I1106" t="s">
        <v>71</v>
      </c>
      <c r="J1106" s="6">
        <v>47500</v>
      </c>
      <c r="K1106" t="s">
        <v>3</v>
      </c>
      <c r="L1106" t="s">
        <v>2957</v>
      </c>
      <c r="M1106" t="s">
        <v>3</v>
      </c>
      <c r="N1106" s="25" t="str">
        <f>TEXT(tbl_Ledger[[#This Row],[Date]],"yyyy-mm")</f>
        <v>2025-09</v>
      </c>
      <c r="O1106" s="25" t="str">
        <f>TEXT(tbl_Ledger[[#This Row],[Date]],"yyyy-mm") &amp; TRIM(tbl_Ledger[[#This Row],[Currency]])</f>
        <v>2025-09NGN</v>
      </c>
      <c r="P1106" s="25">
        <f>_xlfn.XLOOKUP(tbl_Ledger[[#This Row],[Key]], tbl_FX[Key], tbl_FX[Rate_to_NGN])</f>
        <v>1</v>
      </c>
      <c r="Q1106" s="37">
        <f>IF(tbl_Ledger[[#This Row],[Account_Type]]="Expense",-ABS(tbl_Ledger[[#This Row],[Amount]]*tbl_Ledger[[#This Row],[Rate_to_NGN]]),tbl_Ledger[[#This Row],[Amount]]*tbl_Ledger[[#This Row],[Rate_to_NGN]])</f>
        <v>47500</v>
      </c>
      <c r="R1106" s="25" t="str">
        <f>_xlfn.XLOOKUP(tbl_Ledger[[#This Row],[Account_Code]], tbl_Accounts[Account_Code], tbl_Accounts[Type])</f>
        <v>Revenue</v>
      </c>
      <c r="S1106" s="25" t="str">
        <f>_xlfn.XLOOKUP(tbl_Ledger[[#This Row],[Account_Code]], tbl_Accounts[Account_Code], tbl_Accounts[PL_Bucket])</f>
        <v>Revenue</v>
      </c>
      <c r="T1106" s="25">
        <f t="shared" si="17"/>
        <v>47500</v>
      </c>
    </row>
    <row r="1107" spans="1:20">
      <c r="A1107" t="s">
        <v>2958</v>
      </c>
      <c r="B1107" s="7">
        <v>45910</v>
      </c>
      <c r="C1107" t="s">
        <v>93</v>
      </c>
      <c r="D1107" t="s">
        <v>111</v>
      </c>
      <c r="E1107" t="s">
        <v>116</v>
      </c>
      <c r="F1107" s="12" t="s">
        <v>24</v>
      </c>
      <c r="G1107" t="s">
        <v>25</v>
      </c>
      <c r="H1107" t="s">
        <v>2959</v>
      </c>
      <c r="I1107" t="s">
        <v>71</v>
      </c>
      <c r="J1107" s="6">
        <v>48500</v>
      </c>
      <c r="K1107" t="s">
        <v>3</v>
      </c>
      <c r="L1107" t="s">
        <v>2957</v>
      </c>
      <c r="M1107" t="s">
        <v>3</v>
      </c>
      <c r="N1107" s="25" t="str">
        <f>TEXT(tbl_Ledger[[#This Row],[Date]],"yyyy-mm")</f>
        <v>2025-09</v>
      </c>
      <c r="O1107" s="25" t="str">
        <f>TEXT(tbl_Ledger[[#This Row],[Date]],"yyyy-mm") &amp; TRIM(tbl_Ledger[[#This Row],[Currency]])</f>
        <v>2025-09NGN</v>
      </c>
      <c r="P1107" s="25">
        <f>_xlfn.XLOOKUP(tbl_Ledger[[#This Row],[Key]], tbl_FX[Key], tbl_FX[Rate_to_NGN])</f>
        <v>1</v>
      </c>
      <c r="Q1107" s="37">
        <f>IF(tbl_Ledger[[#This Row],[Account_Type]]="Expense",-ABS(tbl_Ledger[[#This Row],[Amount]]*tbl_Ledger[[#This Row],[Rate_to_NGN]]),tbl_Ledger[[#This Row],[Amount]]*tbl_Ledger[[#This Row],[Rate_to_NGN]])</f>
        <v>48500</v>
      </c>
      <c r="R1107" s="25" t="str">
        <f>_xlfn.XLOOKUP(tbl_Ledger[[#This Row],[Account_Code]], tbl_Accounts[Account_Code], tbl_Accounts[Type])</f>
        <v>Revenue</v>
      </c>
      <c r="S1107" s="25" t="str">
        <f>_xlfn.XLOOKUP(tbl_Ledger[[#This Row],[Account_Code]], tbl_Accounts[Account_Code], tbl_Accounts[PL_Bucket])</f>
        <v>Revenue</v>
      </c>
      <c r="T1107" s="25">
        <f t="shared" si="17"/>
        <v>48500</v>
      </c>
    </row>
    <row r="1108" spans="1:20">
      <c r="A1108" t="s">
        <v>2960</v>
      </c>
      <c r="B1108" s="7">
        <v>45910</v>
      </c>
      <c r="C1108" t="s">
        <v>93</v>
      </c>
      <c r="D1108" t="s">
        <v>111</v>
      </c>
      <c r="E1108" t="s">
        <v>119</v>
      </c>
      <c r="F1108" s="12" t="s">
        <v>24</v>
      </c>
      <c r="G1108" t="s">
        <v>25</v>
      </c>
      <c r="H1108" t="s">
        <v>2961</v>
      </c>
      <c r="I1108" t="s">
        <v>71</v>
      </c>
      <c r="J1108" s="6">
        <v>47800</v>
      </c>
      <c r="K1108" t="s">
        <v>3</v>
      </c>
      <c r="L1108" t="s">
        <v>2957</v>
      </c>
      <c r="M1108" t="s">
        <v>3</v>
      </c>
      <c r="N1108" s="25" t="str">
        <f>TEXT(tbl_Ledger[[#This Row],[Date]],"yyyy-mm")</f>
        <v>2025-09</v>
      </c>
      <c r="O1108" s="25" t="str">
        <f>TEXT(tbl_Ledger[[#This Row],[Date]],"yyyy-mm") &amp; TRIM(tbl_Ledger[[#This Row],[Currency]])</f>
        <v>2025-09NGN</v>
      </c>
      <c r="P1108" s="25">
        <f>_xlfn.XLOOKUP(tbl_Ledger[[#This Row],[Key]], tbl_FX[Key], tbl_FX[Rate_to_NGN])</f>
        <v>1</v>
      </c>
      <c r="Q1108" s="37">
        <f>IF(tbl_Ledger[[#This Row],[Account_Type]]="Expense",-ABS(tbl_Ledger[[#This Row],[Amount]]*tbl_Ledger[[#This Row],[Rate_to_NGN]]),tbl_Ledger[[#This Row],[Amount]]*tbl_Ledger[[#This Row],[Rate_to_NGN]])</f>
        <v>47800</v>
      </c>
      <c r="R1108" s="25" t="str">
        <f>_xlfn.XLOOKUP(tbl_Ledger[[#This Row],[Account_Code]], tbl_Accounts[Account_Code], tbl_Accounts[Type])</f>
        <v>Revenue</v>
      </c>
      <c r="S1108" s="25" t="str">
        <f>_xlfn.XLOOKUP(tbl_Ledger[[#This Row],[Account_Code]], tbl_Accounts[Account_Code], tbl_Accounts[PL_Bucket])</f>
        <v>Revenue</v>
      </c>
      <c r="T1108" s="25">
        <f t="shared" si="17"/>
        <v>47800</v>
      </c>
    </row>
    <row r="1109" spans="1:20">
      <c r="A1109" t="s">
        <v>2962</v>
      </c>
      <c r="B1109" s="7">
        <v>45910</v>
      </c>
      <c r="C1109" t="s">
        <v>93</v>
      </c>
      <c r="D1109" t="s">
        <v>111</v>
      </c>
      <c r="E1109" t="s">
        <v>170</v>
      </c>
      <c r="F1109" s="12" t="s">
        <v>24</v>
      </c>
      <c r="G1109" t="s">
        <v>25</v>
      </c>
      <c r="H1109" t="s">
        <v>2963</v>
      </c>
      <c r="I1109" t="s">
        <v>71</v>
      </c>
      <c r="J1109" s="6">
        <v>50600</v>
      </c>
      <c r="K1109" t="s">
        <v>3</v>
      </c>
      <c r="L1109" t="s">
        <v>2957</v>
      </c>
      <c r="M1109" t="s">
        <v>3</v>
      </c>
      <c r="N1109" s="25" t="str">
        <f>TEXT(tbl_Ledger[[#This Row],[Date]],"yyyy-mm")</f>
        <v>2025-09</v>
      </c>
      <c r="O1109" s="25" t="str">
        <f>TEXT(tbl_Ledger[[#This Row],[Date]],"yyyy-mm") &amp; TRIM(tbl_Ledger[[#This Row],[Currency]])</f>
        <v>2025-09NGN</v>
      </c>
      <c r="P1109" s="25">
        <f>_xlfn.XLOOKUP(tbl_Ledger[[#This Row],[Key]], tbl_FX[Key], tbl_FX[Rate_to_NGN])</f>
        <v>1</v>
      </c>
      <c r="Q1109" s="37">
        <f>IF(tbl_Ledger[[#This Row],[Account_Type]]="Expense",-ABS(tbl_Ledger[[#This Row],[Amount]]*tbl_Ledger[[#This Row],[Rate_to_NGN]]),tbl_Ledger[[#This Row],[Amount]]*tbl_Ledger[[#This Row],[Rate_to_NGN]])</f>
        <v>50600</v>
      </c>
      <c r="R1109" s="25" t="str">
        <f>_xlfn.XLOOKUP(tbl_Ledger[[#This Row],[Account_Code]], tbl_Accounts[Account_Code], tbl_Accounts[Type])</f>
        <v>Revenue</v>
      </c>
      <c r="S1109" s="25" t="str">
        <f>_xlfn.XLOOKUP(tbl_Ledger[[#This Row],[Account_Code]], tbl_Accounts[Account_Code], tbl_Accounts[PL_Bucket])</f>
        <v>Revenue</v>
      </c>
      <c r="T1109" s="25">
        <f t="shared" si="17"/>
        <v>50600</v>
      </c>
    </row>
    <row r="1110" spans="1:20">
      <c r="A1110" t="s">
        <v>2964</v>
      </c>
      <c r="B1110" s="7">
        <v>45910</v>
      </c>
      <c r="C1110" t="s">
        <v>93</v>
      </c>
      <c r="D1110" t="s">
        <v>111</v>
      </c>
      <c r="E1110" t="s">
        <v>122</v>
      </c>
      <c r="F1110" s="12" t="s">
        <v>24</v>
      </c>
      <c r="G1110" t="s">
        <v>25</v>
      </c>
      <c r="H1110" t="s">
        <v>2965</v>
      </c>
      <c r="I1110" t="s">
        <v>71</v>
      </c>
      <c r="J1110" s="6">
        <v>52100</v>
      </c>
      <c r="K1110" t="s">
        <v>3</v>
      </c>
      <c r="L1110" t="s">
        <v>2966</v>
      </c>
      <c r="M1110" t="s">
        <v>3</v>
      </c>
      <c r="N1110" s="25" t="str">
        <f>TEXT(tbl_Ledger[[#This Row],[Date]],"yyyy-mm")</f>
        <v>2025-09</v>
      </c>
      <c r="O1110" s="25" t="str">
        <f>TEXT(tbl_Ledger[[#This Row],[Date]],"yyyy-mm") &amp; TRIM(tbl_Ledger[[#This Row],[Currency]])</f>
        <v>2025-09NGN</v>
      </c>
      <c r="P1110" s="25">
        <f>_xlfn.XLOOKUP(tbl_Ledger[[#This Row],[Key]], tbl_FX[Key], tbl_FX[Rate_to_NGN])</f>
        <v>1</v>
      </c>
      <c r="Q1110" s="37">
        <f>IF(tbl_Ledger[[#This Row],[Account_Type]]="Expense",-ABS(tbl_Ledger[[#This Row],[Amount]]*tbl_Ledger[[#This Row],[Rate_to_NGN]]),tbl_Ledger[[#This Row],[Amount]]*tbl_Ledger[[#This Row],[Rate_to_NGN]])</f>
        <v>52100</v>
      </c>
      <c r="R1110" s="25" t="str">
        <f>_xlfn.XLOOKUP(tbl_Ledger[[#This Row],[Account_Code]], tbl_Accounts[Account_Code], tbl_Accounts[Type])</f>
        <v>Revenue</v>
      </c>
      <c r="S1110" s="25" t="str">
        <f>_xlfn.XLOOKUP(tbl_Ledger[[#This Row],[Account_Code]], tbl_Accounts[Account_Code], tbl_Accounts[PL_Bucket])</f>
        <v>Revenue</v>
      </c>
      <c r="T1110" s="25">
        <f t="shared" si="17"/>
        <v>52100</v>
      </c>
    </row>
    <row r="1111" spans="1:20">
      <c r="A1111" t="s">
        <v>2967</v>
      </c>
      <c r="B1111" s="7">
        <v>45910</v>
      </c>
      <c r="C1111" t="s">
        <v>126</v>
      </c>
      <c r="D1111" t="s">
        <v>88</v>
      </c>
      <c r="E1111" t="s">
        <v>127</v>
      </c>
      <c r="F1111" s="12" t="s">
        <v>29</v>
      </c>
      <c r="G1111" t="s">
        <v>30</v>
      </c>
      <c r="H1111" t="s">
        <v>2968</v>
      </c>
      <c r="I1111" t="s">
        <v>72</v>
      </c>
      <c r="J1111" s="6">
        <v>36.25</v>
      </c>
      <c r="K1111" t="s">
        <v>129</v>
      </c>
      <c r="L1111" t="s">
        <v>2969</v>
      </c>
      <c r="M1111" t="s">
        <v>3</v>
      </c>
      <c r="N1111" s="25" t="str">
        <f>TEXT(tbl_Ledger[[#This Row],[Date]],"yyyy-mm")</f>
        <v>2025-09</v>
      </c>
      <c r="O1111" s="25" t="str">
        <f>TEXT(tbl_Ledger[[#This Row],[Date]],"yyyy-mm") &amp; TRIM(tbl_Ledger[[#This Row],[Currency]])</f>
        <v>2025-09USD</v>
      </c>
      <c r="P1111" s="25">
        <f>_xlfn.XLOOKUP(tbl_Ledger[[#This Row],[Key]], tbl_FX[Key], tbl_FX[Rate_to_NGN])</f>
        <v>1611</v>
      </c>
      <c r="Q1111" s="37">
        <f>IF(tbl_Ledger[[#This Row],[Account_Type]]="Expense",-ABS(tbl_Ledger[[#This Row],[Amount]]*tbl_Ledger[[#This Row],[Rate_to_NGN]]),tbl_Ledger[[#This Row],[Amount]]*tbl_Ledger[[#This Row],[Rate_to_NGN]])</f>
        <v>58398.75</v>
      </c>
      <c r="R1111" s="25" t="str">
        <f>_xlfn.XLOOKUP(tbl_Ledger[[#This Row],[Account_Code]], tbl_Accounts[Account_Code], tbl_Accounts[Type])</f>
        <v>Revenue</v>
      </c>
      <c r="S1111" s="25" t="str">
        <f>_xlfn.XLOOKUP(tbl_Ledger[[#This Row],[Account_Code]], tbl_Accounts[Account_Code], tbl_Accounts[PL_Bucket])</f>
        <v>Revenue</v>
      </c>
      <c r="T1111" s="25">
        <f t="shared" si="17"/>
        <v>58398.75</v>
      </c>
    </row>
    <row r="1112" spans="1:20">
      <c r="A1112" t="s">
        <v>2970</v>
      </c>
      <c r="B1112" s="7">
        <v>45910</v>
      </c>
      <c r="C1112" t="s">
        <v>126</v>
      </c>
      <c r="D1112" t="s">
        <v>88</v>
      </c>
      <c r="E1112" t="s">
        <v>132</v>
      </c>
      <c r="F1112" s="12" t="s">
        <v>29</v>
      </c>
      <c r="G1112" t="s">
        <v>30</v>
      </c>
      <c r="H1112" t="s">
        <v>2971</v>
      </c>
      <c r="I1112" t="s">
        <v>72</v>
      </c>
      <c r="J1112" s="6">
        <v>32.15</v>
      </c>
      <c r="K1112" t="s">
        <v>134</v>
      </c>
      <c r="L1112" t="s">
        <v>2969</v>
      </c>
      <c r="M1112" t="s">
        <v>3</v>
      </c>
      <c r="N1112" s="25" t="str">
        <f>TEXT(tbl_Ledger[[#This Row],[Date]],"yyyy-mm")</f>
        <v>2025-09</v>
      </c>
      <c r="O1112" s="25" t="str">
        <f>TEXT(tbl_Ledger[[#This Row],[Date]],"yyyy-mm") &amp; TRIM(tbl_Ledger[[#This Row],[Currency]])</f>
        <v>2025-09USD</v>
      </c>
      <c r="P1112" s="25">
        <f>_xlfn.XLOOKUP(tbl_Ledger[[#This Row],[Key]], tbl_FX[Key], tbl_FX[Rate_to_NGN])</f>
        <v>1611</v>
      </c>
      <c r="Q1112" s="37">
        <f>IF(tbl_Ledger[[#This Row],[Account_Type]]="Expense",-ABS(tbl_Ledger[[#This Row],[Amount]]*tbl_Ledger[[#This Row],[Rate_to_NGN]]),tbl_Ledger[[#This Row],[Amount]]*tbl_Ledger[[#This Row],[Rate_to_NGN]])</f>
        <v>51793.649999999994</v>
      </c>
      <c r="R1112" s="25" t="str">
        <f>_xlfn.XLOOKUP(tbl_Ledger[[#This Row],[Account_Code]], tbl_Accounts[Account_Code], tbl_Accounts[Type])</f>
        <v>Revenue</v>
      </c>
      <c r="S1112" s="25" t="str">
        <f>_xlfn.XLOOKUP(tbl_Ledger[[#This Row],[Account_Code]], tbl_Accounts[Account_Code], tbl_Accounts[PL_Bucket])</f>
        <v>Revenue</v>
      </c>
      <c r="T1112" s="25">
        <f t="shared" si="17"/>
        <v>51793.649999999994</v>
      </c>
    </row>
    <row r="1113" spans="1:20">
      <c r="A1113" t="s">
        <v>2972</v>
      </c>
      <c r="B1113" s="7">
        <v>45910</v>
      </c>
      <c r="C1113" t="s">
        <v>126</v>
      </c>
      <c r="D1113" t="s">
        <v>88</v>
      </c>
      <c r="E1113" t="s">
        <v>140</v>
      </c>
      <c r="F1113" s="12" t="s">
        <v>29</v>
      </c>
      <c r="G1113" t="s">
        <v>30</v>
      </c>
      <c r="H1113" t="s">
        <v>2973</v>
      </c>
      <c r="I1113" t="s">
        <v>71</v>
      </c>
      <c r="J1113" s="6">
        <v>51000</v>
      </c>
      <c r="K1113" t="s">
        <v>3</v>
      </c>
      <c r="L1113" t="s">
        <v>2974</v>
      </c>
      <c r="M1113" t="s">
        <v>3</v>
      </c>
      <c r="N1113" s="25" t="str">
        <f>TEXT(tbl_Ledger[[#This Row],[Date]],"yyyy-mm")</f>
        <v>2025-09</v>
      </c>
      <c r="O1113" s="25" t="str">
        <f>TEXT(tbl_Ledger[[#This Row],[Date]],"yyyy-mm") &amp; TRIM(tbl_Ledger[[#This Row],[Currency]])</f>
        <v>2025-09NGN</v>
      </c>
      <c r="P1113" s="25">
        <f>_xlfn.XLOOKUP(tbl_Ledger[[#This Row],[Key]], tbl_FX[Key], tbl_FX[Rate_to_NGN])</f>
        <v>1</v>
      </c>
      <c r="Q1113" s="37">
        <f>IF(tbl_Ledger[[#This Row],[Account_Type]]="Expense",-ABS(tbl_Ledger[[#This Row],[Amount]]*tbl_Ledger[[#This Row],[Rate_to_NGN]]),tbl_Ledger[[#This Row],[Amount]]*tbl_Ledger[[#This Row],[Rate_to_NGN]])</f>
        <v>51000</v>
      </c>
      <c r="R1113" s="25" t="str">
        <f>_xlfn.XLOOKUP(tbl_Ledger[[#This Row],[Account_Code]], tbl_Accounts[Account_Code], tbl_Accounts[Type])</f>
        <v>Revenue</v>
      </c>
      <c r="S1113" s="25" t="str">
        <f>_xlfn.XLOOKUP(tbl_Ledger[[#This Row],[Account_Code]], tbl_Accounts[Account_Code], tbl_Accounts[PL_Bucket])</f>
        <v>Revenue</v>
      </c>
      <c r="T1113" s="25">
        <f t="shared" si="17"/>
        <v>51000</v>
      </c>
    </row>
    <row r="1114" spans="1:20">
      <c r="A1114" t="s">
        <v>2975</v>
      </c>
      <c r="B1114" s="7">
        <v>45910</v>
      </c>
      <c r="C1114" t="s">
        <v>87</v>
      </c>
      <c r="D1114" t="s">
        <v>94</v>
      </c>
      <c r="E1114" t="s">
        <v>3</v>
      </c>
      <c r="F1114" s="12" t="s">
        <v>42</v>
      </c>
      <c r="G1114" t="s">
        <v>43</v>
      </c>
      <c r="H1114" t="s">
        <v>2861</v>
      </c>
      <c r="I1114" t="s">
        <v>71</v>
      </c>
      <c r="J1114" s="6">
        <v>-638000</v>
      </c>
      <c r="K1114" t="s">
        <v>187</v>
      </c>
      <c r="L1114" t="s">
        <v>2976</v>
      </c>
      <c r="M1114" t="s">
        <v>3</v>
      </c>
      <c r="N1114" s="25" t="str">
        <f>TEXT(tbl_Ledger[[#This Row],[Date]],"yyyy-mm")</f>
        <v>2025-09</v>
      </c>
      <c r="O1114" s="25" t="str">
        <f>TEXT(tbl_Ledger[[#This Row],[Date]],"yyyy-mm") &amp; TRIM(tbl_Ledger[[#This Row],[Currency]])</f>
        <v>2025-09NGN</v>
      </c>
      <c r="P1114" s="25">
        <f>_xlfn.XLOOKUP(tbl_Ledger[[#This Row],[Key]], tbl_FX[Key], tbl_FX[Rate_to_NGN])</f>
        <v>1</v>
      </c>
      <c r="Q1114" s="37">
        <f>IF(tbl_Ledger[[#This Row],[Account_Type]]="Expense",-ABS(tbl_Ledger[[#This Row],[Amount]]*tbl_Ledger[[#This Row],[Rate_to_NGN]]),tbl_Ledger[[#This Row],[Amount]]*tbl_Ledger[[#This Row],[Rate_to_NGN]])</f>
        <v>-638000</v>
      </c>
      <c r="R1114" s="25" t="str">
        <f>_xlfn.XLOOKUP(tbl_Ledger[[#This Row],[Account_Code]], tbl_Accounts[Account_Code], tbl_Accounts[Type])</f>
        <v>COGS</v>
      </c>
      <c r="S1114" s="25" t="str">
        <f>_xlfn.XLOOKUP(tbl_Ledger[[#This Row],[Account_Code]], tbl_Accounts[Account_Code], tbl_Accounts[PL_Bucket])</f>
        <v>COGS</v>
      </c>
      <c r="T1114" s="25">
        <f t="shared" si="17"/>
        <v>-638000</v>
      </c>
    </row>
    <row r="1115" spans="1:20">
      <c r="A1115" t="s">
        <v>2977</v>
      </c>
      <c r="B1115" s="7">
        <v>45910</v>
      </c>
      <c r="C1115" t="s">
        <v>87</v>
      </c>
      <c r="D1115" t="s">
        <v>111</v>
      </c>
      <c r="E1115" t="s">
        <v>3</v>
      </c>
      <c r="F1115" s="12" t="s">
        <v>36</v>
      </c>
      <c r="G1115" t="s">
        <v>37</v>
      </c>
      <c r="H1115" t="s">
        <v>2729</v>
      </c>
      <c r="I1115" t="s">
        <v>71</v>
      </c>
      <c r="J1115" s="6">
        <v>-2211000</v>
      </c>
      <c r="K1115" t="s">
        <v>145</v>
      </c>
      <c r="L1115" t="s">
        <v>2978</v>
      </c>
      <c r="M1115" t="s">
        <v>3</v>
      </c>
      <c r="N1115" s="25" t="str">
        <f>TEXT(tbl_Ledger[[#This Row],[Date]],"yyyy-mm")</f>
        <v>2025-09</v>
      </c>
      <c r="O1115" s="25" t="str">
        <f>TEXT(tbl_Ledger[[#This Row],[Date]],"yyyy-mm") &amp; TRIM(tbl_Ledger[[#This Row],[Currency]])</f>
        <v>2025-09NGN</v>
      </c>
      <c r="P1115" s="25">
        <f>_xlfn.XLOOKUP(tbl_Ledger[[#This Row],[Key]], tbl_FX[Key], tbl_FX[Rate_to_NGN])</f>
        <v>1</v>
      </c>
      <c r="Q1115" s="37">
        <f>IF(tbl_Ledger[[#This Row],[Account_Type]]="Expense",-ABS(tbl_Ledger[[#This Row],[Amount]]*tbl_Ledger[[#This Row],[Rate_to_NGN]]),tbl_Ledger[[#This Row],[Amount]]*tbl_Ledger[[#This Row],[Rate_to_NGN]])</f>
        <v>-2211000</v>
      </c>
      <c r="R1115" s="25" t="str">
        <f>_xlfn.XLOOKUP(tbl_Ledger[[#This Row],[Account_Code]], tbl_Accounts[Account_Code], tbl_Accounts[Type])</f>
        <v>COGS</v>
      </c>
      <c r="S1115" s="25" t="str">
        <f>_xlfn.XLOOKUP(tbl_Ledger[[#This Row],[Account_Code]], tbl_Accounts[Account_Code], tbl_Accounts[PL_Bucket])</f>
        <v>COGS</v>
      </c>
      <c r="T1115" s="25">
        <f t="shared" si="17"/>
        <v>-2211000</v>
      </c>
    </row>
    <row r="1116" spans="1:20">
      <c r="A1116" t="s">
        <v>2979</v>
      </c>
      <c r="B1116" s="7">
        <v>45910</v>
      </c>
      <c r="C1116" t="s">
        <v>87</v>
      </c>
      <c r="D1116" t="s">
        <v>94</v>
      </c>
      <c r="E1116" t="s">
        <v>3</v>
      </c>
      <c r="F1116" s="12" t="s">
        <v>51</v>
      </c>
      <c r="G1116" t="s">
        <v>52</v>
      </c>
      <c r="H1116" t="s">
        <v>2980</v>
      </c>
      <c r="I1116" t="s">
        <v>71</v>
      </c>
      <c r="J1116" s="6">
        <v>-168165</v>
      </c>
      <c r="K1116" t="s">
        <v>514</v>
      </c>
      <c r="L1116" t="s">
        <v>2981</v>
      </c>
      <c r="M1116" t="s">
        <v>3</v>
      </c>
      <c r="N1116" s="25" t="str">
        <f>TEXT(tbl_Ledger[[#This Row],[Date]],"yyyy-mm")</f>
        <v>2025-09</v>
      </c>
      <c r="O1116" s="25" t="str">
        <f>TEXT(tbl_Ledger[[#This Row],[Date]],"yyyy-mm") &amp; TRIM(tbl_Ledger[[#This Row],[Currency]])</f>
        <v>2025-09NGN</v>
      </c>
      <c r="P1116" s="25">
        <f>_xlfn.XLOOKUP(tbl_Ledger[[#This Row],[Key]], tbl_FX[Key], tbl_FX[Rate_to_NGN])</f>
        <v>1</v>
      </c>
      <c r="Q1116" s="37">
        <f>IF(tbl_Ledger[[#This Row],[Account_Type]]="Expense",-ABS(tbl_Ledger[[#This Row],[Amount]]*tbl_Ledger[[#This Row],[Rate_to_NGN]]),tbl_Ledger[[#This Row],[Amount]]*tbl_Ledger[[#This Row],[Rate_to_NGN]])</f>
        <v>-168165</v>
      </c>
      <c r="R1116" s="25" t="str">
        <f>_xlfn.XLOOKUP(tbl_Ledger[[#This Row],[Account_Code]], tbl_Accounts[Account_Code], tbl_Accounts[Type])</f>
        <v>Opex</v>
      </c>
      <c r="S1116" s="25" t="str">
        <f>_xlfn.XLOOKUP(tbl_Ledger[[#This Row],[Account_Code]], tbl_Accounts[Account_Code], tbl_Accounts[PL_Bucket])</f>
        <v>Opex</v>
      </c>
      <c r="T1116" s="25">
        <f t="shared" si="17"/>
        <v>-168165</v>
      </c>
    </row>
    <row r="1117" spans="1:20">
      <c r="A1117" t="s">
        <v>2982</v>
      </c>
      <c r="B1117" s="7">
        <v>45910</v>
      </c>
      <c r="C1117" t="s">
        <v>87</v>
      </c>
      <c r="D1117" t="s">
        <v>111</v>
      </c>
      <c r="E1117" t="s">
        <v>3</v>
      </c>
      <c r="F1117" s="12" t="s">
        <v>51</v>
      </c>
      <c r="G1117" t="s">
        <v>52</v>
      </c>
      <c r="H1117" t="s">
        <v>2980</v>
      </c>
      <c r="I1117" t="s">
        <v>71</v>
      </c>
      <c r="J1117" s="6">
        <v>-429566</v>
      </c>
      <c r="K1117" t="s">
        <v>514</v>
      </c>
      <c r="L1117" t="s">
        <v>2983</v>
      </c>
      <c r="M1117" t="s">
        <v>3</v>
      </c>
      <c r="N1117" s="25" t="str">
        <f>TEXT(tbl_Ledger[[#This Row],[Date]],"yyyy-mm")</f>
        <v>2025-09</v>
      </c>
      <c r="O1117" s="25" t="str">
        <f>TEXT(tbl_Ledger[[#This Row],[Date]],"yyyy-mm") &amp; TRIM(tbl_Ledger[[#This Row],[Currency]])</f>
        <v>2025-09NGN</v>
      </c>
      <c r="P1117" s="25">
        <f>_xlfn.XLOOKUP(tbl_Ledger[[#This Row],[Key]], tbl_FX[Key], tbl_FX[Rate_to_NGN])</f>
        <v>1</v>
      </c>
      <c r="Q1117" s="37">
        <f>IF(tbl_Ledger[[#This Row],[Account_Type]]="Expense",-ABS(tbl_Ledger[[#This Row],[Amount]]*tbl_Ledger[[#This Row],[Rate_to_NGN]]),tbl_Ledger[[#This Row],[Amount]]*tbl_Ledger[[#This Row],[Rate_to_NGN]])</f>
        <v>-429566</v>
      </c>
      <c r="R1117" s="25" t="str">
        <f>_xlfn.XLOOKUP(tbl_Ledger[[#This Row],[Account_Code]], tbl_Accounts[Account_Code], tbl_Accounts[Type])</f>
        <v>Opex</v>
      </c>
      <c r="S1117" s="25" t="str">
        <f>_xlfn.XLOOKUP(tbl_Ledger[[#This Row],[Account_Code]], tbl_Accounts[Account_Code], tbl_Accounts[PL_Bucket])</f>
        <v>Opex</v>
      </c>
      <c r="T1117" s="25">
        <f t="shared" si="17"/>
        <v>-429566</v>
      </c>
    </row>
    <row r="1118" spans="1:20">
      <c r="A1118" t="s">
        <v>2984</v>
      </c>
      <c r="B1118" s="7">
        <v>45910</v>
      </c>
      <c r="C1118" t="s">
        <v>87</v>
      </c>
      <c r="D1118" t="s">
        <v>88</v>
      </c>
      <c r="E1118" t="s">
        <v>3</v>
      </c>
      <c r="F1118" s="12" t="s">
        <v>51</v>
      </c>
      <c r="G1118" t="s">
        <v>52</v>
      </c>
      <c r="H1118" t="s">
        <v>2980</v>
      </c>
      <c r="I1118" t="s">
        <v>71</v>
      </c>
      <c r="J1118" s="6">
        <v>-202178</v>
      </c>
      <c r="K1118" t="s">
        <v>514</v>
      </c>
      <c r="L1118" t="s">
        <v>2985</v>
      </c>
      <c r="M1118" t="s">
        <v>3</v>
      </c>
      <c r="N1118" s="25" t="str">
        <f>TEXT(tbl_Ledger[[#This Row],[Date]],"yyyy-mm")</f>
        <v>2025-09</v>
      </c>
      <c r="O1118" s="25" t="str">
        <f>TEXT(tbl_Ledger[[#This Row],[Date]],"yyyy-mm") &amp; TRIM(tbl_Ledger[[#This Row],[Currency]])</f>
        <v>2025-09NGN</v>
      </c>
      <c r="P1118" s="25">
        <f>_xlfn.XLOOKUP(tbl_Ledger[[#This Row],[Key]], tbl_FX[Key], tbl_FX[Rate_to_NGN])</f>
        <v>1</v>
      </c>
      <c r="Q1118" s="37">
        <f>IF(tbl_Ledger[[#This Row],[Account_Type]]="Expense",-ABS(tbl_Ledger[[#This Row],[Amount]]*tbl_Ledger[[#This Row],[Rate_to_NGN]]),tbl_Ledger[[#This Row],[Amount]]*tbl_Ledger[[#This Row],[Rate_to_NGN]])</f>
        <v>-202178</v>
      </c>
      <c r="R1118" s="25" t="str">
        <f>_xlfn.XLOOKUP(tbl_Ledger[[#This Row],[Account_Code]], tbl_Accounts[Account_Code], tbl_Accounts[Type])</f>
        <v>Opex</v>
      </c>
      <c r="S1118" s="25" t="str">
        <f>_xlfn.XLOOKUP(tbl_Ledger[[#This Row],[Account_Code]], tbl_Accounts[Account_Code], tbl_Accounts[PL_Bucket])</f>
        <v>Opex</v>
      </c>
      <c r="T1118" s="25">
        <f t="shared" si="17"/>
        <v>-202178</v>
      </c>
    </row>
    <row r="1119" spans="1:20">
      <c r="A1119" t="s">
        <v>2986</v>
      </c>
      <c r="B1119" s="7">
        <v>45911</v>
      </c>
      <c r="C1119" t="s">
        <v>93</v>
      </c>
      <c r="D1119" t="s">
        <v>94</v>
      </c>
      <c r="E1119" t="s">
        <v>95</v>
      </c>
      <c r="F1119" s="12" t="s">
        <v>24</v>
      </c>
      <c r="G1119" t="s">
        <v>25</v>
      </c>
      <c r="H1119" t="s">
        <v>2987</v>
      </c>
      <c r="I1119" t="s">
        <v>71</v>
      </c>
      <c r="J1119" s="6">
        <v>30800</v>
      </c>
      <c r="K1119" t="s">
        <v>3</v>
      </c>
      <c r="L1119" t="s">
        <v>2988</v>
      </c>
      <c r="M1119" t="s">
        <v>3</v>
      </c>
      <c r="N1119" s="25" t="str">
        <f>TEXT(tbl_Ledger[[#This Row],[Date]],"yyyy-mm")</f>
        <v>2025-09</v>
      </c>
      <c r="O1119" s="25" t="str">
        <f>TEXT(tbl_Ledger[[#This Row],[Date]],"yyyy-mm") &amp; TRIM(tbl_Ledger[[#This Row],[Currency]])</f>
        <v>2025-09NGN</v>
      </c>
      <c r="P1119" s="25">
        <f>_xlfn.XLOOKUP(tbl_Ledger[[#This Row],[Key]], tbl_FX[Key], tbl_FX[Rate_to_NGN])</f>
        <v>1</v>
      </c>
      <c r="Q1119" s="37">
        <f>IF(tbl_Ledger[[#This Row],[Account_Type]]="Expense",-ABS(tbl_Ledger[[#This Row],[Amount]]*tbl_Ledger[[#This Row],[Rate_to_NGN]]),tbl_Ledger[[#This Row],[Amount]]*tbl_Ledger[[#This Row],[Rate_to_NGN]])</f>
        <v>30800</v>
      </c>
      <c r="R1119" s="25" t="str">
        <f>_xlfn.XLOOKUP(tbl_Ledger[[#This Row],[Account_Code]], tbl_Accounts[Account_Code], tbl_Accounts[Type])</f>
        <v>Revenue</v>
      </c>
      <c r="S1119" s="25" t="str">
        <f>_xlfn.XLOOKUP(tbl_Ledger[[#This Row],[Account_Code]], tbl_Accounts[Account_Code], tbl_Accounts[PL_Bucket])</f>
        <v>Revenue</v>
      </c>
      <c r="T1119" s="25">
        <f t="shared" si="17"/>
        <v>30800</v>
      </c>
    </row>
    <row r="1120" spans="1:20">
      <c r="A1120" t="s">
        <v>2989</v>
      </c>
      <c r="B1120" s="7">
        <v>45911</v>
      </c>
      <c r="C1120" t="s">
        <v>93</v>
      </c>
      <c r="D1120" t="s">
        <v>94</v>
      </c>
      <c r="E1120" t="s">
        <v>99</v>
      </c>
      <c r="F1120" s="12" t="s">
        <v>24</v>
      </c>
      <c r="G1120" t="s">
        <v>25</v>
      </c>
      <c r="H1120" t="s">
        <v>2990</v>
      </c>
      <c r="I1120" t="s">
        <v>71</v>
      </c>
      <c r="J1120" s="6">
        <v>33300</v>
      </c>
      <c r="K1120" t="s">
        <v>3</v>
      </c>
      <c r="L1120" t="s">
        <v>2991</v>
      </c>
      <c r="M1120" t="s">
        <v>3</v>
      </c>
      <c r="N1120" s="25" t="str">
        <f>TEXT(tbl_Ledger[[#This Row],[Date]],"yyyy-mm")</f>
        <v>2025-09</v>
      </c>
      <c r="O1120" s="25" t="str">
        <f>TEXT(tbl_Ledger[[#This Row],[Date]],"yyyy-mm") &amp; TRIM(tbl_Ledger[[#This Row],[Currency]])</f>
        <v>2025-09NGN</v>
      </c>
      <c r="P1120" s="25">
        <f>_xlfn.XLOOKUP(tbl_Ledger[[#This Row],[Key]], tbl_FX[Key], tbl_FX[Rate_to_NGN])</f>
        <v>1</v>
      </c>
      <c r="Q1120" s="37">
        <f>IF(tbl_Ledger[[#This Row],[Account_Type]]="Expense",-ABS(tbl_Ledger[[#This Row],[Amount]]*tbl_Ledger[[#This Row],[Rate_to_NGN]]),tbl_Ledger[[#This Row],[Amount]]*tbl_Ledger[[#This Row],[Rate_to_NGN]])</f>
        <v>33300</v>
      </c>
      <c r="R1120" s="25" t="str">
        <f>_xlfn.XLOOKUP(tbl_Ledger[[#This Row],[Account_Code]], tbl_Accounts[Account_Code], tbl_Accounts[Type])</f>
        <v>Revenue</v>
      </c>
      <c r="S1120" s="25" t="str">
        <f>_xlfn.XLOOKUP(tbl_Ledger[[#This Row],[Account_Code]], tbl_Accounts[Account_Code], tbl_Accounts[PL_Bucket])</f>
        <v>Revenue</v>
      </c>
      <c r="T1120" s="25">
        <f t="shared" si="17"/>
        <v>33300</v>
      </c>
    </row>
    <row r="1121" spans="1:20">
      <c r="A1121" t="s">
        <v>2992</v>
      </c>
      <c r="B1121" s="7">
        <v>45911</v>
      </c>
      <c r="C1121" t="s">
        <v>93</v>
      </c>
      <c r="D1121" t="s">
        <v>94</v>
      </c>
      <c r="E1121" t="s">
        <v>103</v>
      </c>
      <c r="F1121" s="12" t="s">
        <v>24</v>
      </c>
      <c r="G1121" t="s">
        <v>25</v>
      </c>
      <c r="H1121" t="s">
        <v>2993</v>
      </c>
      <c r="I1121" t="s">
        <v>71</v>
      </c>
      <c r="J1121" s="6">
        <v>33800</v>
      </c>
      <c r="K1121" t="s">
        <v>3</v>
      </c>
      <c r="L1121" t="s">
        <v>2994</v>
      </c>
      <c r="M1121" t="s">
        <v>3</v>
      </c>
      <c r="N1121" s="25" t="str">
        <f>TEXT(tbl_Ledger[[#This Row],[Date]],"yyyy-mm")</f>
        <v>2025-09</v>
      </c>
      <c r="O1121" s="25" t="str">
        <f>TEXT(tbl_Ledger[[#This Row],[Date]],"yyyy-mm") &amp; TRIM(tbl_Ledger[[#This Row],[Currency]])</f>
        <v>2025-09NGN</v>
      </c>
      <c r="P1121" s="25">
        <f>_xlfn.XLOOKUP(tbl_Ledger[[#This Row],[Key]], tbl_FX[Key], tbl_FX[Rate_to_NGN])</f>
        <v>1</v>
      </c>
      <c r="Q1121" s="37">
        <f>IF(tbl_Ledger[[#This Row],[Account_Type]]="Expense",-ABS(tbl_Ledger[[#This Row],[Amount]]*tbl_Ledger[[#This Row],[Rate_to_NGN]]),tbl_Ledger[[#This Row],[Amount]]*tbl_Ledger[[#This Row],[Rate_to_NGN]])</f>
        <v>33800</v>
      </c>
      <c r="R1121" s="25" t="str">
        <f>_xlfn.XLOOKUP(tbl_Ledger[[#This Row],[Account_Code]], tbl_Accounts[Account_Code], tbl_Accounts[Type])</f>
        <v>Revenue</v>
      </c>
      <c r="S1121" s="25" t="str">
        <f>_xlfn.XLOOKUP(tbl_Ledger[[#This Row],[Account_Code]], tbl_Accounts[Account_Code], tbl_Accounts[PL_Bucket])</f>
        <v>Revenue</v>
      </c>
      <c r="T1121" s="25">
        <f t="shared" si="17"/>
        <v>33800</v>
      </c>
    </row>
    <row r="1122" spans="1:20">
      <c r="A1122" t="s">
        <v>2995</v>
      </c>
      <c r="B1122" s="7">
        <v>45911</v>
      </c>
      <c r="C1122" t="s">
        <v>93</v>
      </c>
      <c r="D1122" t="s">
        <v>94</v>
      </c>
      <c r="E1122" t="s">
        <v>107</v>
      </c>
      <c r="F1122" s="12" t="s">
        <v>24</v>
      </c>
      <c r="G1122" t="s">
        <v>25</v>
      </c>
      <c r="H1122" t="s">
        <v>2996</v>
      </c>
      <c r="I1122" t="s">
        <v>71</v>
      </c>
      <c r="J1122" s="6">
        <v>28700</v>
      </c>
      <c r="K1122" t="s">
        <v>3</v>
      </c>
      <c r="L1122" t="s">
        <v>2997</v>
      </c>
      <c r="M1122" t="s">
        <v>3</v>
      </c>
      <c r="N1122" s="25" t="str">
        <f>TEXT(tbl_Ledger[[#This Row],[Date]],"yyyy-mm")</f>
        <v>2025-09</v>
      </c>
      <c r="O1122" s="25" t="str">
        <f>TEXT(tbl_Ledger[[#This Row],[Date]],"yyyy-mm") &amp; TRIM(tbl_Ledger[[#This Row],[Currency]])</f>
        <v>2025-09NGN</v>
      </c>
      <c r="P1122" s="25">
        <f>_xlfn.XLOOKUP(tbl_Ledger[[#This Row],[Key]], tbl_FX[Key], tbl_FX[Rate_to_NGN])</f>
        <v>1</v>
      </c>
      <c r="Q1122" s="37">
        <f>IF(tbl_Ledger[[#This Row],[Account_Type]]="Expense",-ABS(tbl_Ledger[[#This Row],[Amount]]*tbl_Ledger[[#This Row],[Rate_to_NGN]]),tbl_Ledger[[#This Row],[Amount]]*tbl_Ledger[[#This Row],[Rate_to_NGN]])</f>
        <v>28700</v>
      </c>
      <c r="R1122" s="25" t="str">
        <f>_xlfn.XLOOKUP(tbl_Ledger[[#This Row],[Account_Code]], tbl_Accounts[Account_Code], tbl_Accounts[Type])</f>
        <v>Revenue</v>
      </c>
      <c r="S1122" s="25" t="str">
        <f>_xlfn.XLOOKUP(tbl_Ledger[[#This Row],[Account_Code]], tbl_Accounts[Account_Code], tbl_Accounts[PL_Bucket])</f>
        <v>Revenue</v>
      </c>
      <c r="T1122" s="25">
        <f t="shared" si="17"/>
        <v>28700</v>
      </c>
    </row>
    <row r="1123" spans="1:20">
      <c r="A1123" t="s">
        <v>2998</v>
      </c>
      <c r="B1123" s="7">
        <v>45911</v>
      </c>
      <c r="C1123" t="s">
        <v>93</v>
      </c>
      <c r="D1123" t="s">
        <v>111</v>
      </c>
      <c r="E1123" t="s">
        <v>112</v>
      </c>
      <c r="F1123" s="12" t="s">
        <v>24</v>
      </c>
      <c r="G1123" t="s">
        <v>25</v>
      </c>
      <c r="H1123" t="s">
        <v>2999</v>
      </c>
      <c r="I1123" t="s">
        <v>71</v>
      </c>
      <c r="J1123" s="6">
        <v>48500</v>
      </c>
      <c r="K1123" t="s">
        <v>3</v>
      </c>
      <c r="L1123" t="s">
        <v>3000</v>
      </c>
      <c r="M1123" t="s">
        <v>3</v>
      </c>
      <c r="N1123" s="25" t="str">
        <f>TEXT(tbl_Ledger[[#This Row],[Date]],"yyyy-mm")</f>
        <v>2025-09</v>
      </c>
      <c r="O1123" s="25" t="str">
        <f>TEXT(tbl_Ledger[[#This Row],[Date]],"yyyy-mm") &amp; TRIM(tbl_Ledger[[#This Row],[Currency]])</f>
        <v>2025-09NGN</v>
      </c>
      <c r="P1123" s="25">
        <f>_xlfn.XLOOKUP(tbl_Ledger[[#This Row],[Key]], tbl_FX[Key], tbl_FX[Rate_to_NGN])</f>
        <v>1</v>
      </c>
      <c r="Q1123" s="37">
        <f>IF(tbl_Ledger[[#This Row],[Account_Type]]="Expense",-ABS(tbl_Ledger[[#This Row],[Amount]]*tbl_Ledger[[#This Row],[Rate_to_NGN]]),tbl_Ledger[[#This Row],[Amount]]*tbl_Ledger[[#This Row],[Rate_to_NGN]])</f>
        <v>48500</v>
      </c>
      <c r="R1123" s="25" t="str">
        <f>_xlfn.XLOOKUP(tbl_Ledger[[#This Row],[Account_Code]], tbl_Accounts[Account_Code], tbl_Accounts[Type])</f>
        <v>Revenue</v>
      </c>
      <c r="S1123" s="25" t="str">
        <f>_xlfn.XLOOKUP(tbl_Ledger[[#This Row],[Account_Code]], tbl_Accounts[Account_Code], tbl_Accounts[PL_Bucket])</f>
        <v>Revenue</v>
      </c>
      <c r="T1123" s="25">
        <f t="shared" si="17"/>
        <v>48500</v>
      </c>
    </row>
    <row r="1124" spans="1:20">
      <c r="A1124" t="s">
        <v>3001</v>
      </c>
      <c r="B1124" s="7">
        <v>45911</v>
      </c>
      <c r="C1124" t="s">
        <v>93</v>
      </c>
      <c r="D1124" t="s">
        <v>111</v>
      </c>
      <c r="E1124" t="s">
        <v>116</v>
      </c>
      <c r="F1124" s="12" t="s">
        <v>24</v>
      </c>
      <c r="G1124" t="s">
        <v>25</v>
      </c>
      <c r="H1124" t="s">
        <v>3002</v>
      </c>
      <c r="I1124" t="s">
        <v>71</v>
      </c>
      <c r="J1124" s="6">
        <v>52700</v>
      </c>
      <c r="K1124" t="s">
        <v>3</v>
      </c>
      <c r="L1124" t="s">
        <v>3000</v>
      </c>
      <c r="M1124" t="s">
        <v>3</v>
      </c>
      <c r="N1124" s="25" t="str">
        <f>TEXT(tbl_Ledger[[#This Row],[Date]],"yyyy-mm")</f>
        <v>2025-09</v>
      </c>
      <c r="O1124" s="25" t="str">
        <f>TEXT(tbl_Ledger[[#This Row],[Date]],"yyyy-mm") &amp; TRIM(tbl_Ledger[[#This Row],[Currency]])</f>
        <v>2025-09NGN</v>
      </c>
      <c r="P1124" s="25">
        <f>_xlfn.XLOOKUP(tbl_Ledger[[#This Row],[Key]], tbl_FX[Key], tbl_FX[Rate_to_NGN])</f>
        <v>1</v>
      </c>
      <c r="Q1124" s="37">
        <f>IF(tbl_Ledger[[#This Row],[Account_Type]]="Expense",-ABS(tbl_Ledger[[#This Row],[Amount]]*tbl_Ledger[[#This Row],[Rate_to_NGN]]),tbl_Ledger[[#This Row],[Amount]]*tbl_Ledger[[#This Row],[Rate_to_NGN]])</f>
        <v>52700</v>
      </c>
      <c r="R1124" s="25" t="str">
        <f>_xlfn.XLOOKUP(tbl_Ledger[[#This Row],[Account_Code]], tbl_Accounts[Account_Code], tbl_Accounts[Type])</f>
        <v>Revenue</v>
      </c>
      <c r="S1124" s="25" t="str">
        <f>_xlfn.XLOOKUP(tbl_Ledger[[#This Row],[Account_Code]], tbl_Accounts[Account_Code], tbl_Accounts[PL_Bucket])</f>
        <v>Revenue</v>
      </c>
      <c r="T1124" s="25">
        <f t="shared" si="17"/>
        <v>52700</v>
      </c>
    </row>
    <row r="1125" spans="1:20">
      <c r="A1125" t="s">
        <v>3003</v>
      </c>
      <c r="B1125" s="7">
        <v>45911</v>
      </c>
      <c r="C1125" t="s">
        <v>93</v>
      </c>
      <c r="D1125" t="s">
        <v>111</v>
      </c>
      <c r="E1125" t="s">
        <v>119</v>
      </c>
      <c r="F1125" s="12" t="s">
        <v>24</v>
      </c>
      <c r="G1125" t="s">
        <v>25</v>
      </c>
      <c r="H1125" t="s">
        <v>3004</v>
      </c>
      <c r="I1125" t="s">
        <v>71</v>
      </c>
      <c r="J1125" s="6">
        <v>50300</v>
      </c>
      <c r="K1125" t="s">
        <v>3</v>
      </c>
      <c r="L1125" t="s">
        <v>3000</v>
      </c>
      <c r="M1125" t="s">
        <v>3</v>
      </c>
      <c r="N1125" s="25" t="str">
        <f>TEXT(tbl_Ledger[[#This Row],[Date]],"yyyy-mm")</f>
        <v>2025-09</v>
      </c>
      <c r="O1125" s="25" t="str">
        <f>TEXT(tbl_Ledger[[#This Row],[Date]],"yyyy-mm") &amp; TRIM(tbl_Ledger[[#This Row],[Currency]])</f>
        <v>2025-09NGN</v>
      </c>
      <c r="P1125" s="25">
        <f>_xlfn.XLOOKUP(tbl_Ledger[[#This Row],[Key]], tbl_FX[Key], tbl_FX[Rate_to_NGN])</f>
        <v>1</v>
      </c>
      <c r="Q1125" s="37">
        <f>IF(tbl_Ledger[[#This Row],[Account_Type]]="Expense",-ABS(tbl_Ledger[[#This Row],[Amount]]*tbl_Ledger[[#This Row],[Rate_to_NGN]]),tbl_Ledger[[#This Row],[Amount]]*tbl_Ledger[[#This Row],[Rate_to_NGN]])</f>
        <v>50300</v>
      </c>
      <c r="R1125" s="25" t="str">
        <f>_xlfn.XLOOKUP(tbl_Ledger[[#This Row],[Account_Code]], tbl_Accounts[Account_Code], tbl_Accounts[Type])</f>
        <v>Revenue</v>
      </c>
      <c r="S1125" s="25" t="str">
        <f>_xlfn.XLOOKUP(tbl_Ledger[[#This Row],[Account_Code]], tbl_Accounts[Account_Code], tbl_Accounts[PL_Bucket])</f>
        <v>Revenue</v>
      </c>
      <c r="T1125" s="25">
        <f t="shared" si="17"/>
        <v>50300</v>
      </c>
    </row>
    <row r="1126" spans="1:20">
      <c r="A1126" t="s">
        <v>3005</v>
      </c>
      <c r="B1126" s="7">
        <v>45911</v>
      </c>
      <c r="C1126" t="s">
        <v>93</v>
      </c>
      <c r="D1126" t="s">
        <v>111</v>
      </c>
      <c r="E1126" t="s">
        <v>170</v>
      </c>
      <c r="F1126" s="12" t="s">
        <v>24</v>
      </c>
      <c r="G1126" t="s">
        <v>25</v>
      </c>
      <c r="H1126" t="s">
        <v>3006</v>
      </c>
      <c r="I1126" t="s">
        <v>71</v>
      </c>
      <c r="J1126" s="6">
        <v>49000</v>
      </c>
      <c r="K1126" t="s">
        <v>3</v>
      </c>
      <c r="L1126" t="s">
        <v>3000</v>
      </c>
      <c r="M1126" t="s">
        <v>3</v>
      </c>
      <c r="N1126" s="25" t="str">
        <f>TEXT(tbl_Ledger[[#This Row],[Date]],"yyyy-mm")</f>
        <v>2025-09</v>
      </c>
      <c r="O1126" s="25" t="str">
        <f>TEXT(tbl_Ledger[[#This Row],[Date]],"yyyy-mm") &amp; TRIM(tbl_Ledger[[#This Row],[Currency]])</f>
        <v>2025-09NGN</v>
      </c>
      <c r="P1126" s="25">
        <f>_xlfn.XLOOKUP(tbl_Ledger[[#This Row],[Key]], tbl_FX[Key], tbl_FX[Rate_to_NGN])</f>
        <v>1</v>
      </c>
      <c r="Q1126" s="37">
        <f>IF(tbl_Ledger[[#This Row],[Account_Type]]="Expense",-ABS(tbl_Ledger[[#This Row],[Amount]]*tbl_Ledger[[#This Row],[Rate_to_NGN]]),tbl_Ledger[[#This Row],[Amount]]*tbl_Ledger[[#This Row],[Rate_to_NGN]])</f>
        <v>49000</v>
      </c>
      <c r="R1126" s="25" t="str">
        <f>_xlfn.XLOOKUP(tbl_Ledger[[#This Row],[Account_Code]], tbl_Accounts[Account_Code], tbl_Accounts[Type])</f>
        <v>Revenue</v>
      </c>
      <c r="S1126" s="25" t="str">
        <f>_xlfn.XLOOKUP(tbl_Ledger[[#This Row],[Account_Code]], tbl_Accounts[Account_Code], tbl_Accounts[PL_Bucket])</f>
        <v>Revenue</v>
      </c>
      <c r="T1126" s="25">
        <f t="shared" si="17"/>
        <v>49000</v>
      </c>
    </row>
    <row r="1127" spans="1:20">
      <c r="A1127" t="s">
        <v>3007</v>
      </c>
      <c r="B1127" s="7">
        <v>45911</v>
      </c>
      <c r="C1127" t="s">
        <v>93</v>
      </c>
      <c r="D1127" t="s">
        <v>111</v>
      </c>
      <c r="E1127" t="s">
        <v>122</v>
      </c>
      <c r="F1127" s="12" t="s">
        <v>24</v>
      </c>
      <c r="G1127" t="s">
        <v>25</v>
      </c>
      <c r="H1127" t="s">
        <v>3008</v>
      </c>
      <c r="I1127" t="s">
        <v>71</v>
      </c>
      <c r="J1127" s="6">
        <v>52800</v>
      </c>
      <c r="K1127" t="s">
        <v>3</v>
      </c>
      <c r="L1127" t="s">
        <v>3009</v>
      </c>
      <c r="M1127" t="s">
        <v>3</v>
      </c>
      <c r="N1127" s="25" t="str">
        <f>TEXT(tbl_Ledger[[#This Row],[Date]],"yyyy-mm")</f>
        <v>2025-09</v>
      </c>
      <c r="O1127" s="25" t="str">
        <f>TEXT(tbl_Ledger[[#This Row],[Date]],"yyyy-mm") &amp; TRIM(tbl_Ledger[[#This Row],[Currency]])</f>
        <v>2025-09NGN</v>
      </c>
      <c r="P1127" s="25">
        <f>_xlfn.XLOOKUP(tbl_Ledger[[#This Row],[Key]], tbl_FX[Key], tbl_FX[Rate_to_NGN])</f>
        <v>1</v>
      </c>
      <c r="Q1127" s="37">
        <f>IF(tbl_Ledger[[#This Row],[Account_Type]]="Expense",-ABS(tbl_Ledger[[#This Row],[Amount]]*tbl_Ledger[[#This Row],[Rate_to_NGN]]),tbl_Ledger[[#This Row],[Amount]]*tbl_Ledger[[#This Row],[Rate_to_NGN]])</f>
        <v>52800</v>
      </c>
      <c r="R1127" s="25" t="str">
        <f>_xlfn.XLOOKUP(tbl_Ledger[[#This Row],[Account_Code]], tbl_Accounts[Account_Code], tbl_Accounts[Type])</f>
        <v>Revenue</v>
      </c>
      <c r="S1127" s="25" t="str">
        <f>_xlfn.XLOOKUP(tbl_Ledger[[#This Row],[Account_Code]], tbl_Accounts[Account_Code], tbl_Accounts[PL_Bucket])</f>
        <v>Revenue</v>
      </c>
      <c r="T1127" s="25">
        <f t="shared" si="17"/>
        <v>52800</v>
      </c>
    </row>
    <row r="1128" spans="1:20">
      <c r="A1128" t="s">
        <v>3010</v>
      </c>
      <c r="B1128" s="7">
        <v>45911</v>
      </c>
      <c r="C1128" t="s">
        <v>126</v>
      </c>
      <c r="D1128" t="s">
        <v>88</v>
      </c>
      <c r="E1128" t="s">
        <v>127</v>
      </c>
      <c r="F1128" s="12" t="s">
        <v>29</v>
      </c>
      <c r="G1128" t="s">
        <v>30</v>
      </c>
      <c r="H1128" t="s">
        <v>3011</v>
      </c>
      <c r="I1128" t="s">
        <v>71</v>
      </c>
      <c r="J1128" s="6">
        <v>57500</v>
      </c>
      <c r="K1128" t="s">
        <v>129</v>
      </c>
      <c r="L1128" t="s">
        <v>3012</v>
      </c>
      <c r="M1128" t="s">
        <v>3</v>
      </c>
      <c r="N1128" s="25" t="str">
        <f>TEXT(tbl_Ledger[[#This Row],[Date]],"yyyy-mm")</f>
        <v>2025-09</v>
      </c>
      <c r="O1128" s="25" t="str">
        <f>TEXT(tbl_Ledger[[#This Row],[Date]],"yyyy-mm") &amp; TRIM(tbl_Ledger[[#This Row],[Currency]])</f>
        <v>2025-09NGN</v>
      </c>
      <c r="P1128" s="25">
        <f>_xlfn.XLOOKUP(tbl_Ledger[[#This Row],[Key]], tbl_FX[Key], tbl_FX[Rate_to_NGN])</f>
        <v>1</v>
      </c>
      <c r="Q1128" s="37">
        <f>IF(tbl_Ledger[[#This Row],[Account_Type]]="Expense",-ABS(tbl_Ledger[[#This Row],[Amount]]*tbl_Ledger[[#This Row],[Rate_to_NGN]]),tbl_Ledger[[#This Row],[Amount]]*tbl_Ledger[[#This Row],[Rate_to_NGN]])</f>
        <v>57500</v>
      </c>
      <c r="R1128" s="25" t="str">
        <f>_xlfn.XLOOKUP(tbl_Ledger[[#This Row],[Account_Code]], tbl_Accounts[Account_Code], tbl_Accounts[Type])</f>
        <v>Revenue</v>
      </c>
      <c r="S1128" s="25" t="str">
        <f>_xlfn.XLOOKUP(tbl_Ledger[[#This Row],[Account_Code]], tbl_Accounts[Account_Code], tbl_Accounts[PL_Bucket])</f>
        <v>Revenue</v>
      </c>
      <c r="T1128" s="25">
        <f t="shared" si="17"/>
        <v>57500</v>
      </c>
    </row>
    <row r="1129" spans="1:20">
      <c r="A1129" t="s">
        <v>3013</v>
      </c>
      <c r="B1129" s="7">
        <v>45911</v>
      </c>
      <c r="C1129" t="s">
        <v>126</v>
      </c>
      <c r="D1129" t="s">
        <v>88</v>
      </c>
      <c r="E1129" t="s">
        <v>132</v>
      </c>
      <c r="F1129" s="12" t="s">
        <v>29</v>
      </c>
      <c r="G1129" t="s">
        <v>30</v>
      </c>
      <c r="H1129" t="s">
        <v>3014</v>
      </c>
      <c r="I1129" t="s">
        <v>72</v>
      </c>
      <c r="J1129" s="6">
        <v>28.99</v>
      </c>
      <c r="K1129" t="s">
        <v>134</v>
      </c>
      <c r="L1129" t="s">
        <v>3012</v>
      </c>
      <c r="M1129" t="s">
        <v>3</v>
      </c>
      <c r="N1129" s="25" t="str">
        <f>TEXT(tbl_Ledger[[#This Row],[Date]],"yyyy-mm")</f>
        <v>2025-09</v>
      </c>
      <c r="O1129" s="25" t="str">
        <f>TEXT(tbl_Ledger[[#This Row],[Date]],"yyyy-mm") &amp; TRIM(tbl_Ledger[[#This Row],[Currency]])</f>
        <v>2025-09USD</v>
      </c>
      <c r="P1129" s="25">
        <f>_xlfn.XLOOKUP(tbl_Ledger[[#This Row],[Key]], tbl_FX[Key], tbl_FX[Rate_to_NGN])</f>
        <v>1611</v>
      </c>
      <c r="Q1129" s="37">
        <f>IF(tbl_Ledger[[#This Row],[Account_Type]]="Expense",-ABS(tbl_Ledger[[#This Row],[Amount]]*tbl_Ledger[[#This Row],[Rate_to_NGN]]),tbl_Ledger[[#This Row],[Amount]]*tbl_Ledger[[#This Row],[Rate_to_NGN]])</f>
        <v>46702.89</v>
      </c>
      <c r="R1129" s="25" t="str">
        <f>_xlfn.XLOOKUP(tbl_Ledger[[#This Row],[Account_Code]], tbl_Accounts[Account_Code], tbl_Accounts[Type])</f>
        <v>Revenue</v>
      </c>
      <c r="S1129" s="25" t="str">
        <f>_xlfn.XLOOKUP(tbl_Ledger[[#This Row],[Account_Code]], tbl_Accounts[Account_Code], tbl_Accounts[PL_Bucket])</f>
        <v>Revenue</v>
      </c>
      <c r="T1129" s="25">
        <f t="shared" si="17"/>
        <v>46702.89</v>
      </c>
    </row>
    <row r="1130" spans="1:20">
      <c r="A1130" t="s">
        <v>3015</v>
      </c>
      <c r="B1130" s="7">
        <v>45911</v>
      </c>
      <c r="C1130" t="s">
        <v>126</v>
      </c>
      <c r="D1130" t="s">
        <v>88</v>
      </c>
      <c r="E1130" t="s">
        <v>136</v>
      </c>
      <c r="F1130" s="12" t="s">
        <v>29</v>
      </c>
      <c r="G1130" t="s">
        <v>30</v>
      </c>
      <c r="H1130" t="s">
        <v>3016</v>
      </c>
      <c r="I1130" t="s">
        <v>72</v>
      </c>
      <c r="J1130" s="6">
        <v>31.22</v>
      </c>
      <c r="K1130" t="s">
        <v>138</v>
      </c>
      <c r="L1130" t="s">
        <v>3012</v>
      </c>
      <c r="M1130" t="s">
        <v>3</v>
      </c>
      <c r="N1130" s="25" t="str">
        <f>TEXT(tbl_Ledger[[#This Row],[Date]],"yyyy-mm")</f>
        <v>2025-09</v>
      </c>
      <c r="O1130" s="25" t="str">
        <f>TEXT(tbl_Ledger[[#This Row],[Date]],"yyyy-mm") &amp; TRIM(tbl_Ledger[[#This Row],[Currency]])</f>
        <v>2025-09USD</v>
      </c>
      <c r="P1130" s="25">
        <f>_xlfn.XLOOKUP(tbl_Ledger[[#This Row],[Key]], tbl_FX[Key], tbl_FX[Rate_to_NGN])</f>
        <v>1611</v>
      </c>
      <c r="Q1130" s="37">
        <f>IF(tbl_Ledger[[#This Row],[Account_Type]]="Expense",-ABS(tbl_Ledger[[#This Row],[Amount]]*tbl_Ledger[[#This Row],[Rate_to_NGN]]),tbl_Ledger[[#This Row],[Amount]]*tbl_Ledger[[#This Row],[Rate_to_NGN]])</f>
        <v>50295.42</v>
      </c>
      <c r="R1130" s="25" t="str">
        <f>_xlfn.XLOOKUP(tbl_Ledger[[#This Row],[Account_Code]], tbl_Accounts[Account_Code], tbl_Accounts[Type])</f>
        <v>Revenue</v>
      </c>
      <c r="S1130" s="25" t="str">
        <f>_xlfn.XLOOKUP(tbl_Ledger[[#This Row],[Account_Code]], tbl_Accounts[Account_Code], tbl_Accounts[PL_Bucket])</f>
        <v>Revenue</v>
      </c>
      <c r="T1130" s="25">
        <f t="shared" si="17"/>
        <v>50295.42</v>
      </c>
    </row>
    <row r="1131" spans="1:20">
      <c r="A1131" t="s">
        <v>3017</v>
      </c>
      <c r="B1131" s="7">
        <v>45911</v>
      </c>
      <c r="C1131" t="s">
        <v>126</v>
      </c>
      <c r="D1131" t="s">
        <v>88</v>
      </c>
      <c r="E1131" t="s">
        <v>140</v>
      </c>
      <c r="F1131" s="12" t="s">
        <v>29</v>
      </c>
      <c r="G1131" t="s">
        <v>30</v>
      </c>
      <c r="H1131" t="s">
        <v>3018</v>
      </c>
      <c r="I1131" t="s">
        <v>71</v>
      </c>
      <c r="J1131" s="6">
        <v>59100</v>
      </c>
      <c r="K1131" t="s">
        <v>3</v>
      </c>
      <c r="L1131" t="s">
        <v>3019</v>
      </c>
      <c r="M1131" t="s">
        <v>3</v>
      </c>
      <c r="N1131" s="25" t="str">
        <f>TEXT(tbl_Ledger[[#This Row],[Date]],"yyyy-mm")</f>
        <v>2025-09</v>
      </c>
      <c r="O1131" s="25" t="str">
        <f>TEXT(tbl_Ledger[[#This Row],[Date]],"yyyy-mm") &amp; TRIM(tbl_Ledger[[#This Row],[Currency]])</f>
        <v>2025-09NGN</v>
      </c>
      <c r="P1131" s="25">
        <f>_xlfn.XLOOKUP(tbl_Ledger[[#This Row],[Key]], tbl_FX[Key], tbl_FX[Rate_to_NGN])</f>
        <v>1</v>
      </c>
      <c r="Q1131" s="37">
        <f>IF(tbl_Ledger[[#This Row],[Account_Type]]="Expense",-ABS(tbl_Ledger[[#This Row],[Amount]]*tbl_Ledger[[#This Row],[Rate_to_NGN]]),tbl_Ledger[[#This Row],[Amount]]*tbl_Ledger[[#This Row],[Rate_to_NGN]])</f>
        <v>59100</v>
      </c>
      <c r="R1131" s="25" t="str">
        <f>_xlfn.XLOOKUP(tbl_Ledger[[#This Row],[Account_Code]], tbl_Accounts[Account_Code], tbl_Accounts[Type])</f>
        <v>Revenue</v>
      </c>
      <c r="S1131" s="25" t="str">
        <f>_xlfn.XLOOKUP(tbl_Ledger[[#This Row],[Account_Code]], tbl_Accounts[Account_Code], tbl_Accounts[PL_Bucket])</f>
        <v>Revenue</v>
      </c>
      <c r="T1131" s="25">
        <f t="shared" si="17"/>
        <v>59100</v>
      </c>
    </row>
    <row r="1132" spans="1:20">
      <c r="A1132" t="s">
        <v>3020</v>
      </c>
      <c r="B1132" s="7">
        <v>45911</v>
      </c>
      <c r="C1132" t="s">
        <v>87</v>
      </c>
      <c r="D1132" t="s">
        <v>94</v>
      </c>
      <c r="E1132" t="s">
        <v>3</v>
      </c>
      <c r="F1132" s="12" t="s">
        <v>33</v>
      </c>
      <c r="G1132" t="s">
        <v>34</v>
      </c>
      <c r="H1132" t="s">
        <v>2691</v>
      </c>
      <c r="I1132" t="s">
        <v>71</v>
      </c>
      <c r="J1132" s="6">
        <v>-410000</v>
      </c>
      <c r="K1132" t="s">
        <v>316</v>
      </c>
      <c r="L1132" t="s">
        <v>3021</v>
      </c>
      <c r="M1132" t="s">
        <v>3</v>
      </c>
      <c r="N1132" s="25" t="str">
        <f>TEXT(tbl_Ledger[[#This Row],[Date]],"yyyy-mm")</f>
        <v>2025-09</v>
      </c>
      <c r="O1132" s="25" t="str">
        <f>TEXT(tbl_Ledger[[#This Row],[Date]],"yyyy-mm") &amp; TRIM(tbl_Ledger[[#This Row],[Currency]])</f>
        <v>2025-09NGN</v>
      </c>
      <c r="P1132" s="25">
        <f>_xlfn.XLOOKUP(tbl_Ledger[[#This Row],[Key]], tbl_FX[Key], tbl_FX[Rate_to_NGN])</f>
        <v>1</v>
      </c>
      <c r="Q1132" s="37">
        <f>IF(tbl_Ledger[[#This Row],[Account_Type]]="Expense",-ABS(tbl_Ledger[[#This Row],[Amount]]*tbl_Ledger[[#This Row],[Rate_to_NGN]]),tbl_Ledger[[#This Row],[Amount]]*tbl_Ledger[[#This Row],[Rate_to_NGN]])</f>
        <v>-410000</v>
      </c>
      <c r="R1132" s="25" t="str">
        <f>_xlfn.XLOOKUP(tbl_Ledger[[#This Row],[Account_Code]], tbl_Accounts[Account_Code], tbl_Accounts[Type])</f>
        <v>COGS</v>
      </c>
      <c r="S1132" s="25" t="str">
        <f>_xlfn.XLOOKUP(tbl_Ledger[[#This Row],[Account_Code]], tbl_Accounts[Account_Code], tbl_Accounts[PL_Bucket])</f>
        <v>COGS</v>
      </c>
      <c r="T1132" s="25">
        <f t="shared" si="17"/>
        <v>-410000</v>
      </c>
    </row>
    <row r="1133" spans="1:20">
      <c r="A1133" t="s">
        <v>3022</v>
      </c>
      <c r="B1133" s="7">
        <v>45911</v>
      </c>
      <c r="C1133" t="s">
        <v>87</v>
      </c>
      <c r="D1133" t="s">
        <v>94</v>
      </c>
      <c r="E1133" t="s">
        <v>3</v>
      </c>
      <c r="F1133" s="12" t="s">
        <v>38</v>
      </c>
      <c r="G1133" t="s">
        <v>39</v>
      </c>
      <c r="H1133" t="s">
        <v>2694</v>
      </c>
      <c r="I1133" t="s">
        <v>71</v>
      </c>
      <c r="J1133" s="6">
        <v>-164000</v>
      </c>
      <c r="K1133" t="s">
        <v>276</v>
      </c>
      <c r="L1133" t="s">
        <v>3023</v>
      </c>
      <c r="M1133" t="s">
        <v>3</v>
      </c>
      <c r="N1133" s="25" t="str">
        <f>TEXT(tbl_Ledger[[#This Row],[Date]],"yyyy-mm")</f>
        <v>2025-09</v>
      </c>
      <c r="O1133" s="25" t="str">
        <f>TEXT(tbl_Ledger[[#This Row],[Date]],"yyyy-mm") &amp; TRIM(tbl_Ledger[[#This Row],[Currency]])</f>
        <v>2025-09NGN</v>
      </c>
      <c r="P1133" s="25">
        <f>_xlfn.XLOOKUP(tbl_Ledger[[#This Row],[Key]], tbl_FX[Key], tbl_FX[Rate_to_NGN])</f>
        <v>1</v>
      </c>
      <c r="Q1133" s="37">
        <f>IF(tbl_Ledger[[#This Row],[Account_Type]]="Expense",-ABS(tbl_Ledger[[#This Row],[Amount]]*tbl_Ledger[[#This Row],[Rate_to_NGN]]),tbl_Ledger[[#This Row],[Amount]]*tbl_Ledger[[#This Row],[Rate_to_NGN]])</f>
        <v>-164000</v>
      </c>
      <c r="R1133" s="25" t="str">
        <f>_xlfn.XLOOKUP(tbl_Ledger[[#This Row],[Account_Code]], tbl_Accounts[Account_Code], tbl_Accounts[Type])</f>
        <v>COGS</v>
      </c>
      <c r="S1133" s="25" t="str">
        <f>_xlfn.XLOOKUP(tbl_Ledger[[#This Row],[Account_Code]], tbl_Accounts[Account_Code], tbl_Accounts[PL_Bucket])</f>
        <v>COGS</v>
      </c>
      <c r="T1133" s="25">
        <f t="shared" si="17"/>
        <v>-164000</v>
      </c>
    </row>
    <row r="1134" spans="1:20">
      <c r="A1134" t="s">
        <v>3024</v>
      </c>
      <c r="B1134" s="7">
        <v>45912</v>
      </c>
      <c r="C1134" t="s">
        <v>93</v>
      </c>
      <c r="D1134" t="s">
        <v>94</v>
      </c>
      <c r="E1134" t="s">
        <v>95</v>
      </c>
      <c r="F1134" s="12" t="s">
        <v>24</v>
      </c>
      <c r="G1134" t="s">
        <v>25</v>
      </c>
      <c r="H1134" t="s">
        <v>3025</v>
      </c>
      <c r="I1134" t="s">
        <v>71</v>
      </c>
      <c r="J1134" s="6">
        <v>33200</v>
      </c>
      <c r="K1134" t="s">
        <v>3</v>
      </c>
      <c r="L1134" t="s">
        <v>3026</v>
      </c>
      <c r="M1134" t="s">
        <v>3</v>
      </c>
      <c r="N1134" s="25" t="str">
        <f>TEXT(tbl_Ledger[[#This Row],[Date]],"yyyy-mm")</f>
        <v>2025-09</v>
      </c>
      <c r="O1134" s="25" t="str">
        <f>TEXT(tbl_Ledger[[#This Row],[Date]],"yyyy-mm") &amp; TRIM(tbl_Ledger[[#This Row],[Currency]])</f>
        <v>2025-09NGN</v>
      </c>
      <c r="P1134" s="25">
        <f>_xlfn.XLOOKUP(tbl_Ledger[[#This Row],[Key]], tbl_FX[Key], tbl_FX[Rate_to_NGN])</f>
        <v>1</v>
      </c>
      <c r="Q1134" s="37">
        <f>IF(tbl_Ledger[[#This Row],[Account_Type]]="Expense",-ABS(tbl_Ledger[[#This Row],[Amount]]*tbl_Ledger[[#This Row],[Rate_to_NGN]]),tbl_Ledger[[#This Row],[Amount]]*tbl_Ledger[[#This Row],[Rate_to_NGN]])</f>
        <v>33200</v>
      </c>
      <c r="R1134" s="25" t="str">
        <f>_xlfn.XLOOKUP(tbl_Ledger[[#This Row],[Account_Code]], tbl_Accounts[Account_Code], tbl_Accounts[Type])</f>
        <v>Revenue</v>
      </c>
      <c r="S1134" s="25" t="str">
        <f>_xlfn.XLOOKUP(tbl_Ledger[[#This Row],[Account_Code]], tbl_Accounts[Account_Code], tbl_Accounts[PL_Bucket])</f>
        <v>Revenue</v>
      </c>
      <c r="T1134" s="25">
        <f t="shared" si="17"/>
        <v>33200</v>
      </c>
    </row>
    <row r="1135" spans="1:20">
      <c r="A1135" t="s">
        <v>3027</v>
      </c>
      <c r="B1135" s="7">
        <v>45912</v>
      </c>
      <c r="C1135" t="s">
        <v>93</v>
      </c>
      <c r="D1135" t="s">
        <v>94</v>
      </c>
      <c r="E1135" t="s">
        <v>99</v>
      </c>
      <c r="F1135" s="12" t="s">
        <v>24</v>
      </c>
      <c r="G1135" t="s">
        <v>25</v>
      </c>
      <c r="H1135" t="s">
        <v>3028</v>
      </c>
      <c r="I1135" t="s">
        <v>71</v>
      </c>
      <c r="J1135" s="6">
        <v>29800</v>
      </c>
      <c r="K1135" t="s">
        <v>3</v>
      </c>
      <c r="L1135" t="s">
        <v>3029</v>
      </c>
      <c r="M1135" t="s">
        <v>3</v>
      </c>
      <c r="N1135" s="25" t="str">
        <f>TEXT(tbl_Ledger[[#This Row],[Date]],"yyyy-mm")</f>
        <v>2025-09</v>
      </c>
      <c r="O1135" s="25" t="str">
        <f>TEXT(tbl_Ledger[[#This Row],[Date]],"yyyy-mm") &amp; TRIM(tbl_Ledger[[#This Row],[Currency]])</f>
        <v>2025-09NGN</v>
      </c>
      <c r="P1135" s="25">
        <f>_xlfn.XLOOKUP(tbl_Ledger[[#This Row],[Key]], tbl_FX[Key], tbl_FX[Rate_to_NGN])</f>
        <v>1</v>
      </c>
      <c r="Q1135" s="37">
        <f>IF(tbl_Ledger[[#This Row],[Account_Type]]="Expense",-ABS(tbl_Ledger[[#This Row],[Amount]]*tbl_Ledger[[#This Row],[Rate_to_NGN]]),tbl_Ledger[[#This Row],[Amount]]*tbl_Ledger[[#This Row],[Rate_to_NGN]])</f>
        <v>29800</v>
      </c>
      <c r="R1135" s="25" t="str">
        <f>_xlfn.XLOOKUP(tbl_Ledger[[#This Row],[Account_Code]], tbl_Accounts[Account_Code], tbl_Accounts[Type])</f>
        <v>Revenue</v>
      </c>
      <c r="S1135" s="25" t="str">
        <f>_xlfn.XLOOKUP(tbl_Ledger[[#This Row],[Account_Code]], tbl_Accounts[Account_Code], tbl_Accounts[PL_Bucket])</f>
        <v>Revenue</v>
      </c>
      <c r="T1135" s="25">
        <f t="shared" si="17"/>
        <v>29800</v>
      </c>
    </row>
    <row r="1136" spans="1:20">
      <c r="A1136" t="s">
        <v>3030</v>
      </c>
      <c r="B1136" s="7">
        <v>45912</v>
      </c>
      <c r="C1136" t="s">
        <v>93</v>
      </c>
      <c r="D1136" t="s">
        <v>94</v>
      </c>
      <c r="E1136" t="s">
        <v>103</v>
      </c>
      <c r="F1136" s="12" t="s">
        <v>24</v>
      </c>
      <c r="G1136" t="s">
        <v>25</v>
      </c>
      <c r="H1136" t="s">
        <v>3031</v>
      </c>
      <c r="I1136" t="s">
        <v>71</v>
      </c>
      <c r="J1136" s="6">
        <v>29900</v>
      </c>
      <c r="K1136" t="s">
        <v>3</v>
      </c>
      <c r="L1136" t="s">
        <v>3032</v>
      </c>
      <c r="M1136" t="s">
        <v>3</v>
      </c>
      <c r="N1136" s="25" t="str">
        <f>TEXT(tbl_Ledger[[#This Row],[Date]],"yyyy-mm")</f>
        <v>2025-09</v>
      </c>
      <c r="O1136" s="25" t="str">
        <f>TEXT(tbl_Ledger[[#This Row],[Date]],"yyyy-mm") &amp; TRIM(tbl_Ledger[[#This Row],[Currency]])</f>
        <v>2025-09NGN</v>
      </c>
      <c r="P1136" s="25">
        <f>_xlfn.XLOOKUP(tbl_Ledger[[#This Row],[Key]], tbl_FX[Key], tbl_FX[Rate_to_NGN])</f>
        <v>1</v>
      </c>
      <c r="Q1136" s="37">
        <f>IF(tbl_Ledger[[#This Row],[Account_Type]]="Expense",-ABS(tbl_Ledger[[#This Row],[Amount]]*tbl_Ledger[[#This Row],[Rate_to_NGN]]),tbl_Ledger[[#This Row],[Amount]]*tbl_Ledger[[#This Row],[Rate_to_NGN]])</f>
        <v>29900</v>
      </c>
      <c r="R1136" s="25" t="str">
        <f>_xlfn.XLOOKUP(tbl_Ledger[[#This Row],[Account_Code]], tbl_Accounts[Account_Code], tbl_Accounts[Type])</f>
        <v>Revenue</v>
      </c>
      <c r="S1136" s="25" t="str">
        <f>_xlfn.XLOOKUP(tbl_Ledger[[#This Row],[Account_Code]], tbl_Accounts[Account_Code], tbl_Accounts[PL_Bucket])</f>
        <v>Revenue</v>
      </c>
      <c r="T1136" s="25">
        <f t="shared" si="17"/>
        <v>29900</v>
      </c>
    </row>
    <row r="1137" spans="1:20">
      <c r="A1137" t="s">
        <v>3033</v>
      </c>
      <c r="B1137" s="7">
        <v>45912</v>
      </c>
      <c r="C1137" t="s">
        <v>93</v>
      </c>
      <c r="D1137" t="s">
        <v>94</v>
      </c>
      <c r="E1137" t="s">
        <v>160</v>
      </c>
      <c r="F1137" s="12" t="s">
        <v>24</v>
      </c>
      <c r="G1137" t="s">
        <v>25</v>
      </c>
      <c r="H1137" t="s">
        <v>3034</v>
      </c>
      <c r="I1137" t="s">
        <v>71</v>
      </c>
      <c r="J1137" s="6">
        <v>30000</v>
      </c>
      <c r="K1137" t="s">
        <v>3</v>
      </c>
      <c r="L1137" t="s">
        <v>3032</v>
      </c>
      <c r="M1137" t="s">
        <v>3</v>
      </c>
      <c r="N1137" s="25" t="str">
        <f>TEXT(tbl_Ledger[[#This Row],[Date]],"yyyy-mm")</f>
        <v>2025-09</v>
      </c>
      <c r="O1137" s="25" t="str">
        <f>TEXT(tbl_Ledger[[#This Row],[Date]],"yyyy-mm") &amp; TRIM(tbl_Ledger[[#This Row],[Currency]])</f>
        <v>2025-09NGN</v>
      </c>
      <c r="P1137" s="25">
        <f>_xlfn.XLOOKUP(tbl_Ledger[[#This Row],[Key]], tbl_FX[Key], tbl_FX[Rate_to_NGN])</f>
        <v>1</v>
      </c>
      <c r="Q1137" s="37">
        <f>IF(tbl_Ledger[[#This Row],[Account_Type]]="Expense",-ABS(tbl_Ledger[[#This Row],[Amount]]*tbl_Ledger[[#This Row],[Rate_to_NGN]]),tbl_Ledger[[#This Row],[Amount]]*tbl_Ledger[[#This Row],[Rate_to_NGN]])</f>
        <v>30000</v>
      </c>
      <c r="R1137" s="25" t="str">
        <f>_xlfn.XLOOKUP(tbl_Ledger[[#This Row],[Account_Code]], tbl_Accounts[Account_Code], tbl_Accounts[Type])</f>
        <v>Revenue</v>
      </c>
      <c r="S1137" s="25" t="str">
        <f>_xlfn.XLOOKUP(tbl_Ledger[[#This Row],[Account_Code]], tbl_Accounts[Account_Code], tbl_Accounts[PL_Bucket])</f>
        <v>Revenue</v>
      </c>
      <c r="T1137" s="25">
        <f t="shared" si="17"/>
        <v>30000</v>
      </c>
    </row>
    <row r="1138" spans="1:20">
      <c r="A1138" t="s">
        <v>3035</v>
      </c>
      <c r="B1138" s="7">
        <v>45912</v>
      </c>
      <c r="C1138" t="s">
        <v>93</v>
      </c>
      <c r="D1138" t="s">
        <v>94</v>
      </c>
      <c r="E1138" t="s">
        <v>107</v>
      </c>
      <c r="F1138" s="12" t="s">
        <v>24</v>
      </c>
      <c r="G1138" t="s">
        <v>25</v>
      </c>
      <c r="H1138" t="s">
        <v>3036</v>
      </c>
      <c r="I1138" t="s">
        <v>71</v>
      </c>
      <c r="J1138" s="6">
        <v>33500</v>
      </c>
      <c r="K1138" t="s">
        <v>3</v>
      </c>
      <c r="L1138" t="s">
        <v>3037</v>
      </c>
      <c r="M1138" t="s">
        <v>3</v>
      </c>
      <c r="N1138" s="25" t="str">
        <f>TEXT(tbl_Ledger[[#This Row],[Date]],"yyyy-mm")</f>
        <v>2025-09</v>
      </c>
      <c r="O1138" s="25" t="str">
        <f>TEXT(tbl_Ledger[[#This Row],[Date]],"yyyy-mm") &amp; TRIM(tbl_Ledger[[#This Row],[Currency]])</f>
        <v>2025-09NGN</v>
      </c>
      <c r="P1138" s="25">
        <f>_xlfn.XLOOKUP(tbl_Ledger[[#This Row],[Key]], tbl_FX[Key], tbl_FX[Rate_to_NGN])</f>
        <v>1</v>
      </c>
      <c r="Q1138" s="37">
        <f>IF(tbl_Ledger[[#This Row],[Account_Type]]="Expense",-ABS(tbl_Ledger[[#This Row],[Amount]]*tbl_Ledger[[#This Row],[Rate_to_NGN]]),tbl_Ledger[[#This Row],[Amount]]*tbl_Ledger[[#This Row],[Rate_to_NGN]])</f>
        <v>33500</v>
      </c>
      <c r="R1138" s="25" t="str">
        <f>_xlfn.XLOOKUP(tbl_Ledger[[#This Row],[Account_Code]], tbl_Accounts[Account_Code], tbl_Accounts[Type])</f>
        <v>Revenue</v>
      </c>
      <c r="S1138" s="25" t="str">
        <f>_xlfn.XLOOKUP(tbl_Ledger[[#This Row],[Account_Code]], tbl_Accounts[Account_Code], tbl_Accounts[PL_Bucket])</f>
        <v>Revenue</v>
      </c>
      <c r="T1138" s="25">
        <f t="shared" si="17"/>
        <v>33500</v>
      </c>
    </row>
    <row r="1139" spans="1:20">
      <c r="A1139" t="s">
        <v>3038</v>
      </c>
      <c r="B1139" s="7">
        <v>45912</v>
      </c>
      <c r="C1139" t="s">
        <v>93</v>
      </c>
      <c r="D1139" t="s">
        <v>111</v>
      </c>
      <c r="E1139" t="s">
        <v>112</v>
      </c>
      <c r="F1139" s="12" t="s">
        <v>24</v>
      </c>
      <c r="G1139" t="s">
        <v>25</v>
      </c>
      <c r="H1139" t="s">
        <v>3039</v>
      </c>
      <c r="I1139" t="s">
        <v>71</v>
      </c>
      <c r="J1139" s="6">
        <v>50200</v>
      </c>
      <c r="K1139" t="s">
        <v>3</v>
      </c>
      <c r="L1139" t="s">
        <v>3040</v>
      </c>
      <c r="M1139" t="s">
        <v>3</v>
      </c>
      <c r="N1139" s="25" t="str">
        <f>TEXT(tbl_Ledger[[#This Row],[Date]],"yyyy-mm")</f>
        <v>2025-09</v>
      </c>
      <c r="O1139" s="25" t="str">
        <f>TEXT(tbl_Ledger[[#This Row],[Date]],"yyyy-mm") &amp; TRIM(tbl_Ledger[[#This Row],[Currency]])</f>
        <v>2025-09NGN</v>
      </c>
      <c r="P1139" s="25">
        <f>_xlfn.XLOOKUP(tbl_Ledger[[#This Row],[Key]], tbl_FX[Key], tbl_FX[Rate_to_NGN])</f>
        <v>1</v>
      </c>
      <c r="Q1139" s="37">
        <f>IF(tbl_Ledger[[#This Row],[Account_Type]]="Expense",-ABS(tbl_Ledger[[#This Row],[Amount]]*tbl_Ledger[[#This Row],[Rate_to_NGN]]),tbl_Ledger[[#This Row],[Amount]]*tbl_Ledger[[#This Row],[Rate_to_NGN]])</f>
        <v>50200</v>
      </c>
      <c r="R1139" s="25" t="str">
        <f>_xlfn.XLOOKUP(tbl_Ledger[[#This Row],[Account_Code]], tbl_Accounts[Account_Code], tbl_Accounts[Type])</f>
        <v>Revenue</v>
      </c>
      <c r="S1139" s="25" t="str">
        <f>_xlfn.XLOOKUP(tbl_Ledger[[#This Row],[Account_Code]], tbl_Accounts[Account_Code], tbl_Accounts[PL_Bucket])</f>
        <v>Revenue</v>
      </c>
      <c r="T1139" s="25">
        <f t="shared" si="17"/>
        <v>50200</v>
      </c>
    </row>
    <row r="1140" spans="1:20">
      <c r="A1140" t="s">
        <v>3041</v>
      </c>
      <c r="B1140" s="7">
        <v>45912</v>
      </c>
      <c r="C1140" t="s">
        <v>93</v>
      </c>
      <c r="D1140" t="s">
        <v>111</v>
      </c>
      <c r="E1140" t="s">
        <v>116</v>
      </c>
      <c r="F1140" s="12" t="s">
        <v>24</v>
      </c>
      <c r="G1140" t="s">
        <v>25</v>
      </c>
      <c r="H1140" t="s">
        <v>3042</v>
      </c>
      <c r="I1140" t="s">
        <v>71</v>
      </c>
      <c r="J1140" s="6">
        <v>49100</v>
      </c>
      <c r="K1140" t="s">
        <v>3</v>
      </c>
      <c r="L1140" t="s">
        <v>3040</v>
      </c>
      <c r="M1140" t="s">
        <v>3</v>
      </c>
      <c r="N1140" s="25" t="str">
        <f>TEXT(tbl_Ledger[[#This Row],[Date]],"yyyy-mm")</f>
        <v>2025-09</v>
      </c>
      <c r="O1140" s="25" t="str">
        <f>TEXT(tbl_Ledger[[#This Row],[Date]],"yyyy-mm") &amp; TRIM(tbl_Ledger[[#This Row],[Currency]])</f>
        <v>2025-09NGN</v>
      </c>
      <c r="P1140" s="25">
        <f>_xlfn.XLOOKUP(tbl_Ledger[[#This Row],[Key]], tbl_FX[Key], tbl_FX[Rate_to_NGN])</f>
        <v>1</v>
      </c>
      <c r="Q1140" s="37">
        <f>IF(tbl_Ledger[[#This Row],[Account_Type]]="Expense",-ABS(tbl_Ledger[[#This Row],[Amount]]*tbl_Ledger[[#This Row],[Rate_to_NGN]]),tbl_Ledger[[#This Row],[Amount]]*tbl_Ledger[[#This Row],[Rate_to_NGN]])</f>
        <v>49100</v>
      </c>
      <c r="R1140" s="25" t="str">
        <f>_xlfn.XLOOKUP(tbl_Ledger[[#This Row],[Account_Code]], tbl_Accounts[Account_Code], tbl_Accounts[Type])</f>
        <v>Revenue</v>
      </c>
      <c r="S1140" s="25" t="str">
        <f>_xlfn.XLOOKUP(tbl_Ledger[[#This Row],[Account_Code]], tbl_Accounts[Account_Code], tbl_Accounts[PL_Bucket])</f>
        <v>Revenue</v>
      </c>
      <c r="T1140" s="25">
        <f t="shared" si="17"/>
        <v>49100</v>
      </c>
    </row>
    <row r="1141" spans="1:20">
      <c r="A1141" t="s">
        <v>3043</v>
      </c>
      <c r="B1141" s="7">
        <v>45912</v>
      </c>
      <c r="C1141" t="s">
        <v>93</v>
      </c>
      <c r="D1141" t="s">
        <v>111</v>
      </c>
      <c r="E1141" t="s">
        <v>119</v>
      </c>
      <c r="F1141" s="12" t="s">
        <v>24</v>
      </c>
      <c r="G1141" t="s">
        <v>25</v>
      </c>
      <c r="H1141" t="s">
        <v>3044</v>
      </c>
      <c r="I1141" t="s">
        <v>71</v>
      </c>
      <c r="J1141" s="6">
        <v>50000</v>
      </c>
      <c r="K1141" t="s">
        <v>3</v>
      </c>
      <c r="L1141" t="s">
        <v>3040</v>
      </c>
      <c r="M1141" t="s">
        <v>3</v>
      </c>
      <c r="N1141" s="25" t="str">
        <f>TEXT(tbl_Ledger[[#This Row],[Date]],"yyyy-mm")</f>
        <v>2025-09</v>
      </c>
      <c r="O1141" s="25" t="str">
        <f>TEXT(tbl_Ledger[[#This Row],[Date]],"yyyy-mm") &amp; TRIM(tbl_Ledger[[#This Row],[Currency]])</f>
        <v>2025-09NGN</v>
      </c>
      <c r="P1141" s="25">
        <f>_xlfn.XLOOKUP(tbl_Ledger[[#This Row],[Key]], tbl_FX[Key], tbl_FX[Rate_to_NGN])</f>
        <v>1</v>
      </c>
      <c r="Q1141" s="37">
        <f>IF(tbl_Ledger[[#This Row],[Account_Type]]="Expense",-ABS(tbl_Ledger[[#This Row],[Amount]]*tbl_Ledger[[#This Row],[Rate_to_NGN]]),tbl_Ledger[[#This Row],[Amount]]*tbl_Ledger[[#This Row],[Rate_to_NGN]])</f>
        <v>50000</v>
      </c>
      <c r="R1141" s="25" t="str">
        <f>_xlfn.XLOOKUP(tbl_Ledger[[#This Row],[Account_Code]], tbl_Accounts[Account_Code], tbl_Accounts[Type])</f>
        <v>Revenue</v>
      </c>
      <c r="S1141" s="25" t="str">
        <f>_xlfn.XLOOKUP(tbl_Ledger[[#This Row],[Account_Code]], tbl_Accounts[Account_Code], tbl_Accounts[PL_Bucket])</f>
        <v>Revenue</v>
      </c>
      <c r="T1141" s="25">
        <f t="shared" si="17"/>
        <v>50000</v>
      </c>
    </row>
    <row r="1142" spans="1:20">
      <c r="A1142" t="s">
        <v>3045</v>
      </c>
      <c r="B1142" s="7">
        <v>45912</v>
      </c>
      <c r="C1142" t="s">
        <v>93</v>
      </c>
      <c r="D1142" t="s">
        <v>111</v>
      </c>
      <c r="E1142" t="s">
        <v>170</v>
      </c>
      <c r="F1142" s="12" t="s">
        <v>24</v>
      </c>
      <c r="G1142" t="s">
        <v>25</v>
      </c>
      <c r="H1142" t="s">
        <v>3046</v>
      </c>
      <c r="I1142" t="s">
        <v>71</v>
      </c>
      <c r="J1142" s="6">
        <v>49900</v>
      </c>
      <c r="K1142" t="s">
        <v>3</v>
      </c>
      <c r="L1142" t="s">
        <v>3040</v>
      </c>
      <c r="M1142" t="s">
        <v>3</v>
      </c>
      <c r="N1142" s="25" t="str">
        <f>TEXT(tbl_Ledger[[#This Row],[Date]],"yyyy-mm")</f>
        <v>2025-09</v>
      </c>
      <c r="O1142" s="25" t="str">
        <f>TEXT(tbl_Ledger[[#This Row],[Date]],"yyyy-mm") &amp; TRIM(tbl_Ledger[[#This Row],[Currency]])</f>
        <v>2025-09NGN</v>
      </c>
      <c r="P1142" s="25">
        <f>_xlfn.XLOOKUP(tbl_Ledger[[#This Row],[Key]], tbl_FX[Key], tbl_FX[Rate_to_NGN])</f>
        <v>1</v>
      </c>
      <c r="Q1142" s="37">
        <f>IF(tbl_Ledger[[#This Row],[Account_Type]]="Expense",-ABS(tbl_Ledger[[#This Row],[Amount]]*tbl_Ledger[[#This Row],[Rate_to_NGN]]),tbl_Ledger[[#This Row],[Amount]]*tbl_Ledger[[#This Row],[Rate_to_NGN]])</f>
        <v>49900</v>
      </c>
      <c r="R1142" s="25" t="str">
        <f>_xlfn.XLOOKUP(tbl_Ledger[[#This Row],[Account_Code]], tbl_Accounts[Account_Code], tbl_Accounts[Type])</f>
        <v>Revenue</v>
      </c>
      <c r="S1142" s="25" t="str">
        <f>_xlfn.XLOOKUP(tbl_Ledger[[#This Row],[Account_Code]], tbl_Accounts[Account_Code], tbl_Accounts[PL_Bucket])</f>
        <v>Revenue</v>
      </c>
      <c r="T1142" s="25">
        <f t="shared" si="17"/>
        <v>49900</v>
      </c>
    </row>
    <row r="1143" spans="1:20">
      <c r="A1143" t="s">
        <v>3047</v>
      </c>
      <c r="B1143" s="7">
        <v>45912</v>
      </c>
      <c r="C1143" t="s">
        <v>93</v>
      </c>
      <c r="D1143" t="s">
        <v>111</v>
      </c>
      <c r="E1143" t="s">
        <v>122</v>
      </c>
      <c r="F1143" s="12" t="s">
        <v>24</v>
      </c>
      <c r="G1143" t="s">
        <v>25</v>
      </c>
      <c r="H1143" t="s">
        <v>3048</v>
      </c>
      <c r="I1143" t="s">
        <v>71</v>
      </c>
      <c r="J1143" s="6">
        <v>49100</v>
      </c>
      <c r="K1143" t="s">
        <v>3</v>
      </c>
      <c r="L1143" t="s">
        <v>3049</v>
      </c>
      <c r="M1143" t="s">
        <v>3</v>
      </c>
      <c r="N1143" s="25" t="str">
        <f>TEXT(tbl_Ledger[[#This Row],[Date]],"yyyy-mm")</f>
        <v>2025-09</v>
      </c>
      <c r="O1143" s="25" t="str">
        <f>TEXT(tbl_Ledger[[#This Row],[Date]],"yyyy-mm") &amp; TRIM(tbl_Ledger[[#This Row],[Currency]])</f>
        <v>2025-09NGN</v>
      </c>
      <c r="P1143" s="25">
        <f>_xlfn.XLOOKUP(tbl_Ledger[[#This Row],[Key]], tbl_FX[Key], tbl_FX[Rate_to_NGN])</f>
        <v>1</v>
      </c>
      <c r="Q1143" s="37">
        <f>IF(tbl_Ledger[[#This Row],[Account_Type]]="Expense",-ABS(tbl_Ledger[[#This Row],[Amount]]*tbl_Ledger[[#This Row],[Rate_to_NGN]]),tbl_Ledger[[#This Row],[Amount]]*tbl_Ledger[[#This Row],[Rate_to_NGN]])</f>
        <v>49100</v>
      </c>
      <c r="R1143" s="25" t="str">
        <f>_xlfn.XLOOKUP(tbl_Ledger[[#This Row],[Account_Code]], tbl_Accounts[Account_Code], tbl_Accounts[Type])</f>
        <v>Revenue</v>
      </c>
      <c r="S1143" s="25" t="str">
        <f>_xlfn.XLOOKUP(tbl_Ledger[[#This Row],[Account_Code]], tbl_Accounts[Account_Code], tbl_Accounts[PL_Bucket])</f>
        <v>Revenue</v>
      </c>
      <c r="T1143" s="25">
        <f t="shared" si="17"/>
        <v>49100</v>
      </c>
    </row>
    <row r="1144" spans="1:20">
      <c r="A1144" t="s">
        <v>3050</v>
      </c>
      <c r="B1144" s="7">
        <v>45912</v>
      </c>
      <c r="C1144" t="s">
        <v>126</v>
      </c>
      <c r="D1144" t="s">
        <v>88</v>
      </c>
      <c r="E1144" t="s">
        <v>127</v>
      </c>
      <c r="F1144" s="12" t="s">
        <v>29</v>
      </c>
      <c r="G1144" t="s">
        <v>30</v>
      </c>
      <c r="H1144" t="s">
        <v>3051</v>
      </c>
      <c r="I1144" t="s">
        <v>72</v>
      </c>
      <c r="J1144" s="6">
        <v>35.57</v>
      </c>
      <c r="K1144" t="s">
        <v>129</v>
      </c>
      <c r="L1144" t="s">
        <v>3052</v>
      </c>
      <c r="M1144" t="s">
        <v>3</v>
      </c>
      <c r="N1144" s="25" t="str">
        <f>TEXT(tbl_Ledger[[#This Row],[Date]],"yyyy-mm")</f>
        <v>2025-09</v>
      </c>
      <c r="O1144" s="25" t="str">
        <f>TEXT(tbl_Ledger[[#This Row],[Date]],"yyyy-mm") &amp; TRIM(tbl_Ledger[[#This Row],[Currency]])</f>
        <v>2025-09USD</v>
      </c>
      <c r="P1144" s="25">
        <f>_xlfn.XLOOKUP(tbl_Ledger[[#This Row],[Key]], tbl_FX[Key], tbl_FX[Rate_to_NGN])</f>
        <v>1611</v>
      </c>
      <c r="Q1144" s="37">
        <f>IF(tbl_Ledger[[#This Row],[Account_Type]]="Expense",-ABS(tbl_Ledger[[#This Row],[Amount]]*tbl_Ledger[[#This Row],[Rate_to_NGN]]),tbl_Ledger[[#This Row],[Amount]]*tbl_Ledger[[#This Row],[Rate_to_NGN]])</f>
        <v>57303.270000000004</v>
      </c>
      <c r="R1144" s="25" t="str">
        <f>_xlfn.XLOOKUP(tbl_Ledger[[#This Row],[Account_Code]], tbl_Accounts[Account_Code], tbl_Accounts[Type])</f>
        <v>Revenue</v>
      </c>
      <c r="S1144" s="25" t="str">
        <f>_xlfn.XLOOKUP(tbl_Ledger[[#This Row],[Account_Code]], tbl_Accounts[Account_Code], tbl_Accounts[PL_Bucket])</f>
        <v>Revenue</v>
      </c>
      <c r="T1144" s="25">
        <f t="shared" si="17"/>
        <v>57303.270000000004</v>
      </c>
    </row>
    <row r="1145" spans="1:20">
      <c r="A1145" t="s">
        <v>3053</v>
      </c>
      <c r="B1145" s="7">
        <v>45912</v>
      </c>
      <c r="C1145" t="s">
        <v>126</v>
      </c>
      <c r="D1145" t="s">
        <v>88</v>
      </c>
      <c r="E1145" t="s">
        <v>132</v>
      </c>
      <c r="F1145" s="12" t="s">
        <v>29</v>
      </c>
      <c r="G1145" t="s">
        <v>30</v>
      </c>
      <c r="H1145" t="s">
        <v>3054</v>
      </c>
      <c r="I1145" t="s">
        <v>71</v>
      </c>
      <c r="J1145" s="6">
        <v>56500</v>
      </c>
      <c r="K1145" t="s">
        <v>134</v>
      </c>
      <c r="L1145" t="s">
        <v>3052</v>
      </c>
      <c r="M1145" t="s">
        <v>3</v>
      </c>
      <c r="N1145" s="25" t="str">
        <f>TEXT(tbl_Ledger[[#This Row],[Date]],"yyyy-mm")</f>
        <v>2025-09</v>
      </c>
      <c r="O1145" s="25" t="str">
        <f>TEXT(tbl_Ledger[[#This Row],[Date]],"yyyy-mm") &amp; TRIM(tbl_Ledger[[#This Row],[Currency]])</f>
        <v>2025-09NGN</v>
      </c>
      <c r="P1145" s="25">
        <f>_xlfn.XLOOKUP(tbl_Ledger[[#This Row],[Key]], tbl_FX[Key], tbl_FX[Rate_to_NGN])</f>
        <v>1</v>
      </c>
      <c r="Q1145" s="37">
        <f>IF(tbl_Ledger[[#This Row],[Account_Type]]="Expense",-ABS(tbl_Ledger[[#This Row],[Amount]]*tbl_Ledger[[#This Row],[Rate_to_NGN]]),tbl_Ledger[[#This Row],[Amount]]*tbl_Ledger[[#This Row],[Rate_to_NGN]])</f>
        <v>56500</v>
      </c>
      <c r="R1145" s="25" t="str">
        <f>_xlfn.XLOOKUP(tbl_Ledger[[#This Row],[Account_Code]], tbl_Accounts[Account_Code], tbl_Accounts[Type])</f>
        <v>Revenue</v>
      </c>
      <c r="S1145" s="25" t="str">
        <f>_xlfn.XLOOKUP(tbl_Ledger[[#This Row],[Account_Code]], tbl_Accounts[Account_Code], tbl_Accounts[PL_Bucket])</f>
        <v>Revenue</v>
      </c>
      <c r="T1145" s="25">
        <f t="shared" si="17"/>
        <v>56500</v>
      </c>
    </row>
    <row r="1146" spans="1:20">
      <c r="A1146" t="s">
        <v>3055</v>
      </c>
      <c r="B1146" s="7">
        <v>45912</v>
      </c>
      <c r="C1146" t="s">
        <v>126</v>
      </c>
      <c r="D1146" t="s">
        <v>88</v>
      </c>
      <c r="E1146" t="s">
        <v>136</v>
      </c>
      <c r="F1146" s="12" t="s">
        <v>29</v>
      </c>
      <c r="G1146" t="s">
        <v>30</v>
      </c>
      <c r="H1146" t="s">
        <v>3056</v>
      </c>
      <c r="I1146" t="s">
        <v>71</v>
      </c>
      <c r="J1146" s="6">
        <v>58700</v>
      </c>
      <c r="K1146" t="s">
        <v>138</v>
      </c>
      <c r="L1146" t="s">
        <v>3052</v>
      </c>
      <c r="M1146" t="s">
        <v>3</v>
      </c>
      <c r="N1146" s="25" t="str">
        <f>TEXT(tbl_Ledger[[#This Row],[Date]],"yyyy-mm")</f>
        <v>2025-09</v>
      </c>
      <c r="O1146" s="25" t="str">
        <f>TEXT(tbl_Ledger[[#This Row],[Date]],"yyyy-mm") &amp; TRIM(tbl_Ledger[[#This Row],[Currency]])</f>
        <v>2025-09NGN</v>
      </c>
      <c r="P1146" s="25">
        <f>_xlfn.XLOOKUP(tbl_Ledger[[#This Row],[Key]], tbl_FX[Key], tbl_FX[Rate_to_NGN])</f>
        <v>1</v>
      </c>
      <c r="Q1146" s="37">
        <f>IF(tbl_Ledger[[#This Row],[Account_Type]]="Expense",-ABS(tbl_Ledger[[#This Row],[Amount]]*tbl_Ledger[[#This Row],[Rate_to_NGN]]),tbl_Ledger[[#This Row],[Amount]]*tbl_Ledger[[#This Row],[Rate_to_NGN]])</f>
        <v>58700</v>
      </c>
      <c r="R1146" s="25" t="str">
        <f>_xlfn.XLOOKUP(tbl_Ledger[[#This Row],[Account_Code]], tbl_Accounts[Account_Code], tbl_Accounts[Type])</f>
        <v>Revenue</v>
      </c>
      <c r="S1146" s="25" t="str">
        <f>_xlfn.XLOOKUP(tbl_Ledger[[#This Row],[Account_Code]], tbl_Accounts[Account_Code], tbl_Accounts[PL_Bucket])</f>
        <v>Revenue</v>
      </c>
      <c r="T1146" s="25">
        <f t="shared" si="17"/>
        <v>58700</v>
      </c>
    </row>
    <row r="1147" spans="1:20">
      <c r="A1147" t="s">
        <v>3057</v>
      </c>
      <c r="B1147" s="7">
        <v>45912</v>
      </c>
      <c r="C1147" t="s">
        <v>126</v>
      </c>
      <c r="D1147" t="s">
        <v>88</v>
      </c>
      <c r="E1147" t="s">
        <v>140</v>
      </c>
      <c r="F1147" s="12" t="s">
        <v>29</v>
      </c>
      <c r="G1147" t="s">
        <v>30</v>
      </c>
      <c r="H1147" t="s">
        <v>3058</v>
      </c>
      <c r="I1147" t="s">
        <v>71</v>
      </c>
      <c r="J1147" s="6">
        <v>47400</v>
      </c>
      <c r="K1147" t="s">
        <v>3</v>
      </c>
      <c r="L1147" t="s">
        <v>3059</v>
      </c>
      <c r="M1147" t="s">
        <v>3</v>
      </c>
      <c r="N1147" s="25" t="str">
        <f>TEXT(tbl_Ledger[[#This Row],[Date]],"yyyy-mm")</f>
        <v>2025-09</v>
      </c>
      <c r="O1147" s="25" t="str">
        <f>TEXT(tbl_Ledger[[#This Row],[Date]],"yyyy-mm") &amp; TRIM(tbl_Ledger[[#This Row],[Currency]])</f>
        <v>2025-09NGN</v>
      </c>
      <c r="P1147" s="25">
        <f>_xlfn.XLOOKUP(tbl_Ledger[[#This Row],[Key]], tbl_FX[Key], tbl_FX[Rate_to_NGN])</f>
        <v>1</v>
      </c>
      <c r="Q1147" s="37">
        <f>IF(tbl_Ledger[[#This Row],[Account_Type]]="Expense",-ABS(tbl_Ledger[[#This Row],[Amount]]*tbl_Ledger[[#This Row],[Rate_to_NGN]]),tbl_Ledger[[#This Row],[Amount]]*tbl_Ledger[[#This Row],[Rate_to_NGN]])</f>
        <v>47400</v>
      </c>
      <c r="R1147" s="25" t="str">
        <f>_xlfn.XLOOKUP(tbl_Ledger[[#This Row],[Account_Code]], tbl_Accounts[Account_Code], tbl_Accounts[Type])</f>
        <v>Revenue</v>
      </c>
      <c r="S1147" s="25" t="str">
        <f>_xlfn.XLOOKUP(tbl_Ledger[[#This Row],[Account_Code]], tbl_Accounts[Account_Code], tbl_Accounts[PL_Bucket])</f>
        <v>Revenue</v>
      </c>
      <c r="T1147" s="25">
        <f t="shared" si="17"/>
        <v>47400</v>
      </c>
    </row>
    <row r="1148" spans="1:20">
      <c r="A1148" t="s">
        <v>3060</v>
      </c>
      <c r="B1148" s="7">
        <v>45912</v>
      </c>
      <c r="C1148" t="s">
        <v>93</v>
      </c>
      <c r="D1148" t="s">
        <v>94</v>
      </c>
      <c r="E1148" t="s">
        <v>95</v>
      </c>
      <c r="F1148" s="12" t="s">
        <v>31</v>
      </c>
      <c r="G1148" t="s">
        <v>32</v>
      </c>
      <c r="H1148" t="s">
        <v>3061</v>
      </c>
      <c r="I1148" t="s">
        <v>71</v>
      </c>
      <c r="J1148" s="6">
        <v>-87494</v>
      </c>
      <c r="K1148" t="s">
        <v>3</v>
      </c>
      <c r="L1148" t="s">
        <v>3062</v>
      </c>
      <c r="M1148" t="s">
        <v>3</v>
      </c>
      <c r="N1148" s="25" t="str">
        <f>TEXT(tbl_Ledger[[#This Row],[Date]],"yyyy-mm")</f>
        <v>2025-09</v>
      </c>
      <c r="O1148" s="25" t="str">
        <f>TEXT(tbl_Ledger[[#This Row],[Date]],"yyyy-mm") &amp; TRIM(tbl_Ledger[[#This Row],[Currency]])</f>
        <v>2025-09NGN</v>
      </c>
      <c r="P1148" s="25">
        <f>_xlfn.XLOOKUP(tbl_Ledger[[#This Row],[Key]], tbl_FX[Key], tbl_FX[Rate_to_NGN])</f>
        <v>1</v>
      </c>
      <c r="Q1148" s="37">
        <f>IF(tbl_Ledger[[#This Row],[Account_Type]]="Expense",-ABS(tbl_Ledger[[#This Row],[Amount]]*tbl_Ledger[[#This Row],[Rate_to_NGN]]),tbl_Ledger[[#This Row],[Amount]]*tbl_Ledger[[#This Row],[Rate_to_NGN]])</f>
        <v>-87494</v>
      </c>
      <c r="R1148" s="25" t="str">
        <f>_xlfn.XLOOKUP(tbl_Ledger[[#This Row],[Account_Code]], tbl_Accounts[Account_Code], tbl_Accounts[Type])</f>
        <v>Revenue</v>
      </c>
      <c r="S1148" s="25" t="str">
        <f>_xlfn.XLOOKUP(tbl_Ledger[[#This Row],[Account_Code]], tbl_Accounts[Account_Code], tbl_Accounts[PL_Bucket])</f>
        <v>Revenue</v>
      </c>
      <c r="T1148" s="25">
        <f t="shared" si="17"/>
        <v>87494</v>
      </c>
    </row>
    <row r="1149" spans="1:20">
      <c r="A1149" t="s">
        <v>3063</v>
      </c>
      <c r="B1149" s="7">
        <v>45912</v>
      </c>
      <c r="C1149" t="s">
        <v>93</v>
      </c>
      <c r="D1149" t="s">
        <v>111</v>
      </c>
      <c r="E1149" t="s">
        <v>112</v>
      </c>
      <c r="F1149" s="12" t="s">
        <v>31</v>
      </c>
      <c r="G1149" t="s">
        <v>32</v>
      </c>
      <c r="H1149" t="s">
        <v>3064</v>
      </c>
      <c r="I1149" t="s">
        <v>71</v>
      </c>
      <c r="J1149" s="6">
        <v>-105790</v>
      </c>
      <c r="K1149" t="s">
        <v>3</v>
      </c>
      <c r="L1149" t="s">
        <v>3065</v>
      </c>
      <c r="M1149" t="s">
        <v>3</v>
      </c>
      <c r="N1149" s="25" t="str">
        <f>TEXT(tbl_Ledger[[#This Row],[Date]],"yyyy-mm")</f>
        <v>2025-09</v>
      </c>
      <c r="O1149" s="25" t="str">
        <f>TEXT(tbl_Ledger[[#This Row],[Date]],"yyyy-mm") &amp; TRIM(tbl_Ledger[[#This Row],[Currency]])</f>
        <v>2025-09NGN</v>
      </c>
      <c r="P1149" s="25">
        <f>_xlfn.XLOOKUP(tbl_Ledger[[#This Row],[Key]], tbl_FX[Key], tbl_FX[Rate_to_NGN])</f>
        <v>1</v>
      </c>
      <c r="Q1149" s="37">
        <f>IF(tbl_Ledger[[#This Row],[Account_Type]]="Expense",-ABS(tbl_Ledger[[#This Row],[Amount]]*tbl_Ledger[[#This Row],[Rate_to_NGN]]),tbl_Ledger[[#This Row],[Amount]]*tbl_Ledger[[#This Row],[Rate_to_NGN]])</f>
        <v>-105790</v>
      </c>
      <c r="R1149" s="25" t="str">
        <f>_xlfn.XLOOKUP(tbl_Ledger[[#This Row],[Account_Code]], tbl_Accounts[Account_Code], tbl_Accounts[Type])</f>
        <v>Revenue</v>
      </c>
      <c r="S1149" s="25" t="str">
        <f>_xlfn.XLOOKUP(tbl_Ledger[[#This Row],[Account_Code]], tbl_Accounts[Account_Code], tbl_Accounts[PL_Bucket])</f>
        <v>Revenue</v>
      </c>
      <c r="T1149" s="25">
        <f t="shared" si="17"/>
        <v>105790</v>
      </c>
    </row>
    <row r="1150" spans="1:20">
      <c r="A1150" t="s">
        <v>3066</v>
      </c>
      <c r="B1150" s="7">
        <v>45912</v>
      </c>
      <c r="C1150" t="s">
        <v>93</v>
      </c>
      <c r="D1150" t="s">
        <v>111</v>
      </c>
      <c r="E1150" t="s">
        <v>112</v>
      </c>
      <c r="F1150" s="12" t="s">
        <v>31</v>
      </c>
      <c r="G1150" t="s">
        <v>32</v>
      </c>
      <c r="H1150" t="s">
        <v>3067</v>
      </c>
      <c r="I1150" t="s">
        <v>71</v>
      </c>
      <c r="J1150" s="6">
        <v>127556</v>
      </c>
      <c r="K1150" t="s">
        <v>3</v>
      </c>
      <c r="L1150" t="s">
        <v>3068</v>
      </c>
      <c r="M1150" t="s">
        <v>237</v>
      </c>
      <c r="N1150" s="25" t="str">
        <f>TEXT(tbl_Ledger[[#This Row],[Date]],"yyyy-mm")</f>
        <v>2025-09</v>
      </c>
      <c r="O1150" s="25" t="str">
        <f>TEXT(tbl_Ledger[[#This Row],[Date]],"yyyy-mm") &amp; TRIM(tbl_Ledger[[#This Row],[Currency]])</f>
        <v>2025-09NGN</v>
      </c>
      <c r="P1150" s="25">
        <f>_xlfn.XLOOKUP(tbl_Ledger[[#This Row],[Key]], tbl_FX[Key], tbl_FX[Rate_to_NGN])</f>
        <v>1</v>
      </c>
      <c r="Q1150" s="37">
        <f>IF(tbl_Ledger[[#This Row],[Account_Type]]="Expense",-ABS(tbl_Ledger[[#This Row],[Amount]]*tbl_Ledger[[#This Row],[Rate_to_NGN]]),tbl_Ledger[[#This Row],[Amount]]*tbl_Ledger[[#This Row],[Rate_to_NGN]])</f>
        <v>127556</v>
      </c>
      <c r="R1150" s="25" t="str">
        <f>_xlfn.XLOOKUP(tbl_Ledger[[#This Row],[Account_Code]], tbl_Accounts[Account_Code], tbl_Accounts[Type])</f>
        <v>Revenue</v>
      </c>
      <c r="S1150" s="25" t="str">
        <f>_xlfn.XLOOKUP(tbl_Ledger[[#This Row],[Account_Code]], tbl_Accounts[Account_Code], tbl_Accounts[PL_Bucket])</f>
        <v>Revenue</v>
      </c>
      <c r="T1150" s="25">
        <f t="shared" si="17"/>
        <v>127556</v>
      </c>
    </row>
    <row r="1151" spans="1:20">
      <c r="A1151" t="s">
        <v>3069</v>
      </c>
      <c r="B1151" s="7">
        <v>45912</v>
      </c>
      <c r="C1151" t="s">
        <v>93</v>
      </c>
      <c r="D1151" t="s">
        <v>94</v>
      </c>
      <c r="E1151" t="s">
        <v>95</v>
      </c>
      <c r="F1151" s="12" t="s">
        <v>31</v>
      </c>
      <c r="G1151" t="s">
        <v>32</v>
      </c>
      <c r="H1151" t="s">
        <v>3070</v>
      </c>
      <c r="I1151" t="s">
        <v>71</v>
      </c>
      <c r="J1151" s="6">
        <v>-110975</v>
      </c>
      <c r="K1151" t="s">
        <v>3</v>
      </c>
      <c r="L1151" t="s">
        <v>3071</v>
      </c>
      <c r="M1151" t="s">
        <v>3</v>
      </c>
      <c r="N1151" s="25" t="str">
        <f>TEXT(tbl_Ledger[[#This Row],[Date]],"yyyy-mm")</f>
        <v>2025-09</v>
      </c>
      <c r="O1151" s="25" t="str">
        <f>TEXT(tbl_Ledger[[#This Row],[Date]],"yyyy-mm") &amp; TRIM(tbl_Ledger[[#This Row],[Currency]])</f>
        <v>2025-09NGN</v>
      </c>
      <c r="P1151" s="25">
        <f>_xlfn.XLOOKUP(tbl_Ledger[[#This Row],[Key]], tbl_FX[Key], tbl_FX[Rate_to_NGN])</f>
        <v>1</v>
      </c>
      <c r="Q1151" s="37">
        <f>IF(tbl_Ledger[[#This Row],[Account_Type]]="Expense",-ABS(tbl_Ledger[[#This Row],[Amount]]*tbl_Ledger[[#This Row],[Rate_to_NGN]]),tbl_Ledger[[#This Row],[Amount]]*tbl_Ledger[[#This Row],[Rate_to_NGN]])</f>
        <v>-110975</v>
      </c>
      <c r="R1151" s="25" t="str">
        <f>_xlfn.XLOOKUP(tbl_Ledger[[#This Row],[Account_Code]], tbl_Accounts[Account_Code], tbl_Accounts[Type])</f>
        <v>Revenue</v>
      </c>
      <c r="S1151" s="25" t="str">
        <f>_xlfn.XLOOKUP(tbl_Ledger[[#This Row],[Account_Code]], tbl_Accounts[Account_Code], tbl_Accounts[PL_Bucket])</f>
        <v>Revenue</v>
      </c>
      <c r="T1151" s="25">
        <f t="shared" si="17"/>
        <v>110975</v>
      </c>
    </row>
    <row r="1152" spans="1:20">
      <c r="A1152" t="s">
        <v>3072</v>
      </c>
      <c r="B1152" s="7">
        <v>45912</v>
      </c>
      <c r="C1152" t="s">
        <v>87</v>
      </c>
      <c r="D1152" t="s">
        <v>94</v>
      </c>
      <c r="E1152" t="s">
        <v>3</v>
      </c>
      <c r="F1152" s="12" t="s">
        <v>44</v>
      </c>
      <c r="G1152" t="s">
        <v>45</v>
      </c>
      <c r="H1152" t="s">
        <v>3073</v>
      </c>
      <c r="I1152" t="s">
        <v>71</v>
      </c>
      <c r="J1152" s="6">
        <v>-186000</v>
      </c>
      <c r="K1152" t="s">
        <v>668</v>
      </c>
      <c r="L1152" t="s">
        <v>3074</v>
      </c>
      <c r="M1152" t="s">
        <v>3</v>
      </c>
      <c r="N1152" s="25" t="str">
        <f>TEXT(tbl_Ledger[[#This Row],[Date]],"yyyy-mm")</f>
        <v>2025-09</v>
      </c>
      <c r="O1152" s="25" t="str">
        <f>TEXT(tbl_Ledger[[#This Row],[Date]],"yyyy-mm") &amp; TRIM(tbl_Ledger[[#This Row],[Currency]])</f>
        <v>2025-09NGN</v>
      </c>
      <c r="P1152" s="25">
        <f>_xlfn.XLOOKUP(tbl_Ledger[[#This Row],[Key]], tbl_FX[Key], tbl_FX[Rate_to_NGN])</f>
        <v>1</v>
      </c>
      <c r="Q1152" s="37">
        <f>IF(tbl_Ledger[[#This Row],[Account_Type]]="Expense",-ABS(tbl_Ledger[[#This Row],[Amount]]*tbl_Ledger[[#This Row],[Rate_to_NGN]]),tbl_Ledger[[#This Row],[Amount]]*tbl_Ledger[[#This Row],[Rate_to_NGN]])</f>
        <v>-186000</v>
      </c>
      <c r="R1152" s="25" t="str">
        <f>_xlfn.XLOOKUP(tbl_Ledger[[#This Row],[Account_Code]], tbl_Accounts[Account_Code], tbl_Accounts[Type])</f>
        <v>COGS</v>
      </c>
      <c r="S1152" s="25" t="str">
        <f>_xlfn.XLOOKUP(tbl_Ledger[[#This Row],[Account_Code]], tbl_Accounts[Account_Code], tbl_Accounts[PL_Bucket])</f>
        <v>COGS</v>
      </c>
      <c r="T1152" s="25">
        <f t="shared" si="17"/>
        <v>-186000</v>
      </c>
    </row>
    <row r="1153" spans="1:20">
      <c r="A1153" t="s">
        <v>3075</v>
      </c>
      <c r="B1153" s="7">
        <v>45912</v>
      </c>
      <c r="C1153" t="s">
        <v>87</v>
      </c>
      <c r="D1153" t="s">
        <v>94</v>
      </c>
      <c r="E1153" t="s">
        <v>3</v>
      </c>
      <c r="F1153" s="12" t="s">
        <v>44</v>
      </c>
      <c r="G1153" t="s">
        <v>45</v>
      </c>
      <c r="H1153" t="s">
        <v>2726</v>
      </c>
      <c r="I1153" t="s">
        <v>71</v>
      </c>
      <c r="J1153" s="6">
        <v>-242000</v>
      </c>
      <c r="K1153" t="s">
        <v>191</v>
      </c>
      <c r="L1153" t="s">
        <v>3076</v>
      </c>
      <c r="M1153" t="s">
        <v>3</v>
      </c>
      <c r="N1153" s="25" t="str">
        <f>TEXT(tbl_Ledger[[#This Row],[Date]],"yyyy-mm")</f>
        <v>2025-09</v>
      </c>
      <c r="O1153" s="25" t="str">
        <f>TEXT(tbl_Ledger[[#This Row],[Date]],"yyyy-mm") &amp; TRIM(tbl_Ledger[[#This Row],[Currency]])</f>
        <v>2025-09NGN</v>
      </c>
      <c r="P1153" s="25">
        <f>_xlfn.XLOOKUP(tbl_Ledger[[#This Row],[Key]], tbl_FX[Key], tbl_FX[Rate_to_NGN])</f>
        <v>1</v>
      </c>
      <c r="Q1153" s="37">
        <f>IF(tbl_Ledger[[#This Row],[Account_Type]]="Expense",-ABS(tbl_Ledger[[#This Row],[Amount]]*tbl_Ledger[[#This Row],[Rate_to_NGN]]),tbl_Ledger[[#This Row],[Amount]]*tbl_Ledger[[#This Row],[Rate_to_NGN]])</f>
        <v>-242000</v>
      </c>
      <c r="R1153" s="25" t="str">
        <f>_xlfn.XLOOKUP(tbl_Ledger[[#This Row],[Account_Code]], tbl_Accounts[Account_Code], tbl_Accounts[Type])</f>
        <v>COGS</v>
      </c>
      <c r="S1153" s="25" t="str">
        <f>_xlfn.XLOOKUP(tbl_Ledger[[#This Row],[Account_Code]], tbl_Accounts[Account_Code], tbl_Accounts[PL_Bucket])</f>
        <v>COGS</v>
      </c>
      <c r="T1153" s="25">
        <f t="shared" si="17"/>
        <v>-242000</v>
      </c>
    </row>
    <row r="1154" spans="1:20">
      <c r="A1154" t="s">
        <v>3077</v>
      </c>
      <c r="B1154" s="7">
        <v>45912</v>
      </c>
      <c r="C1154" t="s">
        <v>87</v>
      </c>
      <c r="D1154" t="s">
        <v>88</v>
      </c>
      <c r="E1154" t="s">
        <v>3</v>
      </c>
      <c r="F1154" s="12" t="s">
        <v>40</v>
      </c>
      <c r="G1154" t="s">
        <v>41</v>
      </c>
      <c r="H1154" t="s">
        <v>2822</v>
      </c>
      <c r="I1154" t="s">
        <v>71</v>
      </c>
      <c r="J1154" s="6">
        <v>-328000</v>
      </c>
      <c r="K1154" t="s">
        <v>280</v>
      </c>
      <c r="L1154" t="s">
        <v>3078</v>
      </c>
      <c r="M1154" t="s">
        <v>3</v>
      </c>
      <c r="N1154" s="25" t="str">
        <f>TEXT(tbl_Ledger[[#This Row],[Date]],"yyyy-mm")</f>
        <v>2025-09</v>
      </c>
      <c r="O1154" s="25" t="str">
        <f>TEXT(tbl_Ledger[[#This Row],[Date]],"yyyy-mm") &amp; TRIM(tbl_Ledger[[#This Row],[Currency]])</f>
        <v>2025-09NGN</v>
      </c>
      <c r="P1154" s="25">
        <f>_xlfn.XLOOKUP(tbl_Ledger[[#This Row],[Key]], tbl_FX[Key], tbl_FX[Rate_to_NGN])</f>
        <v>1</v>
      </c>
      <c r="Q1154" s="37">
        <f>IF(tbl_Ledger[[#This Row],[Account_Type]]="Expense",-ABS(tbl_Ledger[[#This Row],[Amount]]*tbl_Ledger[[#This Row],[Rate_to_NGN]]),tbl_Ledger[[#This Row],[Amount]]*tbl_Ledger[[#This Row],[Rate_to_NGN]])</f>
        <v>-328000</v>
      </c>
      <c r="R1154" s="25" t="str">
        <f>_xlfn.XLOOKUP(tbl_Ledger[[#This Row],[Account_Code]], tbl_Accounts[Account_Code], tbl_Accounts[Type])</f>
        <v>COGS</v>
      </c>
      <c r="S1154" s="25" t="str">
        <f>_xlfn.XLOOKUP(tbl_Ledger[[#This Row],[Account_Code]], tbl_Accounts[Account_Code], tbl_Accounts[PL_Bucket])</f>
        <v>COGS</v>
      </c>
      <c r="T1154" s="25">
        <f t="shared" ref="T1154:T1217" si="18">IF(AND(S1154="Revenue",F1154&lt;&gt;4900),ABS(Q1154),-ABS(Q1154))</f>
        <v>-328000</v>
      </c>
    </row>
    <row r="1155" spans="1:20">
      <c r="A1155" t="s">
        <v>3079</v>
      </c>
      <c r="B1155" s="7">
        <v>45912</v>
      </c>
      <c r="C1155" t="s">
        <v>87</v>
      </c>
      <c r="D1155" t="s">
        <v>88</v>
      </c>
      <c r="E1155" t="s">
        <v>3</v>
      </c>
      <c r="F1155" s="12" t="s">
        <v>42</v>
      </c>
      <c r="G1155" t="s">
        <v>43</v>
      </c>
      <c r="H1155" t="s">
        <v>2864</v>
      </c>
      <c r="I1155" t="s">
        <v>71</v>
      </c>
      <c r="J1155" s="6">
        <v>-698000</v>
      </c>
      <c r="K1155" t="s">
        <v>398</v>
      </c>
      <c r="L1155" t="s">
        <v>3080</v>
      </c>
      <c r="M1155" t="s">
        <v>3</v>
      </c>
      <c r="N1155" s="25" t="str">
        <f>TEXT(tbl_Ledger[[#This Row],[Date]],"yyyy-mm")</f>
        <v>2025-09</v>
      </c>
      <c r="O1155" s="25" t="str">
        <f>TEXT(tbl_Ledger[[#This Row],[Date]],"yyyy-mm") &amp; TRIM(tbl_Ledger[[#This Row],[Currency]])</f>
        <v>2025-09NGN</v>
      </c>
      <c r="P1155" s="25">
        <f>_xlfn.XLOOKUP(tbl_Ledger[[#This Row],[Key]], tbl_FX[Key], tbl_FX[Rate_to_NGN])</f>
        <v>1</v>
      </c>
      <c r="Q1155" s="37">
        <f>IF(tbl_Ledger[[#This Row],[Account_Type]]="Expense",-ABS(tbl_Ledger[[#This Row],[Amount]]*tbl_Ledger[[#This Row],[Rate_to_NGN]]),tbl_Ledger[[#This Row],[Amount]]*tbl_Ledger[[#This Row],[Rate_to_NGN]])</f>
        <v>-698000</v>
      </c>
      <c r="R1155" s="25" t="str">
        <f>_xlfn.XLOOKUP(tbl_Ledger[[#This Row],[Account_Code]], tbl_Accounts[Account_Code], tbl_Accounts[Type])</f>
        <v>COGS</v>
      </c>
      <c r="S1155" s="25" t="str">
        <f>_xlfn.XLOOKUP(tbl_Ledger[[#This Row],[Account_Code]], tbl_Accounts[Account_Code], tbl_Accounts[PL_Bucket])</f>
        <v>COGS</v>
      </c>
      <c r="T1155" s="25">
        <f t="shared" si="18"/>
        <v>-698000</v>
      </c>
    </row>
    <row r="1156" spans="1:20">
      <c r="A1156" t="s">
        <v>3081</v>
      </c>
      <c r="B1156" s="7">
        <v>45912</v>
      </c>
      <c r="C1156" t="s">
        <v>87</v>
      </c>
      <c r="D1156" t="s">
        <v>111</v>
      </c>
      <c r="E1156" t="s">
        <v>3</v>
      </c>
      <c r="F1156" s="12" t="s">
        <v>57</v>
      </c>
      <c r="G1156" t="s">
        <v>58</v>
      </c>
      <c r="H1156" t="s">
        <v>3082</v>
      </c>
      <c r="I1156" t="s">
        <v>71</v>
      </c>
      <c r="J1156" s="6">
        <v>-350000</v>
      </c>
      <c r="K1156" t="s">
        <v>595</v>
      </c>
      <c r="L1156" t="s">
        <v>3083</v>
      </c>
      <c r="M1156" t="s">
        <v>3</v>
      </c>
      <c r="N1156" s="25" t="str">
        <f>TEXT(tbl_Ledger[[#This Row],[Date]],"yyyy-mm")</f>
        <v>2025-09</v>
      </c>
      <c r="O1156" s="25" t="str">
        <f>TEXT(tbl_Ledger[[#This Row],[Date]],"yyyy-mm") &amp; TRIM(tbl_Ledger[[#This Row],[Currency]])</f>
        <v>2025-09NGN</v>
      </c>
      <c r="P1156" s="25">
        <f>_xlfn.XLOOKUP(tbl_Ledger[[#This Row],[Key]], tbl_FX[Key], tbl_FX[Rate_to_NGN])</f>
        <v>1</v>
      </c>
      <c r="Q1156" s="37">
        <f>IF(tbl_Ledger[[#This Row],[Account_Type]]="Expense",-ABS(tbl_Ledger[[#This Row],[Amount]]*tbl_Ledger[[#This Row],[Rate_to_NGN]]),tbl_Ledger[[#This Row],[Amount]]*tbl_Ledger[[#This Row],[Rate_to_NGN]])</f>
        <v>-350000</v>
      </c>
      <c r="R1156" s="25" t="str">
        <f>_xlfn.XLOOKUP(tbl_Ledger[[#This Row],[Account_Code]], tbl_Accounts[Account_Code], tbl_Accounts[Type])</f>
        <v>Opex</v>
      </c>
      <c r="S1156" s="25" t="str">
        <f>_xlfn.XLOOKUP(tbl_Ledger[[#This Row],[Account_Code]], tbl_Accounts[Account_Code], tbl_Accounts[PL_Bucket])</f>
        <v>Opex</v>
      </c>
      <c r="T1156" s="25">
        <f t="shared" si="18"/>
        <v>-350000</v>
      </c>
    </row>
    <row r="1157" spans="1:20">
      <c r="A1157" t="s">
        <v>3084</v>
      </c>
      <c r="B1157" s="7">
        <v>45913</v>
      </c>
      <c r="C1157" t="s">
        <v>93</v>
      </c>
      <c r="D1157" t="s">
        <v>94</v>
      </c>
      <c r="E1157" t="s">
        <v>95</v>
      </c>
      <c r="F1157" s="12" t="s">
        <v>24</v>
      </c>
      <c r="G1157" t="s">
        <v>25</v>
      </c>
      <c r="H1157" t="s">
        <v>3085</v>
      </c>
      <c r="I1157" t="s">
        <v>71</v>
      </c>
      <c r="J1157" s="6">
        <v>41100</v>
      </c>
      <c r="K1157" t="s">
        <v>3</v>
      </c>
      <c r="L1157" t="s">
        <v>3086</v>
      </c>
      <c r="M1157" t="s">
        <v>3</v>
      </c>
      <c r="N1157" s="25" t="str">
        <f>TEXT(tbl_Ledger[[#This Row],[Date]],"yyyy-mm")</f>
        <v>2025-09</v>
      </c>
      <c r="O1157" s="25" t="str">
        <f>TEXT(tbl_Ledger[[#This Row],[Date]],"yyyy-mm") &amp; TRIM(tbl_Ledger[[#This Row],[Currency]])</f>
        <v>2025-09NGN</v>
      </c>
      <c r="P1157" s="25">
        <f>_xlfn.XLOOKUP(tbl_Ledger[[#This Row],[Key]], tbl_FX[Key], tbl_FX[Rate_to_NGN])</f>
        <v>1</v>
      </c>
      <c r="Q1157" s="37">
        <f>IF(tbl_Ledger[[#This Row],[Account_Type]]="Expense",-ABS(tbl_Ledger[[#This Row],[Amount]]*tbl_Ledger[[#This Row],[Rate_to_NGN]]),tbl_Ledger[[#This Row],[Amount]]*tbl_Ledger[[#This Row],[Rate_to_NGN]])</f>
        <v>41100</v>
      </c>
      <c r="R1157" s="25" t="str">
        <f>_xlfn.XLOOKUP(tbl_Ledger[[#This Row],[Account_Code]], tbl_Accounts[Account_Code], tbl_Accounts[Type])</f>
        <v>Revenue</v>
      </c>
      <c r="S1157" s="25" t="str">
        <f>_xlfn.XLOOKUP(tbl_Ledger[[#This Row],[Account_Code]], tbl_Accounts[Account_Code], tbl_Accounts[PL_Bucket])</f>
        <v>Revenue</v>
      </c>
      <c r="T1157" s="25">
        <f t="shared" si="18"/>
        <v>41100</v>
      </c>
    </row>
    <row r="1158" spans="1:20">
      <c r="A1158" t="s">
        <v>3087</v>
      </c>
      <c r="B1158" s="7">
        <v>45913</v>
      </c>
      <c r="C1158" t="s">
        <v>93</v>
      </c>
      <c r="D1158" t="s">
        <v>94</v>
      </c>
      <c r="E1158" t="s">
        <v>99</v>
      </c>
      <c r="F1158" s="12" t="s">
        <v>24</v>
      </c>
      <c r="G1158" t="s">
        <v>25</v>
      </c>
      <c r="H1158" t="s">
        <v>3088</v>
      </c>
      <c r="I1158" t="s">
        <v>71</v>
      </c>
      <c r="J1158" s="6">
        <v>41200</v>
      </c>
      <c r="K1158" t="s">
        <v>3</v>
      </c>
      <c r="L1158" t="s">
        <v>3089</v>
      </c>
      <c r="M1158" t="s">
        <v>3</v>
      </c>
      <c r="N1158" s="25" t="str">
        <f>TEXT(tbl_Ledger[[#This Row],[Date]],"yyyy-mm")</f>
        <v>2025-09</v>
      </c>
      <c r="O1158" s="25" t="str">
        <f>TEXT(tbl_Ledger[[#This Row],[Date]],"yyyy-mm") &amp; TRIM(tbl_Ledger[[#This Row],[Currency]])</f>
        <v>2025-09NGN</v>
      </c>
      <c r="P1158" s="25">
        <f>_xlfn.XLOOKUP(tbl_Ledger[[#This Row],[Key]], tbl_FX[Key], tbl_FX[Rate_to_NGN])</f>
        <v>1</v>
      </c>
      <c r="Q1158" s="37">
        <f>IF(tbl_Ledger[[#This Row],[Account_Type]]="Expense",-ABS(tbl_Ledger[[#This Row],[Amount]]*tbl_Ledger[[#This Row],[Rate_to_NGN]]),tbl_Ledger[[#This Row],[Amount]]*tbl_Ledger[[#This Row],[Rate_to_NGN]])</f>
        <v>41200</v>
      </c>
      <c r="R1158" s="25" t="str">
        <f>_xlfn.XLOOKUP(tbl_Ledger[[#This Row],[Account_Code]], tbl_Accounts[Account_Code], tbl_Accounts[Type])</f>
        <v>Revenue</v>
      </c>
      <c r="S1158" s="25" t="str">
        <f>_xlfn.XLOOKUP(tbl_Ledger[[#This Row],[Account_Code]], tbl_Accounts[Account_Code], tbl_Accounts[PL_Bucket])</f>
        <v>Revenue</v>
      </c>
      <c r="T1158" s="25">
        <f t="shared" si="18"/>
        <v>41200</v>
      </c>
    </row>
    <row r="1159" spans="1:20">
      <c r="A1159" t="s">
        <v>3090</v>
      </c>
      <c r="B1159" s="7">
        <v>45913</v>
      </c>
      <c r="C1159" t="s">
        <v>93</v>
      </c>
      <c r="D1159" t="s">
        <v>94</v>
      </c>
      <c r="E1159" t="s">
        <v>103</v>
      </c>
      <c r="F1159" s="12" t="s">
        <v>24</v>
      </c>
      <c r="G1159" t="s">
        <v>25</v>
      </c>
      <c r="H1159" t="s">
        <v>3091</v>
      </c>
      <c r="I1159" t="s">
        <v>71</v>
      </c>
      <c r="J1159" s="6">
        <v>37700</v>
      </c>
      <c r="K1159" t="s">
        <v>3</v>
      </c>
      <c r="L1159" t="s">
        <v>3092</v>
      </c>
      <c r="M1159" t="s">
        <v>3</v>
      </c>
      <c r="N1159" s="25" t="str">
        <f>TEXT(tbl_Ledger[[#This Row],[Date]],"yyyy-mm")</f>
        <v>2025-09</v>
      </c>
      <c r="O1159" s="25" t="str">
        <f>TEXT(tbl_Ledger[[#This Row],[Date]],"yyyy-mm") &amp; TRIM(tbl_Ledger[[#This Row],[Currency]])</f>
        <v>2025-09NGN</v>
      </c>
      <c r="P1159" s="25">
        <f>_xlfn.XLOOKUP(tbl_Ledger[[#This Row],[Key]], tbl_FX[Key], tbl_FX[Rate_to_NGN])</f>
        <v>1</v>
      </c>
      <c r="Q1159" s="37">
        <f>IF(tbl_Ledger[[#This Row],[Account_Type]]="Expense",-ABS(tbl_Ledger[[#This Row],[Amount]]*tbl_Ledger[[#This Row],[Rate_to_NGN]]),tbl_Ledger[[#This Row],[Amount]]*tbl_Ledger[[#This Row],[Rate_to_NGN]])</f>
        <v>37700</v>
      </c>
      <c r="R1159" s="25" t="str">
        <f>_xlfn.XLOOKUP(tbl_Ledger[[#This Row],[Account_Code]], tbl_Accounts[Account_Code], tbl_Accounts[Type])</f>
        <v>Revenue</v>
      </c>
      <c r="S1159" s="25" t="str">
        <f>_xlfn.XLOOKUP(tbl_Ledger[[#This Row],[Account_Code]], tbl_Accounts[Account_Code], tbl_Accounts[PL_Bucket])</f>
        <v>Revenue</v>
      </c>
      <c r="T1159" s="25">
        <f t="shared" si="18"/>
        <v>37700</v>
      </c>
    </row>
    <row r="1160" spans="1:20">
      <c r="A1160" t="s">
        <v>3093</v>
      </c>
      <c r="B1160" s="7">
        <v>45913</v>
      </c>
      <c r="C1160" t="s">
        <v>93</v>
      </c>
      <c r="D1160" t="s">
        <v>94</v>
      </c>
      <c r="E1160" t="s">
        <v>160</v>
      </c>
      <c r="F1160" s="12" t="s">
        <v>24</v>
      </c>
      <c r="G1160" t="s">
        <v>25</v>
      </c>
      <c r="H1160" t="s">
        <v>3094</v>
      </c>
      <c r="I1160" t="s">
        <v>71</v>
      </c>
      <c r="J1160" s="6">
        <v>36000</v>
      </c>
      <c r="K1160" t="s">
        <v>3</v>
      </c>
      <c r="L1160" t="s">
        <v>3092</v>
      </c>
      <c r="M1160" t="s">
        <v>3</v>
      </c>
      <c r="N1160" s="25" t="str">
        <f>TEXT(tbl_Ledger[[#This Row],[Date]],"yyyy-mm")</f>
        <v>2025-09</v>
      </c>
      <c r="O1160" s="25" t="str">
        <f>TEXT(tbl_Ledger[[#This Row],[Date]],"yyyy-mm") &amp; TRIM(tbl_Ledger[[#This Row],[Currency]])</f>
        <v>2025-09NGN</v>
      </c>
      <c r="P1160" s="25">
        <f>_xlfn.XLOOKUP(tbl_Ledger[[#This Row],[Key]], tbl_FX[Key], tbl_FX[Rate_to_NGN])</f>
        <v>1</v>
      </c>
      <c r="Q1160" s="37">
        <f>IF(tbl_Ledger[[#This Row],[Account_Type]]="Expense",-ABS(tbl_Ledger[[#This Row],[Amount]]*tbl_Ledger[[#This Row],[Rate_to_NGN]]),tbl_Ledger[[#This Row],[Amount]]*tbl_Ledger[[#This Row],[Rate_to_NGN]])</f>
        <v>36000</v>
      </c>
      <c r="R1160" s="25" t="str">
        <f>_xlfn.XLOOKUP(tbl_Ledger[[#This Row],[Account_Code]], tbl_Accounts[Account_Code], tbl_Accounts[Type])</f>
        <v>Revenue</v>
      </c>
      <c r="S1160" s="25" t="str">
        <f>_xlfn.XLOOKUP(tbl_Ledger[[#This Row],[Account_Code]], tbl_Accounts[Account_Code], tbl_Accounts[PL_Bucket])</f>
        <v>Revenue</v>
      </c>
      <c r="T1160" s="25">
        <f t="shared" si="18"/>
        <v>36000</v>
      </c>
    </row>
    <row r="1161" spans="1:20">
      <c r="A1161" t="s">
        <v>3095</v>
      </c>
      <c r="B1161" s="7">
        <v>45913</v>
      </c>
      <c r="C1161" t="s">
        <v>93</v>
      </c>
      <c r="D1161" t="s">
        <v>94</v>
      </c>
      <c r="E1161" t="s">
        <v>107</v>
      </c>
      <c r="F1161" s="12" t="s">
        <v>24</v>
      </c>
      <c r="G1161" t="s">
        <v>25</v>
      </c>
      <c r="H1161" t="s">
        <v>3096</v>
      </c>
      <c r="I1161" t="s">
        <v>71</v>
      </c>
      <c r="J1161" s="6">
        <v>37000</v>
      </c>
      <c r="K1161" t="s">
        <v>3</v>
      </c>
      <c r="L1161" t="s">
        <v>3097</v>
      </c>
      <c r="M1161" t="s">
        <v>3</v>
      </c>
      <c r="N1161" s="25" t="str">
        <f>TEXT(tbl_Ledger[[#This Row],[Date]],"yyyy-mm")</f>
        <v>2025-09</v>
      </c>
      <c r="O1161" s="25" t="str">
        <f>TEXT(tbl_Ledger[[#This Row],[Date]],"yyyy-mm") &amp; TRIM(tbl_Ledger[[#This Row],[Currency]])</f>
        <v>2025-09NGN</v>
      </c>
      <c r="P1161" s="25">
        <f>_xlfn.XLOOKUP(tbl_Ledger[[#This Row],[Key]], tbl_FX[Key], tbl_FX[Rate_to_NGN])</f>
        <v>1</v>
      </c>
      <c r="Q1161" s="37">
        <f>IF(tbl_Ledger[[#This Row],[Account_Type]]="Expense",-ABS(tbl_Ledger[[#This Row],[Amount]]*tbl_Ledger[[#This Row],[Rate_to_NGN]]),tbl_Ledger[[#This Row],[Amount]]*tbl_Ledger[[#This Row],[Rate_to_NGN]])</f>
        <v>37000</v>
      </c>
      <c r="R1161" s="25" t="str">
        <f>_xlfn.XLOOKUP(tbl_Ledger[[#This Row],[Account_Code]], tbl_Accounts[Account_Code], tbl_Accounts[Type])</f>
        <v>Revenue</v>
      </c>
      <c r="S1161" s="25" t="str">
        <f>_xlfn.XLOOKUP(tbl_Ledger[[#This Row],[Account_Code]], tbl_Accounts[Account_Code], tbl_Accounts[PL_Bucket])</f>
        <v>Revenue</v>
      </c>
      <c r="T1161" s="25">
        <f t="shared" si="18"/>
        <v>37000</v>
      </c>
    </row>
    <row r="1162" spans="1:20">
      <c r="A1162" t="s">
        <v>3098</v>
      </c>
      <c r="B1162" s="7">
        <v>45913</v>
      </c>
      <c r="C1162" t="s">
        <v>93</v>
      </c>
      <c r="D1162" t="s">
        <v>111</v>
      </c>
      <c r="E1162" t="s">
        <v>112</v>
      </c>
      <c r="F1162" s="12" t="s">
        <v>24</v>
      </c>
      <c r="G1162" t="s">
        <v>25</v>
      </c>
      <c r="H1162" t="s">
        <v>3099</v>
      </c>
      <c r="I1162" t="s">
        <v>71</v>
      </c>
      <c r="J1162" s="6">
        <v>65800</v>
      </c>
      <c r="K1162" t="s">
        <v>3</v>
      </c>
      <c r="L1162" t="s">
        <v>3100</v>
      </c>
      <c r="M1162" t="s">
        <v>3</v>
      </c>
      <c r="N1162" s="25" t="str">
        <f>TEXT(tbl_Ledger[[#This Row],[Date]],"yyyy-mm")</f>
        <v>2025-09</v>
      </c>
      <c r="O1162" s="25" t="str">
        <f>TEXT(tbl_Ledger[[#This Row],[Date]],"yyyy-mm") &amp; TRIM(tbl_Ledger[[#This Row],[Currency]])</f>
        <v>2025-09NGN</v>
      </c>
      <c r="P1162" s="25">
        <f>_xlfn.XLOOKUP(tbl_Ledger[[#This Row],[Key]], tbl_FX[Key], tbl_FX[Rate_to_NGN])</f>
        <v>1</v>
      </c>
      <c r="Q1162" s="37">
        <f>IF(tbl_Ledger[[#This Row],[Account_Type]]="Expense",-ABS(tbl_Ledger[[#This Row],[Amount]]*tbl_Ledger[[#This Row],[Rate_to_NGN]]),tbl_Ledger[[#This Row],[Amount]]*tbl_Ledger[[#This Row],[Rate_to_NGN]])</f>
        <v>65800</v>
      </c>
      <c r="R1162" s="25" t="str">
        <f>_xlfn.XLOOKUP(tbl_Ledger[[#This Row],[Account_Code]], tbl_Accounts[Account_Code], tbl_Accounts[Type])</f>
        <v>Revenue</v>
      </c>
      <c r="S1162" s="25" t="str">
        <f>_xlfn.XLOOKUP(tbl_Ledger[[#This Row],[Account_Code]], tbl_Accounts[Account_Code], tbl_Accounts[PL_Bucket])</f>
        <v>Revenue</v>
      </c>
      <c r="T1162" s="25">
        <f t="shared" si="18"/>
        <v>65800</v>
      </c>
    </row>
    <row r="1163" spans="1:20">
      <c r="A1163" t="s">
        <v>3101</v>
      </c>
      <c r="B1163" s="7">
        <v>45913</v>
      </c>
      <c r="C1163" t="s">
        <v>93</v>
      </c>
      <c r="D1163" t="s">
        <v>111</v>
      </c>
      <c r="E1163" t="s">
        <v>116</v>
      </c>
      <c r="F1163" s="12" t="s">
        <v>24</v>
      </c>
      <c r="G1163" t="s">
        <v>25</v>
      </c>
      <c r="H1163" t="s">
        <v>3102</v>
      </c>
      <c r="I1163" t="s">
        <v>71</v>
      </c>
      <c r="J1163" s="6">
        <v>65100</v>
      </c>
      <c r="K1163" t="s">
        <v>3</v>
      </c>
      <c r="L1163" t="s">
        <v>3100</v>
      </c>
      <c r="M1163" t="s">
        <v>3</v>
      </c>
      <c r="N1163" s="25" t="str">
        <f>TEXT(tbl_Ledger[[#This Row],[Date]],"yyyy-mm")</f>
        <v>2025-09</v>
      </c>
      <c r="O1163" s="25" t="str">
        <f>TEXT(tbl_Ledger[[#This Row],[Date]],"yyyy-mm") &amp; TRIM(tbl_Ledger[[#This Row],[Currency]])</f>
        <v>2025-09NGN</v>
      </c>
      <c r="P1163" s="25">
        <f>_xlfn.XLOOKUP(tbl_Ledger[[#This Row],[Key]], tbl_FX[Key], tbl_FX[Rate_to_NGN])</f>
        <v>1</v>
      </c>
      <c r="Q1163" s="37">
        <f>IF(tbl_Ledger[[#This Row],[Account_Type]]="Expense",-ABS(tbl_Ledger[[#This Row],[Amount]]*tbl_Ledger[[#This Row],[Rate_to_NGN]]),tbl_Ledger[[#This Row],[Amount]]*tbl_Ledger[[#This Row],[Rate_to_NGN]])</f>
        <v>65100</v>
      </c>
      <c r="R1163" s="25" t="str">
        <f>_xlfn.XLOOKUP(tbl_Ledger[[#This Row],[Account_Code]], tbl_Accounts[Account_Code], tbl_Accounts[Type])</f>
        <v>Revenue</v>
      </c>
      <c r="S1163" s="25" t="str">
        <f>_xlfn.XLOOKUP(tbl_Ledger[[#This Row],[Account_Code]], tbl_Accounts[Account_Code], tbl_Accounts[PL_Bucket])</f>
        <v>Revenue</v>
      </c>
      <c r="T1163" s="25">
        <f t="shared" si="18"/>
        <v>65100</v>
      </c>
    </row>
    <row r="1164" spans="1:20">
      <c r="A1164" t="s">
        <v>3103</v>
      </c>
      <c r="B1164" s="7">
        <v>45913</v>
      </c>
      <c r="C1164" t="s">
        <v>93</v>
      </c>
      <c r="D1164" t="s">
        <v>111</v>
      </c>
      <c r="E1164" t="s">
        <v>119</v>
      </c>
      <c r="F1164" s="12" t="s">
        <v>24</v>
      </c>
      <c r="G1164" t="s">
        <v>25</v>
      </c>
      <c r="H1164" t="s">
        <v>3104</v>
      </c>
      <c r="I1164" t="s">
        <v>71</v>
      </c>
      <c r="J1164" s="6">
        <v>61100</v>
      </c>
      <c r="K1164" t="s">
        <v>3</v>
      </c>
      <c r="L1164" t="s">
        <v>3100</v>
      </c>
      <c r="M1164" t="s">
        <v>3</v>
      </c>
      <c r="N1164" s="25" t="str">
        <f>TEXT(tbl_Ledger[[#This Row],[Date]],"yyyy-mm")</f>
        <v>2025-09</v>
      </c>
      <c r="O1164" s="25" t="str">
        <f>TEXT(tbl_Ledger[[#This Row],[Date]],"yyyy-mm") &amp; TRIM(tbl_Ledger[[#This Row],[Currency]])</f>
        <v>2025-09NGN</v>
      </c>
      <c r="P1164" s="25">
        <f>_xlfn.XLOOKUP(tbl_Ledger[[#This Row],[Key]], tbl_FX[Key], tbl_FX[Rate_to_NGN])</f>
        <v>1</v>
      </c>
      <c r="Q1164" s="37">
        <f>IF(tbl_Ledger[[#This Row],[Account_Type]]="Expense",-ABS(tbl_Ledger[[#This Row],[Amount]]*tbl_Ledger[[#This Row],[Rate_to_NGN]]),tbl_Ledger[[#This Row],[Amount]]*tbl_Ledger[[#This Row],[Rate_to_NGN]])</f>
        <v>61100</v>
      </c>
      <c r="R1164" s="25" t="str">
        <f>_xlfn.XLOOKUP(tbl_Ledger[[#This Row],[Account_Code]], tbl_Accounts[Account_Code], tbl_Accounts[Type])</f>
        <v>Revenue</v>
      </c>
      <c r="S1164" s="25" t="str">
        <f>_xlfn.XLOOKUP(tbl_Ledger[[#This Row],[Account_Code]], tbl_Accounts[Account_Code], tbl_Accounts[PL_Bucket])</f>
        <v>Revenue</v>
      </c>
      <c r="T1164" s="25">
        <f t="shared" si="18"/>
        <v>61100</v>
      </c>
    </row>
    <row r="1165" spans="1:20">
      <c r="A1165" t="s">
        <v>3105</v>
      </c>
      <c r="B1165" s="7">
        <v>45913</v>
      </c>
      <c r="C1165" t="s">
        <v>93</v>
      </c>
      <c r="D1165" t="s">
        <v>111</v>
      </c>
      <c r="E1165" t="s">
        <v>170</v>
      </c>
      <c r="F1165" s="12" t="s">
        <v>24</v>
      </c>
      <c r="G1165" t="s">
        <v>25</v>
      </c>
      <c r="H1165" t="s">
        <v>3106</v>
      </c>
      <c r="I1165" t="s">
        <v>71</v>
      </c>
      <c r="J1165" s="6">
        <v>66700</v>
      </c>
      <c r="K1165" t="s">
        <v>3</v>
      </c>
      <c r="L1165" t="s">
        <v>3100</v>
      </c>
      <c r="M1165" t="s">
        <v>3</v>
      </c>
      <c r="N1165" s="25" t="str">
        <f>TEXT(tbl_Ledger[[#This Row],[Date]],"yyyy-mm")</f>
        <v>2025-09</v>
      </c>
      <c r="O1165" s="25" t="str">
        <f>TEXT(tbl_Ledger[[#This Row],[Date]],"yyyy-mm") &amp; TRIM(tbl_Ledger[[#This Row],[Currency]])</f>
        <v>2025-09NGN</v>
      </c>
      <c r="P1165" s="25">
        <f>_xlfn.XLOOKUP(tbl_Ledger[[#This Row],[Key]], tbl_FX[Key], tbl_FX[Rate_to_NGN])</f>
        <v>1</v>
      </c>
      <c r="Q1165" s="37">
        <f>IF(tbl_Ledger[[#This Row],[Account_Type]]="Expense",-ABS(tbl_Ledger[[#This Row],[Amount]]*tbl_Ledger[[#This Row],[Rate_to_NGN]]),tbl_Ledger[[#This Row],[Amount]]*tbl_Ledger[[#This Row],[Rate_to_NGN]])</f>
        <v>66700</v>
      </c>
      <c r="R1165" s="25" t="str">
        <f>_xlfn.XLOOKUP(tbl_Ledger[[#This Row],[Account_Code]], tbl_Accounts[Account_Code], tbl_Accounts[Type])</f>
        <v>Revenue</v>
      </c>
      <c r="S1165" s="25" t="str">
        <f>_xlfn.XLOOKUP(tbl_Ledger[[#This Row],[Account_Code]], tbl_Accounts[Account_Code], tbl_Accounts[PL_Bucket])</f>
        <v>Revenue</v>
      </c>
      <c r="T1165" s="25">
        <f t="shared" si="18"/>
        <v>66700</v>
      </c>
    </row>
    <row r="1166" spans="1:20">
      <c r="A1166" t="s">
        <v>3107</v>
      </c>
      <c r="B1166" s="7">
        <v>45913</v>
      </c>
      <c r="C1166" t="s">
        <v>93</v>
      </c>
      <c r="D1166" t="s">
        <v>111</v>
      </c>
      <c r="E1166" t="s">
        <v>122</v>
      </c>
      <c r="F1166" s="12" t="s">
        <v>24</v>
      </c>
      <c r="G1166" t="s">
        <v>25</v>
      </c>
      <c r="H1166" t="s">
        <v>3108</v>
      </c>
      <c r="I1166" t="s">
        <v>71</v>
      </c>
      <c r="J1166" s="6">
        <v>63700</v>
      </c>
      <c r="K1166" t="s">
        <v>3</v>
      </c>
      <c r="L1166" t="s">
        <v>3109</v>
      </c>
      <c r="M1166" t="s">
        <v>3</v>
      </c>
      <c r="N1166" s="25" t="str">
        <f>TEXT(tbl_Ledger[[#This Row],[Date]],"yyyy-mm")</f>
        <v>2025-09</v>
      </c>
      <c r="O1166" s="25" t="str">
        <f>TEXT(tbl_Ledger[[#This Row],[Date]],"yyyy-mm") &amp; TRIM(tbl_Ledger[[#This Row],[Currency]])</f>
        <v>2025-09NGN</v>
      </c>
      <c r="P1166" s="25">
        <f>_xlfn.XLOOKUP(tbl_Ledger[[#This Row],[Key]], tbl_FX[Key], tbl_FX[Rate_to_NGN])</f>
        <v>1</v>
      </c>
      <c r="Q1166" s="37">
        <f>IF(tbl_Ledger[[#This Row],[Account_Type]]="Expense",-ABS(tbl_Ledger[[#This Row],[Amount]]*tbl_Ledger[[#This Row],[Rate_to_NGN]]),tbl_Ledger[[#This Row],[Amount]]*tbl_Ledger[[#This Row],[Rate_to_NGN]])</f>
        <v>63700</v>
      </c>
      <c r="R1166" s="25" t="str">
        <f>_xlfn.XLOOKUP(tbl_Ledger[[#This Row],[Account_Code]], tbl_Accounts[Account_Code], tbl_Accounts[Type])</f>
        <v>Revenue</v>
      </c>
      <c r="S1166" s="25" t="str">
        <f>_xlfn.XLOOKUP(tbl_Ledger[[#This Row],[Account_Code]], tbl_Accounts[Account_Code], tbl_Accounts[PL_Bucket])</f>
        <v>Revenue</v>
      </c>
      <c r="T1166" s="25">
        <f t="shared" si="18"/>
        <v>63700</v>
      </c>
    </row>
    <row r="1167" spans="1:20">
      <c r="A1167" t="s">
        <v>3110</v>
      </c>
      <c r="B1167" s="7">
        <v>45913</v>
      </c>
      <c r="C1167" t="s">
        <v>126</v>
      </c>
      <c r="D1167" t="s">
        <v>88</v>
      </c>
      <c r="E1167" t="s">
        <v>127</v>
      </c>
      <c r="F1167" s="12" t="s">
        <v>29</v>
      </c>
      <c r="G1167" t="s">
        <v>30</v>
      </c>
      <c r="H1167" t="s">
        <v>3111</v>
      </c>
      <c r="I1167" t="s">
        <v>72</v>
      </c>
      <c r="J1167" s="6">
        <v>35.94</v>
      </c>
      <c r="K1167" t="s">
        <v>129</v>
      </c>
      <c r="L1167" t="s">
        <v>3112</v>
      </c>
      <c r="M1167" t="s">
        <v>3</v>
      </c>
      <c r="N1167" s="25" t="str">
        <f>TEXT(tbl_Ledger[[#This Row],[Date]],"yyyy-mm")</f>
        <v>2025-09</v>
      </c>
      <c r="O1167" s="25" t="str">
        <f>TEXT(tbl_Ledger[[#This Row],[Date]],"yyyy-mm") &amp; TRIM(tbl_Ledger[[#This Row],[Currency]])</f>
        <v>2025-09USD</v>
      </c>
      <c r="P1167" s="25">
        <f>_xlfn.XLOOKUP(tbl_Ledger[[#This Row],[Key]], tbl_FX[Key], tbl_FX[Rate_to_NGN])</f>
        <v>1611</v>
      </c>
      <c r="Q1167" s="37">
        <f>IF(tbl_Ledger[[#This Row],[Account_Type]]="Expense",-ABS(tbl_Ledger[[#This Row],[Amount]]*tbl_Ledger[[#This Row],[Rate_to_NGN]]),tbl_Ledger[[#This Row],[Amount]]*tbl_Ledger[[#This Row],[Rate_to_NGN]])</f>
        <v>57899.34</v>
      </c>
      <c r="R1167" s="25" t="str">
        <f>_xlfn.XLOOKUP(tbl_Ledger[[#This Row],[Account_Code]], tbl_Accounts[Account_Code], tbl_Accounts[Type])</f>
        <v>Revenue</v>
      </c>
      <c r="S1167" s="25" t="str">
        <f>_xlfn.XLOOKUP(tbl_Ledger[[#This Row],[Account_Code]], tbl_Accounts[Account_Code], tbl_Accounts[PL_Bucket])</f>
        <v>Revenue</v>
      </c>
      <c r="T1167" s="25">
        <f t="shared" si="18"/>
        <v>57899.34</v>
      </c>
    </row>
    <row r="1168" spans="1:20">
      <c r="A1168" t="s">
        <v>3113</v>
      </c>
      <c r="B1168" s="7">
        <v>45913</v>
      </c>
      <c r="C1168" t="s">
        <v>126</v>
      </c>
      <c r="D1168" t="s">
        <v>88</v>
      </c>
      <c r="E1168" t="s">
        <v>132</v>
      </c>
      <c r="F1168" s="12" t="s">
        <v>29</v>
      </c>
      <c r="G1168" t="s">
        <v>30</v>
      </c>
      <c r="H1168" t="s">
        <v>3114</v>
      </c>
      <c r="I1168" t="s">
        <v>72</v>
      </c>
      <c r="J1168" s="6">
        <v>35.26</v>
      </c>
      <c r="K1168" t="s">
        <v>134</v>
      </c>
      <c r="L1168" t="s">
        <v>3112</v>
      </c>
      <c r="M1168" t="s">
        <v>3</v>
      </c>
      <c r="N1168" s="25" t="str">
        <f>TEXT(tbl_Ledger[[#This Row],[Date]],"yyyy-mm")</f>
        <v>2025-09</v>
      </c>
      <c r="O1168" s="25" t="str">
        <f>TEXT(tbl_Ledger[[#This Row],[Date]],"yyyy-mm") &amp; TRIM(tbl_Ledger[[#This Row],[Currency]])</f>
        <v>2025-09USD</v>
      </c>
      <c r="P1168" s="25">
        <f>_xlfn.XLOOKUP(tbl_Ledger[[#This Row],[Key]], tbl_FX[Key], tbl_FX[Rate_to_NGN])</f>
        <v>1611</v>
      </c>
      <c r="Q1168" s="37">
        <f>IF(tbl_Ledger[[#This Row],[Account_Type]]="Expense",-ABS(tbl_Ledger[[#This Row],[Amount]]*tbl_Ledger[[#This Row],[Rate_to_NGN]]),tbl_Ledger[[#This Row],[Amount]]*tbl_Ledger[[#This Row],[Rate_to_NGN]])</f>
        <v>56803.859999999993</v>
      </c>
      <c r="R1168" s="25" t="str">
        <f>_xlfn.XLOOKUP(tbl_Ledger[[#This Row],[Account_Code]], tbl_Accounts[Account_Code], tbl_Accounts[Type])</f>
        <v>Revenue</v>
      </c>
      <c r="S1168" s="25" t="str">
        <f>_xlfn.XLOOKUP(tbl_Ledger[[#This Row],[Account_Code]], tbl_Accounts[Account_Code], tbl_Accounts[PL_Bucket])</f>
        <v>Revenue</v>
      </c>
      <c r="T1168" s="25">
        <f t="shared" si="18"/>
        <v>56803.859999999993</v>
      </c>
    </row>
    <row r="1169" spans="1:20">
      <c r="A1169" t="s">
        <v>3115</v>
      </c>
      <c r="B1169" s="7">
        <v>45913</v>
      </c>
      <c r="C1169" t="s">
        <v>126</v>
      </c>
      <c r="D1169" t="s">
        <v>88</v>
      </c>
      <c r="E1169" t="s">
        <v>140</v>
      </c>
      <c r="F1169" s="12" t="s">
        <v>29</v>
      </c>
      <c r="G1169" t="s">
        <v>30</v>
      </c>
      <c r="H1169" t="s">
        <v>3116</v>
      </c>
      <c r="I1169" t="s">
        <v>71</v>
      </c>
      <c r="J1169" s="6">
        <v>47400</v>
      </c>
      <c r="K1169" t="s">
        <v>3</v>
      </c>
      <c r="L1169" t="s">
        <v>3117</v>
      </c>
      <c r="M1169" t="s">
        <v>3</v>
      </c>
      <c r="N1169" s="25" t="str">
        <f>TEXT(tbl_Ledger[[#This Row],[Date]],"yyyy-mm")</f>
        <v>2025-09</v>
      </c>
      <c r="O1169" s="25" t="str">
        <f>TEXT(tbl_Ledger[[#This Row],[Date]],"yyyy-mm") &amp; TRIM(tbl_Ledger[[#This Row],[Currency]])</f>
        <v>2025-09NGN</v>
      </c>
      <c r="P1169" s="25">
        <f>_xlfn.XLOOKUP(tbl_Ledger[[#This Row],[Key]], tbl_FX[Key], tbl_FX[Rate_to_NGN])</f>
        <v>1</v>
      </c>
      <c r="Q1169" s="37">
        <f>IF(tbl_Ledger[[#This Row],[Account_Type]]="Expense",-ABS(tbl_Ledger[[#This Row],[Amount]]*tbl_Ledger[[#This Row],[Rate_to_NGN]]),tbl_Ledger[[#This Row],[Amount]]*tbl_Ledger[[#This Row],[Rate_to_NGN]])</f>
        <v>47400</v>
      </c>
      <c r="R1169" s="25" t="str">
        <f>_xlfn.XLOOKUP(tbl_Ledger[[#This Row],[Account_Code]], tbl_Accounts[Account_Code], tbl_Accounts[Type])</f>
        <v>Revenue</v>
      </c>
      <c r="S1169" s="25" t="str">
        <f>_xlfn.XLOOKUP(tbl_Ledger[[#This Row],[Account_Code]], tbl_Accounts[Account_Code], tbl_Accounts[PL_Bucket])</f>
        <v>Revenue</v>
      </c>
      <c r="T1169" s="25">
        <f t="shared" si="18"/>
        <v>47400</v>
      </c>
    </row>
    <row r="1170" spans="1:20">
      <c r="A1170" t="s">
        <v>3118</v>
      </c>
      <c r="B1170" s="7">
        <v>45913</v>
      </c>
      <c r="C1170" t="s">
        <v>87</v>
      </c>
      <c r="D1170" t="s">
        <v>94</v>
      </c>
      <c r="E1170" t="s">
        <v>3</v>
      </c>
      <c r="F1170" s="12" t="s">
        <v>33</v>
      </c>
      <c r="G1170" t="s">
        <v>34</v>
      </c>
      <c r="H1170" t="s">
        <v>2691</v>
      </c>
      <c r="I1170" t="s">
        <v>71</v>
      </c>
      <c r="J1170" s="6">
        <v>-717000</v>
      </c>
      <c r="K1170" t="s">
        <v>316</v>
      </c>
      <c r="L1170" t="s">
        <v>3119</v>
      </c>
      <c r="M1170" t="s">
        <v>3</v>
      </c>
      <c r="N1170" s="25" t="str">
        <f>TEXT(tbl_Ledger[[#This Row],[Date]],"yyyy-mm")</f>
        <v>2025-09</v>
      </c>
      <c r="O1170" s="25" t="str">
        <f>TEXT(tbl_Ledger[[#This Row],[Date]],"yyyy-mm") &amp; TRIM(tbl_Ledger[[#This Row],[Currency]])</f>
        <v>2025-09NGN</v>
      </c>
      <c r="P1170" s="25">
        <f>_xlfn.XLOOKUP(tbl_Ledger[[#This Row],[Key]], tbl_FX[Key], tbl_FX[Rate_to_NGN])</f>
        <v>1</v>
      </c>
      <c r="Q1170" s="37">
        <f>IF(tbl_Ledger[[#This Row],[Account_Type]]="Expense",-ABS(tbl_Ledger[[#This Row],[Amount]]*tbl_Ledger[[#This Row],[Rate_to_NGN]]),tbl_Ledger[[#This Row],[Amount]]*tbl_Ledger[[#This Row],[Rate_to_NGN]])</f>
        <v>-717000</v>
      </c>
      <c r="R1170" s="25" t="str">
        <f>_xlfn.XLOOKUP(tbl_Ledger[[#This Row],[Account_Code]], tbl_Accounts[Account_Code], tbl_Accounts[Type])</f>
        <v>COGS</v>
      </c>
      <c r="S1170" s="25" t="str">
        <f>_xlfn.XLOOKUP(tbl_Ledger[[#This Row],[Account_Code]], tbl_Accounts[Account_Code], tbl_Accounts[PL_Bucket])</f>
        <v>COGS</v>
      </c>
      <c r="T1170" s="25">
        <f t="shared" si="18"/>
        <v>-717000</v>
      </c>
    </row>
    <row r="1171" spans="1:20">
      <c r="A1171" t="s">
        <v>3120</v>
      </c>
      <c r="B1171" s="7">
        <v>45913</v>
      </c>
      <c r="C1171" t="s">
        <v>87</v>
      </c>
      <c r="D1171" t="s">
        <v>111</v>
      </c>
      <c r="E1171" t="s">
        <v>3</v>
      </c>
      <c r="F1171" s="12" t="s">
        <v>38</v>
      </c>
      <c r="G1171" t="s">
        <v>39</v>
      </c>
      <c r="H1171" t="s">
        <v>2694</v>
      </c>
      <c r="I1171" t="s">
        <v>71</v>
      </c>
      <c r="J1171" s="6">
        <v>-113000</v>
      </c>
      <c r="K1171" t="s">
        <v>276</v>
      </c>
      <c r="L1171" t="s">
        <v>3121</v>
      </c>
      <c r="M1171" t="s">
        <v>3</v>
      </c>
      <c r="N1171" s="25" t="str">
        <f>TEXT(tbl_Ledger[[#This Row],[Date]],"yyyy-mm")</f>
        <v>2025-09</v>
      </c>
      <c r="O1171" s="25" t="str">
        <f>TEXT(tbl_Ledger[[#This Row],[Date]],"yyyy-mm") &amp; TRIM(tbl_Ledger[[#This Row],[Currency]])</f>
        <v>2025-09NGN</v>
      </c>
      <c r="P1171" s="25">
        <f>_xlfn.XLOOKUP(tbl_Ledger[[#This Row],[Key]], tbl_FX[Key], tbl_FX[Rate_to_NGN])</f>
        <v>1</v>
      </c>
      <c r="Q1171" s="37">
        <f>IF(tbl_Ledger[[#This Row],[Account_Type]]="Expense",-ABS(tbl_Ledger[[#This Row],[Amount]]*tbl_Ledger[[#This Row],[Rate_to_NGN]]),tbl_Ledger[[#This Row],[Amount]]*tbl_Ledger[[#This Row],[Rate_to_NGN]])</f>
        <v>-113000</v>
      </c>
      <c r="R1171" s="25" t="str">
        <f>_xlfn.XLOOKUP(tbl_Ledger[[#This Row],[Account_Code]], tbl_Accounts[Account_Code], tbl_Accounts[Type])</f>
        <v>COGS</v>
      </c>
      <c r="S1171" s="25" t="str">
        <f>_xlfn.XLOOKUP(tbl_Ledger[[#This Row],[Account_Code]], tbl_Accounts[Account_Code], tbl_Accounts[PL_Bucket])</f>
        <v>COGS</v>
      </c>
      <c r="T1171" s="25">
        <f t="shared" si="18"/>
        <v>-113000</v>
      </c>
    </row>
    <row r="1172" spans="1:20">
      <c r="A1172" t="s">
        <v>3122</v>
      </c>
      <c r="B1172" s="7">
        <v>45914</v>
      </c>
      <c r="C1172" t="s">
        <v>93</v>
      </c>
      <c r="D1172" t="s">
        <v>94</v>
      </c>
      <c r="E1172" t="s">
        <v>95</v>
      </c>
      <c r="F1172" s="12" t="s">
        <v>24</v>
      </c>
      <c r="G1172" t="s">
        <v>25</v>
      </c>
      <c r="H1172" t="s">
        <v>3123</v>
      </c>
      <c r="I1172" t="s">
        <v>71</v>
      </c>
      <c r="J1172" s="6">
        <v>39600</v>
      </c>
      <c r="K1172" t="s">
        <v>3</v>
      </c>
      <c r="L1172" t="s">
        <v>3124</v>
      </c>
      <c r="M1172" t="s">
        <v>3</v>
      </c>
      <c r="N1172" s="25" t="str">
        <f>TEXT(tbl_Ledger[[#This Row],[Date]],"yyyy-mm")</f>
        <v>2025-09</v>
      </c>
      <c r="O1172" s="25" t="str">
        <f>TEXT(tbl_Ledger[[#This Row],[Date]],"yyyy-mm") &amp; TRIM(tbl_Ledger[[#This Row],[Currency]])</f>
        <v>2025-09NGN</v>
      </c>
      <c r="P1172" s="25">
        <f>_xlfn.XLOOKUP(tbl_Ledger[[#This Row],[Key]], tbl_FX[Key], tbl_FX[Rate_to_NGN])</f>
        <v>1</v>
      </c>
      <c r="Q1172" s="37">
        <f>IF(tbl_Ledger[[#This Row],[Account_Type]]="Expense",-ABS(tbl_Ledger[[#This Row],[Amount]]*tbl_Ledger[[#This Row],[Rate_to_NGN]]),tbl_Ledger[[#This Row],[Amount]]*tbl_Ledger[[#This Row],[Rate_to_NGN]])</f>
        <v>39600</v>
      </c>
      <c r="R1172" s="25" t="str">
        <f>_xlfn.XLOOKUP(tbl_Ledger[[#This Row],[Account_Code]], tbl_Accounts[Account_Code], tbl_Accounts[Type])</f>
        <v>Revenue</v>
      </c>
      <c r="S1172" s="25" t="str">
        <f>_xlfn.XLOOKUP(tbl_Ledger[[#This Row],[Account_Code]], tbl_Accounts[Account_Code], tbl_Accounts[PL_Bucket])</f>
        <v>Revenue</v>
      </c>
      <c r="T1172" s="25">
        <f t="shared" si="18"/>
        <v>39600</v>
      </c>
    </row>
    <row r="1173" spans="1:20">
      <c r="A1173" t="s">
        <v>3125</v>
      </c>
      <c r="B1173" s="7">
        <v>45914</v>
      </c>
      <c r="C1173" t="s">
        <v>93</v>
      </c>
      <c r="D1173" t="s">
        <v>94</v>
      </c>
      <c r="E1173" t="s">
        <v>103</v>
      </c>
      <c r="F1173" s="12" t="s">
        <v>24</v>
      </c>
      <c r="G1173" t="s">
        <v>25</v>
      </c>
      <c r="H1173" t="s">
        <v>3126</v>
      </c>
      <c r="I1173" t="s">
        <v>71</v>
      </c>
      <c r="J1173" s="6">
        <v>41400</v>
      </c>
      <c r="K1173" t="s">
        <v>3</v>
      </c>
      <c r="L1173" t="s">
        <v>3127</v>
      </c>
      <c r="M1173" t="s">
        <v>3</v>
      </c>
      <c r="N1173" s="25" t="str">
        <f>TEXT(tbl_Ledger[[#This Row],[Date]],"yyyy-mm")</f>
        <v>2025-09</v>
      </c>
      <c r="O1173" s="25" t="str">
        <f>TEXT(tbl_Ledger[[#This Row],[Date]],"yyyy-mm") &amp; TRIM(tbl_Ledger[[#This Row],[Currency]])</f>
        <v>2025-09NGN</v>
      </c>
      <c r="P1173" s="25">
        <f>_xlfn.XLOOKUP(tbl_Ledger[[#This Row],[Key]], tbl_FX[Key], tbl_FX[Rate_to_NGN])</f>
        <v>1</v>
      </c>
      <c r="Q1173" s="37">
        <f>IF(tbl_Ledger[[#This Row],[Account_Type]]="Expense",-ABS(tbl_Ledger[[#This Row],[Amount]]*tbl_Ledger[[#This Row],[Rate_to_NGN]]),tbl_Ledger[[#This Row],[Amount]]*tbl_Ledger[[#This Row],[Rate_to_NGN]])</f>
        <v>41400</v>
      </c>
      <c r="R1173" s="25" t="str">
        <f>_xlfn.XLOOKUP(tbl_Ledger[[#This Row],[Account_Code]], tbl_Accounts[Account_Code], tbl_Accounts[Type])</f>
        <v>Revenue</v>
      </c>
      <c r="S1173" s="25" t="str">
        <f>_xlfn.XLOOKUP(tbl_Ledger[[#This Row],[Account_Code]], tbl_Accounts[Account_Code], tbl_Accounts[PL_Bucket])</f>
        <v>Revenue</v>
      </c>
      <c r="T1173" s="25">
        <f t="shared" si="18"/>
        <v>41400</v>
      </c>
    </row>
    <row r="1174" spans="1:20">
      <c r="A1174" t="s">
        <v>3128</v>
      </c>
      <c r="B1174" s="7">
        <v>45914</v>
      </c>
      <c r="C1174" t="s">
        <v>93</v>
      </c>
      <c r="D1174" t="s">
        <v>94</v>
      </c>
      <c r="E1174" t="s">
        <v>160</v>
      </c>
      <c r="F1174" s="12" t="s">
        <v>24</v>
      </c>
      <c r="G1174" t="s">
        <v>25</v>
      </c>
      <c r="H1174" t="s">
        <v>3129</v>
      </c>
      <c r="I1174" t="s">
        <v>71</v>
      </c>
      <c r="J1174" s="6">
        <v>37200</v>
      </c>
      <c r="K1174" t="s">
        <v>3</v>
      </c>
      <c r="L1174" t="s">
        <v>3127</v>
      </c>
      <c r="M1174" t="s">
        <v>3</v>
      </c>
      <c r="N1174" s="25" t="str">
        <f>TEXT(tbl_Ledger[[#This Row],[Date]],"yyyy-mm")</f>
        <v>2025-09</v>
      </c>
      <c r="O1174" s="25" t="str">
        <f>TEXT(tbl_Ledger[[#This Row],[Date]],"yyyy-mm") &amp; TRIM(tbl_Ledger[[#This Row],[Currency]])</f>
        <v>2025-09NGN</v>
      </c>
      <c r="P1174" s="25">
        <f>_xlfn.XLOOKUP(tbl_Ledger[[#This Row],[Key]], tbl_FX[Key], tbl_FX[Rate_to_NGN])</f>
        <v>1</v>
      </c>
      <c r="Q1174" s="37">
        <f>IF(tbl_Ledger[[#This Row],[Account_Type]]="Expense",-ABS(tbl_Ledger[[#This Row],[Amount]]*tbl_Ledger[[#This Row],[Rate_to_NGN]]),tbl_Ledger[[#This Row],[Amount]]*tbl_Ledger[[#This Row],[Rate_to_NGN]])</f>
        <v>37200</v>
      </c>
      <c r="R1174" s="25" t="str">
        <f>_xlfn.XLOOKUP(tbl_Ledger[[#This Row],[Account_Code]], tbl_Accounts[Account_Code], tbl_Accounts[Type])</f>
        <v>Revenue</v>
      </c>
      <c r="S1174" s="25" t="str">
        <f>_xlfn.XLOOKUP(tbl_Ledger[[#This Row],[Account_Code]], tbl_Accounts[Account_Code], tbl_Accounts[PL_Bucket])</f>
        <v>Revenue</v>
      </c>
      <c r="T1174" s="25">
        <f t="shared" si="18"/>
        <v>37200</v>
      </c>
    </row>
    <row r="1175" spans="1:20">
      <c r="A1175" t="s">
        <v>3130</v>
      </c>
      <c r="B1175" s="7">
        <v>45914</v>
      </c>
      <c r="C1175" t="s">
        <v>93</v>
      </c>
      <c r="D1175" t="s">
        <v>94</v>
      </c>
      <c r="E1175" t="s">
        <v>107</v>
      </c>
      <c r="F1175" s="12" t="s">
        <v>24</v>
      </c>
      <c r="G1175" t="s">
        <v>25</v>
      </c>
      <c r="H1175" t="s">
        <v>3131</v>
      </c>
      <c r="I1175" t="s">
        <v>71</v>
      </c>
      <c r="J1175" s="6">
        <v>37600</v>
      </c>
      <c r="K1175" t="s">
        <v>3</v>
      </c>
      <c r="L1175" t="s">
        <v>3132</v>
      </c>
      <c r="M1175" t="s">
        <v>3</v>
      </c>
      <c r="N1175" s="25" t="str">
        <f>TEXT(tbl_Ledger[[#This Row],[Date]],"yyyy-mm")</f>
        <v>2025-09</v>
      </c>
      <c r="O1175" s="25" t="str">
        <f>TEXT(tbl_Ledger[[#This Row],[Date]],"yyyy-mm") &amp; TRIM(tbl_Ledger[[#This Row],[Currency]])</f>
        <v>2025-09NGN</v>
      </c>
      <c r="P1175" s="25">
        <f>_xlfn.XLOOKUP(tbl_Ledger[[#This Row],[Key]], tbl_FX[Key], tbl_FX[Rate_to_NGN])</f>
        <v>1</v>
      </c>
      <c r="Q1175" s="37">
        <f>IF(tbl_Ledger[[#This Row],[Account_Type]]="Expense",-ABS(tbl_Ledger[[#This Row],[Amount]]*tbl_Ledger[[#This Row],[Rate_to_NGN]]),tbl_Ledger[[#This Row],[Amount]]*tbl_Ledger[[#This Row],[Rate_to_NGN]])</f>
        <v>37600</v>
      </c>
      <c r="R1175" s="25" t="str">
        <f>_xlfn.XLOOKUP(tbl_Ledger[[#This Row],[Account_Code]], tbl_Accounts[Account_Code], tbl_Accounts[Type])</f>
        <v>Revenue</v>
      </c>
      <c r="S1175" s="25" t="str">
        <f>_xlfn.XLOOKUP(tbl_Ledger[[#This Row],[Account_Code]], tbl_Accounts[Account_Code], tbl_Accounts[PL_Bucket])</f>
        <v>Revenue</v>
      </c>
      <c r="T1175" s="25">
        <f t="shared" si="18"/>
        <v>37600</v>
      </c>
    </row>
    <row r="1176" spans="1:20">
      <c r="A1176" t="s">
        <v>3133</v>
      </c>
      <c r="B1176" s="7">
        <v>45914</v>
      </c>
      <c r="C1176" t="s">
        <v>93</v>
      </c>
      <c r="D1176" t="s">
        <v>111</v>
      </c>
      <c r="E1176" t="s">
        <v>112</v>
      </c>
      <c r="F1176" s="12" t="s">
        <v>24</v>
      </c>
      <c r="G1176" t="s">
        <v>25</v>
      </c>
      <c r="H1176" t="s">
        <v>3134</v>
      </c>
      <c r="I1176" t="s">
        <v>71</v>
      </c>
      <c r="J1176" s="6">
        <v>61000</v>
      </c>
      <c r="K1176" t="s">
        <v>3</v>
      </c>
      <c r="L1176" t="s">
        <v>3135</v>
      </c>
      <c r="M1176" t="s">
        <v>3</v>
      </c>
      <c r="N1176" s="25" t="str">
        <f>TEXT(tbl_Ledger[[#This Row],[Date]],"yyyy-mm")</f>
        <v>2025-09</v>
      </c>
      <c r="O1176" s="25" t="str">
        <f>TEXT(tbl_Ledger[[#This Row],[Date]],"yyyy-mm") &amp; TRIM(tbl_Ledger[[#This Row],[Currency]])</f>
        <v>2025-09NGN</v>
      </c>
      <c r="P1176" s="25">
        <f>_xlfn.XLOOKUP(tbl_Ledger[[#This Row],[Key]], tbl_FX[Key], tbl_FX[Rate_to_NGN])</f>
        <v>1</v>
      </c>
      <c r="Q1176" s="37">
        <f>IF(tbl_Ledger[[#This Row],[Account_Type]]="Expense",-ABS(tbl_Ledger[[#This Row],[Amount]]*tbl_Ledger[[#This Row],[Rate_to_NGN]]),tbl_Ledger[[#This Row],[Amount]]*tbl_Ledger[[#This Row],[Rate_to_NGN]])</f>
        <v>61000</v>
      </c>
      <c r="R1176" s="25" t="str">
        <f>_xlfn.XLOOKUP(tbl_Ledger[[#This Row],[Account_Code]], tbl_Accounts[Account_Code], tbl_Accounts[Type])</f>
        <v>Revenue</v>
      </c>
      <c r="S1176" s="25" t="str">
        <f>_xlfn.XLOOKUP(tbl_Ledger[[#This Row],[Account_Code]], tbl_Accounts[Account_Code], tbl_Accounts[PL_Bucket])</f>
        <v>Revenue</v>
      </c>
      <c r="T1176" s="25">
        <f t="shared" si="18"/>
        <v>61000</v>
      </c>
    </row>
    <row r="1177" spans="1:20">
      <c r="A1177" t="s">
        <v>3136</v>
      </c>
      <c r="B1177" s="7">
        <v>45914</v>
      </c>
      <c r="C1177" t="s">
        <v>93</v>
      </c>
      <c r="D1177" t="s">
        <v>111</v>
      </c>
      <c r="E1177" t="s">
        <v>116</v>
      </c>
      <c r="F1177" s="12" t="s">
        <v>24</v>
      </c>
      <c r="G1177" t="s">
        <v>25</v>
      </c>
      <c r="H1177" t="s">
        <v>3137</v>
      </c>
      <c r="I1177" t="s">
        <v>71</v>
      </c>
      <c r="J1177" s="6">
        <v>62100</v>
      </c>
      <c r="K1177" t="s">
        <v>3</v>
      </c>
      <c r="L1177" t="s">
        <v>3135</v>
      </c>
      <c r="M1177" t="s">
        <v>3</v>
      </c>
      <c r="N1177" s="25" t="str">
        <f>TEXT(tbl_Ledger[[#This Row],[Date]],"yyyy-mm")</f>
        <v>2025-09</v>
      </c>
      <c r="O1177" s="25" t="str">
        <f>TEXT(tbl_Ledger[[#This Row],[Date]],"yyyy-mm") &amp; TRIM(tbl_Ledger[[#This Row],[Currency]])</f>
        <v>2025-09NGN</v>
      </c>
      <c r="P1177" s="25">
        <f>_xlfn.XLOOKUP(tbl_Ledger[[#This Row],[Key]], tbl_FX[Key], tbl_FX[Rate_to_NGN])</f>
        <v>1</v>
      </c>
      <c r="Q1177" s="37">
        <f>IF(tbl_Ledger[[#This Row],[Account_Type]]="Expense",-ABS(tbl_Ledger[[#This Row],[Amount]]*tbl_Ledger[[#This Row],[Rate_to_NGN]]),tbl_Ledger[[#This Row],[Amount]]*tbl_Ledger[[#This Row],[Rate_to_NGN]])</f>
        <v>62100</v>
      </c>
      <c r="R1177" s="25" t="str">
        <f>_xlfn.XLOOKUP(tbl_Ledger[[#This Row],[Account_Code]], tbl_Accounts[Account_Code], tbl_Accounts[Type])</f>
        <v>Revenue</v>
      </c>
      <c r="S1177" s="25" t="str">
        <f>_xlfn.XLOOKUP(tbl_Ledger[[#This Row],[Account_Code]], tbl_Accounts[Account_Code], tbl_Accounts[PL_Bucket])</f>
        <v>Revenue</v>
      </c>
      <c r="T1177" s="25">
        <f t="shared" si="18"/>
        <v>62100</v>
      </c>
    </row>
    <row r="1178" spans="1:20">
      <c r="A1178" t="s">
        <v>3138</v>
      </c>
      <c r="B1178" s="7">
        <v>45914</v>
      </c>
      <c r="C1178" t="s">
        <v>93</v>
      </c>
      <c r="D1178" t="s">
        <v>111</v>
      </c>
      <c r="E1178" t="s">
        <v>119</v>
      </c>
      <c r="F1178" s="12" t="s">
        <v>24</v>
      </c>
      <c r="G1178" t="s">
        <v>25</v>
      </c>
      <c r="H1178" t="s">
        <v>3139</v>
      </c>
      <c r="I1178" t="s">
        <v>71</v>
      </c>
      <c r="J1178" s="6">
        <v>66300</v>
      </c>
      <c r="K1178" t="s">
        <v>3</v>
      </c>
      <c r="L1178" t="s">
        <v>3135</v>
      </c>
      <c r="M1178" t="s">
        <v>3</v>
      </c>
      <c r="N1178" s="25" t="str">
        <f>TEXT(tbl_Ledger[[#This Row],[Date]],"yyyy-mm")</f>
        <v>2025-09</v>
      </c>
      <c r="O1178" s="25" t="str">
        <f>TEXT(tbl_Ledger[[#This Row],[Date]],"yyyy-mm") &amp; TRIM(tbl_Ledger[[#This Row],[Currency]])</f>
        <v>2025-09NGN</v>
      </c>
      <c r="P1178" s="25">
        <f>_xlfn.XLOOKUP(tbl_Ledger[[#This Row],[Key]], tbl_FX[Key], tbl_FX[Rate_to_NGN])</f>
        <v>1</v>
      </c>
      <c r="Q1178" s="37">
        <f>IF(tbl_Ledger[[#This Row],[Account_Type]]="Expense",-ABS(tbl_Ledger[[#This Row],[Amount]]*tbl_Ledger[[#This Row],[Rate_to_NGN]]),tbl_Ledger[[#This Row],[Amount]]*tbl_Ledger[[#This Row],[Rate_to_NGN]])</f>
        <v>66300</v>
      </c>
      <c r="R1178" s="25" t="str">
        <f>_xlfn.XLOOKUP(tbl_Ledger[[#This Row],[Account_Code]], tbl_Accounts[Account_Code], tbl_Accounts[Type])</f>
        <v>Revenue</v>
      </c>
      <c r="S1178" s="25" t="str">
        <f>_xlfn.XLOOKUP(tbl_Ledger[[#This Row],[Account_Code]], tbl_Accounts[Account_Code], tbl_Accounts[PL_Bucket])</f>
        <v>Revenue</v>
      </c>
      <c r="T1178" s="25">
        <f t="shared" si="18"/>
        <v>66300</v>
      </c>
    </row>
    <row r="1179" spans="1:20">
      <c r="A1179" t="s">
        <v>3140</v>
      </c>
      <c r="B1179" s="7">
        <v>45914</v>
      </c>
      <c r="C1179" t="s">
        <v>93</v>
      </c>
      <c r="D1179" t="s">
        <v>111</v>
      </c>
      <c r="E1179" t="s">
        <v>170</v>
      </c>
      <c r="F1179" s="12" t="s">
        <v>24</v>
      </c>
      <c r="G1179" t="s">
        <v>25</v>
      </c>
      <c r="H1179" t="s">
        <v>3141</v>
      </c>
      <c r="I1179" t="s">
        <v>71</v>
      </c>
      <c r="J1179" s="6">
        <v>65100</v>
      </c>
      <c r="K1179" t="s">
        <v>3</v>
      </c>
      <c r="L1179" t="s">
        <v>3135</v>
      </c>
      <c r="M1179" t="s">
        <v>3</v>
      </c>
      <c r="N1179" s="25" t="str">
        <f>TEXT(tbl_Ledger[[#This Row],[Date]],"yyyy-mm")</f>
        <v>2025-09</v>
      </c>
      <c r="O1179" s="25" t="str">
        <f>TEXT(tbl_Ledger[[#This Row],[Date]],"yyyy-mm") &amp; TRIM(tbl_Ledger[[#This Row],[Currency]])</f>
        <v>2025-09NGN</v>
      </c>
      <c r="P1179" s="25">
        <f>_xlfn.XLOOKUP(tbl_Ledger[[#This Row],[Key]], tbl_FX[Key], tbl_FX[Rate_to_NGN])</f>
        <v>1</v>
      </c>
      <c r="Q1179" s="37">
        <f>IF(tbl_Ledger[[#This Row],[Account_Type]]="Expense",-ABS(tbl_Ledger[[#This Row],[Amount]]*tbl_Ledger[[#This Row],[Rate_to_NGN]]),tbl_Ledger[[#This Row],[Amount]]*tbl_Ledger[[#This Row],[Rate_to_NGN]])</f>
        <v>65100</v>
      </c>
      <c r="R1179" s="25" t="str">
        <f>_xlfn.XLOOKUP(tbl_Ledger[[#This Row],[Account_Code]], tbl_Accounts[Account_Code], tbl_Accounts[Type])</f>
        <v>Revenue</v>
      </c>
      <c r="S1179" s="25" t="str">
        <f>_xlfn.XLOOKUP(tbl_Ledger[[#This Row],[Account_Code]], tbl_Accounts[Account_Code], tbl_Accounts[PL_Bucket])</f>
        <v>Revenue</v>
      </c>
      <c r="T1179" s="25">
        <f t="shared" si="18"/>
        <v>65100</v>
      </c>
    </row>
    <row r="1180" spans="1:20">
      <c r="A1180" t="s">
        <v>3142</v>
      </c>
      <c r="B1180" s="7">
        <v>45914</v>
      </c>
      <c r="C1180" t="s">
        <v>126</v>
      </c>
      <c r="D1180" t="s">
        <v>88</v>
      </c>
      <c r="E1180" t="s">
        <v>127</v>
      </c>
      <c r="F1180" s="12" t="s">
        <v>29</v>
      </c>
      <c r="G1180" t="s">
        <v>30</v>
      </c>
      <c r="H1180" t="s">
        <v>3143</v>
      </c>
      <c r="I1180" t="s">
        <v>72</v>
      </c>
      <c r="J1180" s="6">
        <v>31.35</v>
      </c>
      <c r="K1180" t="s">
        <v>129</v>
      </c>
      <c r="L1180" t="s">
        <v>3144</v>
      </c>
      <c r="M1180" t="s">
        <v>3</v>
      </c>
      <c r="N1180" s="25" t="str">
        <f>TEXT(tbl_Ledger[[#This Row],[Date]],"yyyy-mm")</f>
        <v>2025-09</v>
      </c>
      <c r="O1180" s="25" t="str">
        <f>TEXT(tbl_Ledger[[#This Row],[Date]],"yyyy-mm") &amp; TRIM(tbl_Ledger[[#This Row],[Currency]])</f>
        <v>2025-09USD</v>
      </c>
      <c r="P1180" s="25">
        <f>_xlfn.XLOOKUP(tbl_Ledger[[#This Row],[Key]], tbl_FX[Key], tbl_FX[Rate_to_NGN])</f>
        <v>1611</v>
      </c>
      <c r="Q1180" s="37">
        <f>IF(tbl_Ledger[[#This Row],[Account_Type]]="Expense",-ABS(tbl_Ledger[[#This Row],[Amount]]*tbl_Ledger[[#This Row],[Rate_to_NGN]]),tbl_Ledger[[#This Row],[Amount]]*tbl_Ledger[[#This Row],[Rate_to_NGN]])</f>
        <v>50504.850000000006</v>
      </c>
      <c r="R1180" s="25" t="str">
        <f>_xlfn.XLOOKUP(tbl_Ledger[[#This Row],[Account_Code]], tbl_Accounts[Account_Code], tbl_Accounts[Type])</f>
        <v>Revenue</v>
      </c>
      <c r="S1180" s="25" t="str">
        <f>_xlfn.XLOOKUP(tbl_Ledger[[#This Row],[Account_Code]], tbl_Accounts[Account_Code], tbl_Accounts[PL_Bucket])</f>
        <v>Revenue</v>
      </c>
      <c r="T1180" s="25">
        <f t="shared" si="18"/>
        <v>50504.850000000006</v>
      </c>
    </row>
    <row r="1181" spans="1:20">
      <c r="A1181" t="s">
        <v>3145</v>
      </c>
      <c r="B1181" s="7">
        <v>45914</v>
      </c>
      <c r="C1181" t="s">
        <v>126</v>
      </c>
      <c r="D1181" t="s">
        <v>88</v>
      </c>
      <c r="E1181" t="s">
        <v>132</v>
      </c>
      <c r="F1181" s="12" t="s">
        <v>29</v>
      </c>
      <c r="G1181" t="s">
        <v>30</v>
      </c>
      <c r="H1181" t="s">
        <v>3146</v>
      </c>
      <c r="I1181" t="s">
        <v>71</v>
      </c>
      <c r="J1181" s="6">
        <v>49300</v>
      </c>
      <c r="K1181" t="s">
        <v>134</v>
      </c>
      <c r="L1181" t="s">
        <v>3144</v>
      </c>
      <c r="M1181" t="s">
        <v>3</v>
      </c>
      <c r="N1181" s="25" t="str">
        <f>TEXT(tbl_Ledger[[#This Row],[Date]],"yyyy-mm")</f>
        <v>2025-09</v>
      </c>
      <c r="O1181" s="25" t="str">
        <f>TEXT(tbl_Ledger[[#This Row],[Date]],"yyyy-mm") &amp; TRIM(tbl_Ledger[[#This Row],[Currency]])</f>
        <v>2025-09NGN</v>
      </c>
      <c r="P1181" s="25">
        <f>_xlfn.XLOOKUP(tbl_Ledger[[#This Row],[Key]], tbl_FX[Key], tbl_FX[Rate_to_NGN])</f>
        <v>1</v>
      </c>
      <c r="Q1181" s="37">
        <f>IF(tbl_Ledger[[#This Row],[Account_Type]]="Expense",-ABS(tbl_Ledger[[#This Row],[Amount]]*tbl_Ledger[[#This Row],[Rate_to_NGN]]),tbl_Ledger[[#This Row],[Amount]]*tbl_Ledger[[#This Row],[Rate_to_NGN]])</f>
        <v>49300</v>
      </c>
      <c r="R1181" s="25" t="str">
        <f>_xlfn.XLOOKUP(tbl_Ledger[[#This Row],[Account_Code]], tbl_Accounts[Account_Code], tbl_Accounts[Type])</f>
        <v>Revenue</v>
      </c>
      <c r="S1181" s="25" t="str">
        <f>_xlfn.XLOOKUP(tbl_Ledger[[#This Row],[Account_Code]], tbl_Accounts[Account_Code], tbl_Accounts[PL_Bucket])</f>
        <v>Revenue</v>
      </c>
      <c r="T1181" s="25">
        <f t="shared" si="18"/>
        <v>49300</v>
      </c>
    </row>
    <row r="1182" spans="1:20">
      <c r="A1182" t="s">
        <v>3147</v>
      </c>
      <c r="B1182" s="7">
        <v>45914</v>
      </c>
      <c r="C1182" t="s">
        <v>126</v>
      </c>
      <c r="D1182" t="s">
        <v>88</v>
      </c>
      <c r="E1182" t="s">
        <v>136</v>
      </c>
      <c r="F1182" s="12" t="s">
        <v>29</v>
      </c>
      <c r="G1182" t="s">
        <v>30</v>
      </c>
      <c r="H1182" t="s">
        <v>3148</v>
      </c>
      <c r="I1182" t="s">
        <v>71</v>
      </c>
      <c r="J1182" s="6">
        <v>51400</v>
      </c>
      <c r="K1182" t="s">
        <v>138</v>
      </c>
      <c r="L1182" t="s">
        <v>3144</v>
      </c>
      <c r="M1182" t="s">
        <v>3</v>
      </c>
      <c r="N1182" s="25" t="str">
        <f>TEXT(tbl_Ledger[[#This Row],[Date]],"yyyy-mm")</f>
        <v>2025-09</v>
      </c>
      <c r="O1182" s="25" t="str">
        <f>TEXT(tbl_Ledger[[#This Row],[Date]],"yyyy-mm") &amp; TRIM(tbl_Ledger[[#This Row],[Currency]])</f>
        <v>2025-09NGN</v>
      </c>
      <c r="P1182" s="25">
        <f>_xlfn.XLOOKUP(tbl_Ledger[[#This Row],[Key]], tbl_FX[Key], tbl_FX[Rate_to_NGN])</f>
        <v>1</v>
      </c>
      <c r="Q1182" s="37">
        <f>IF(tbl_Ledger[[#This Row],[Account_Type]]="Expense",-ABS(tbl_Ledger[[#This Row],[Amount]]*tbl_Ledger[[#This Row],[Rate_to_NGN]]),tbl_Ledger[[#This Row],[Amount]]*tbl_Ledger[[#This Row],[Rate_to_NGN]])</f>
        <v>51400</v>
      </c>
      <c r="R1182" s="25" t="str">
        <f>_xlfn.XLOOKUP(tbl_Ledger[[#This Row],[Account_Code]], tbl_Accounts[Account_Code], tbl_Accounts[Type])</f>
        <v>Revenue</v>
      </c>
      <c r="S1182" s="25" t="str">
        <f>_xlfn.XLOOKUP(tbl_Ledger[[#This Row],[Account_Code]], tbl_Accounts[Account_Code], tbl_Accounts[PL_Bucket])</f>
        <v>Revenue</v>
      </c>
      <c r="T1182" s="25">
        <f t="shared" si="18"/>
        <v>51400</v>
      </c>
    </row>
    <row r="1183" spans="1:20">
      <c r="A1183" t="s">
        <v>3149</v>
      </c>
      <c r="B1183" s="7">
        <v>45914</v>
      </c>
      <c r="C1183" t="s">
        <v>126</v>
      </c>
      <c r="D1183" t="s">
        <v>88</v>
      </c>
      <c r="E1183" t="s">
        <v>140</v>
      </c>
      <c r="F1183" s="12" t="s">
        <v>29</v>
      </c>
      <c r="G1183" t="s">
        <v>30</v>
      </c>
      <c r="H1183" t="s">
        <v>3150</v>
      </c>
      <c r="I1183" t="s">
        <v>71</v>
      </c>
      <c r="J1183" s="6">
        <v>57400</v>
      </c>
      <c r="K1183" t="s">
        <v>3</v>
      </c>
      <c r="L1183" t="s">
        <v>3151</v>
      </c>
      <c r="M1183" t="s">
        <v>3</v>
      </c>
      <c r="N1183" s="25" t="str">
        <f>TEXT(tbl_Ledger[[#This Row],[Date]],"yyyy-mm")</f>
        <v>2025-09</v>
      </c>
      <c r="O1183" s="25" t="str">
        <f>TEXT(tbl_Ledger[[#This Row],[Date]],"yyyy-mm") &amp; TRIM(tbl_Ledger[[#This Row],[Currency]])</f>
        <v>2025-09NGN</v>
      </c>
      <c r="P1183" s="25">
        <f>_xlfn.XLOOKUP(tbl_Ledger[[#This Row],[Key]], tbl_FX[Key], tbl_FX[Rate_to_NGN])</f>
        <v>1</v>
      </c>
      <c r="Q1183" s="37">
        <f>IF(tbl_Ledger[[#This Row],[Account_Type]]="Expense",-ABS(tbl_Ledger[[#This Row],[Amount]]*tbl_Ledger[[#This Row],[Rate_to_NGN]]),tbl_Ledger[[#This Row],[Amount]]*tbl_Ledger[[#This Row],[Rate_to_NGN]])</f>
        <v>57400</v>
      </c>
      <c r="R1183" s="25" t="str">
        <f>_xlfn.XLOOKUP(tbl_Ledger[[#This Row],[Account_Code]], tbl_Accounts[Account_Code], tbl_Accounts[Type])</f>
        <v>Revenue</v>
      </c>
      <c r="S1183" s="25" t="str">
        <f>_xlfn.XLOOKUP(tbl_Ledger[[#This Row],[Account_Code]], tbl_Accounts[Account_Code], tbl_Accounts[PL_Bucket])</f>
        <v>Revenue</v>
      </c>
      <c r="T1183" s="25">
        <f t="shared" si="18"/>
        <v>57400</v>
      </c>
    </row>
    <row r="1184" spans="1:20">
      <c r="A1184" t="s">
        <v>3152</v>
      </c>
      <c r="B1184" s="7">
        <v>45914</v>
      </c>
      <c r="C1184" t="s">
        <v>93</v>
      </c>
      <c r="D1184" t="s">
        <v>111</v>
      </c>
      <c r="E1184" t="s">
        <v>112</v>
      </c>
      <c r="F1184" s="12" t="s">
        <v>31</v>
      </c>
      <c r="G1184" t="s">
        <v>32</v>
      </c>
      <c r="H1184" t="s">
        <v>3153</v>
      </c>
      <c r="I1184" t="s">
        <v>71</v>
      </c>
      <c r="J1184" s="6">
        <v>129408</v>
      </c>
      <c r="K1184" t="s">
        <v>3</v>
      </c>
      <c r="L1184" t="s">
        <v>3154</v>
      </c>
      <c r="M1184" t="s">
        <v>237</v>
      </c>
      <c r="N1184" s="25" t="str">
        <f>TEXT(tbl_Ledger[[#This Row],[Date]],"yyyy-mm")</f>
        <v>2025-09</v>
      </c>
      <c r="O1184" s="25" t="str">
        <f>TEXT(tbl_Ledger[[#This Row],[Date]],"yyyy-mm") &amp; TRIM(tbl_Ledger[[#This Row],[Currency]])</f>
        <v>2025-09NGN</v>
      </c>
      <c r="P1184" s="25">
        <f>_xlfn.XLOOKUP(tbl_Ledger[[#This Row],[Key]], tbl_FX[Key], tbl_FX[Rate_to_NGN])</f>
        <v>1</v>
      </c>
      <c r="Q1184" s="37">
        <f>IF(tbl_Ledger[[#This Row],[Account_Type]]="Expense",-ABS(tbl_Ledger[[#This Row],[Amount]]*tbl_Ledger[[#This Row],[Rate_to_NGN]]),tbl_Ledger[[#This Row],[Amount]]*tbl_Ledger[[#This Row],[Rate_to_NGN]])</f>
        <v>129408</v>
      </c>
      <c r="R1184" s="25" t="str">
        <f>_xlfn.XLOOKUP(tbl_Ledger[[#This Row],[Account_Code]], tbl_Accounts[Account_Code], tbl_Accounts[Type])</f>
        <v>Revenue</v>
      </c>
      <c r="S1184" s="25" t="str">
        <f>_xlfn.XLOOKUP(tbl_Ledger[[#This Row],[Account_Code]], tbl_Accounts[Account_Code], tbl_Accounts[PL_Bucket])</f>
        <v>Revenue</v>
      </c>
      <c r="T1184" s="25">
        <f t="shared" si="18"/>
        <v>129408</v>
      </c>
    </row>
    <row r="1185" spans="1:20">
      <c r="A1185" t="s">
        <v>3155</v>
      </c>
      <c r="B1185" s="7">
        <v>45914</v>
      </c>
      <c r="C1185" t="s">
        <v>87</v>
      </c>
      <c r="D1185" t="s">
        <v>88</v>
      </c>
      <c r="E1185" t="s">
        <v>3</v>
      </c>
      <c r="F1185" s="12" t="s">
        <v>40</v>
      </c>
      <c r="G1185" t="s">
        <v>41</v>
      </c>
      <c r="H1185" t="s">
        <v>2656</v>
      </c>
      <c r="I1185" t="s">
        <v>71</v>
      </c>
      <c r="J1185" s="6">
        <v>-452000</v>
      </c>
      <c r="K1185" t="s">
        <v>90</v>
      </c>
      <c r="L1185" t="s">
        <v>3156</v>
      </c>
      <c r="M1185" t="s">
        <v>3</v>
      </c>
      <c r="N1185" s="25" t="str">
        <f>TEXT(tbl_Ledger[[#This Row],[Date]],"yyyy-mm")</f>
        <v>2025-09</v>
      </c>
      <c r="O1185" s="25" t="str">
        <f>TEXT(tbl_Ledger[[#This Row],[Date]],"yyyy-mm") &amp; TRIM(tbl_Ledger[[#This Row],[Currency]])</f>
        <v>2025-09NGN</v>
      </c>
      <c r="P1185" s="25">
        <f>_xlfn.XLOOKUP(tbl_Ledger[[#This Row],[Key]], tbl_FX[Key], tbl_FX[Rate_to_NGN])</f>
        <v>1</v>
      </c>
      <c r="Q1185" s="37">
        <f>IF(tbl_Ledger[[#This Row],[Account_Type]]="Expense",-ABS(tbl_Ledger[[#This Row],[Amount]]*tbl_Ledger[[#This Row],[Rate_to_NGN]]),tbl_Ledger[[#This Row],[Amount]]*tbl_Ledger[[#This Row],[Rate_to_NGN]])</f>
        <v>-452000</v>
      </c>
      <c r="R1185" s="25" t="str">
        <f>_xlfn.XLOOKUP(tbl_Ledger[[#This Row],[Account_Code]], tbl_Accounts[Account_Code], tbl_Accounts[Type])</f>
        <v>COGS</v>
      </c>
      <c r="S1185" s="25" t="str">
        <f>_xlfn.XLOOKUP(tbl_Ledger[[#This Row],[Account_Code]], tbl_Accounts[Account_Code], tbl_Accounts[PL_Bucket])</f>
        <v>COGS</v>
      </c>
      <c r="T1185" s="25">
        <f t="shared" si="18"/>
        <v>-452000</v>
      </c>
    </row>
    <row r="1186" spans="1:20">
      <c r="A1186" t="s">
        <v>3157</v>
      </c>
      <c r="B1186" s="7">
        <v>45914</v>
      </c>
      <c r="C1186" t="s">
        <v>87</v>
      </c>
      <c r="D1186" t="s">
        <v>88</v>
      </c>
      <c r="E1186" t="s">
        <v>3</v>
      </c>
      <c r="F1186" s="12" t="s">
        <v>40</v>
      </c>
      <c r="G1186" t="s">
        <v>41</v>
      </c>
      <c r="H1186" t="s">
        <v>2656</v>
      </c>
      <c r="I1186" t="s">
        <v>71</v>
      </c>
      <c r="J1186" s="6">
        <v>-489000</v>
      </c>
      <c r="K1186" t="s">
        <v>90</v>
      </c>
      <c r="L1186" t="s">
        <v>3158</v>
      </c>
      <c r="M1186" t="s">
        <v>3</v>
      </c>
      <c r="N1186" s="25" t="str">
        <f>TEXT(tbl_Ledger[[#This Row],[Date]],"yyyy-mm")</f>
        <v>2025-09</v>
      </c>
      <c r="O1186" s="25" t="str">
        <f>TEXT(tbl_Ledger[[#This Row],[Date]],"yyyy-mm") &amp; TRIM(tbl_Ledger[[#This Row],[Currency]])</f>
        <v>2025-09NGN</v>
      </c>
      <c r="P1186" s="25">
        <f>_xlfn.XLOOKUP(tbl_Ledger[[#This Row],[Key]], tbl_FX[Key], tbl_FX[Rate_to_NGN])</f>
        <v>1</v>
      </c>
      <c r="Q1186" s="37">
        <f>IF(tbl_Ledger[[#This Row],[Account_Type]]="Expense",-ABS(tbl_Ledger[[#This Row],[Amount]]*tbl_Ledger[[#This Row],[Rate_to_NGN]]),tbl_Ledger[[#This Row],[Amount]]*tbl_Ledger[[#This Row],[Rate_to_NGN]])</f>
        <v>-489000</v>
      </c>
      <c r="R1186" s="25" t="str">
        <f>_xlfn.XLOOKUP(tbl_Ledger[[#This Row],[Account_Code]], tbl_Accounts[Account_Code], tbl_Accounts[Type])</f>
        <v>COGS</v>
      </c>
      <c r="S1186" s="25" t="str">
        <f>_xlfn.XLOOKUP(tbl_Ledger[[#This Row],[Account_Code]], tbl_Accounts[Account_Code], tbl_Accounts[PL_Bucket])</f>
        <v>COGS</v>
      </c>
      <c r="T1186" s="25">
        <f t="shared" si="18"/>
        <v>-489000</v>
      </c>
    </row>
    <row r="1187" spans="1:20">
      <c r="A1187" t="s">
        <v>3159</v>
      </c>
      <c r="B1187" s="7">
        <v>45915</v>
      </c>
      <c r="C1187" t="s">
        <v>93</v>
      </c>
      <c r="D1187" t="s">
        <v>94</v>
      </c>
      <c r="E1187" t="s">
        <v>95</v>
      </c>
      <c r="F1187" s="12" t="s">
        <v>24</v>
      </c>
      <c r="G1187" t="s">
        <v>25</v>
      </c>
      <c r="H1187" t="s">
        <v>3160</v>
      </c>
      <c r="I1187" t="s">
        <v>71</v>
      </c>
      <c r="J1187" s="6">
        <v>28800</v>
      </c>
      <c r="K1187" t="s">
        <v>3</v>
      </c>
      <c r="L1187" t="s">
        <v>3161</v>
      </c>
      <c r="M1187" t="s">
        <v>3</v>
      </c>
      <c r="N1187" s="25" t="str">
        <f>TEXT(tbl_Ledger[[#This Row],[Date]],"yyyy-mm")</f>
        <v>2025-09</v>
      </c>
      <c r="O1187" s="25" t="str">
        <f>TEXT(tbl_Ledger[[#This Row],[Date]],"yyyy-mm") &amp; TRIM(tbl_Ledger[[#This Row],[Currency]])</f>
        <v>2025-09NGN</v>
      </c>
      <c r="P1187" s="25">
        <f>_xlfn.XLOOKUP(tbl_Ledger[[#This Row],[Key]], tbl_FX[Key], tbl_FX[Rate_to_NGN])</f>
        <v>1</v>
      </c>
      <c r="Q1187" s="37">
        <f>IF(tbl_Ledger[[#This Row],[Account_Type]]="Expense",-ABS(tbl_Ledger[[#This Row],[Amount]]*tbl_Ledger[[#This Row],[Rate_to_NGN]]),tbl_Ledger[[#This Row],[Amount]]*tbl_Ledger[[#This Row],[Rate_to_NGN]])</f>
        <v>28800</v>
      </c>
      <c r="R1187" s="25" t="str">
        <f>_xlfn.XLOOKUP(tbl_Ledger[[#This Row],[Account_Code]], tbl_Accounts[Account_Code], tbl_Accounts[Type])</f>
        <v>Revenue</v>
      </c>
      <c r="S1187" s="25" t="str">
        <f>_xlfn.XLOOKUP(tbl_Ledger[[#This Row],[Account_Code]], tbl_Accounts[Account_Code], tbl_Accounts[PL_Bucket])</f>
        <v>Revenue</v>
      </c>
      <c r="T1187" s="25">
        <f t="shared" si="18"/>
        <v>28800</v>
      </c>
    </row>
    <row r="1188" spans="1:20">
      <c r="A1188" t="s">
        <v>3162</v>
      </c>
      <c r="B1188" s="7">
        <v>45915</v>
      </c>
      <c r="C1188" t="s">
        <v>93</v>
      </c>
      <c r="D1188" t="s">
        <v>94</v>
      </c>
      <c r="E1188" t="s">
        <v>99</v>
      </c>
      <c r="F1188" s="12" t="s">
        <v>24</v>
      </c>
      <c r="G1188" t="s">
        <v>25</v>
      </c>
      <c r="H1188" t="s">
        <v>3163</v>
      </c>
      <c r="I1188" t="s">
        <v>71</v>
      </c>
      <c r="J1188" s="6">
        <v>28700</v>
      </c>
      <c r="K1188" t="s">
        <v>3</v>
      </c>
      <c r="L1188" t="s">
        <v>3164</v>
      </c>
      <c r="M1188" t="s">
        <v>3</v>
      </c>
      <c r="N1188" s="25" t="str">
        <f>TEXT(tbl_Ledger[[#This Row],[Date]],"yyyy-mm")</f>
        <v>2025-09</v>
      </c>
      <c r="O1188" s="25" t="str">
        <f>TEXT(tbl_Ledger[[#This Row],[Date]],"yyyy-mm") &amp; TRIM(tbl_Ledger[[#This Row],[Currency]])</f>
        <v>2025-09NGN</v>
      </c>
      <c r="P1188" s="25">
        <f>_xlfn.XLOOKUP(tbl_Ledger[[#This Row],[Key]], tbl_FX[Key], tbl_FX[Rate_to_NGN])</f>
        <v>1</v>
      </c>
      <c r="Q1188" s="37">
        <f>IF(tbl_Ledger[[#This Row],[Account_Type]]="Expense",-ABS(tbl_Ledger[[#This Row],[Amount]]*tbl_Ledger[[#This Row],[Rate_to_NGN]]),tbl_Ledger[[#This Row],[Amount]]*tbl_Ledger[[#This Row],[Rate_to_NGN]])</f>
        <v>28700</v>
      </c>
      <c r="R1188" s="25" t="str">
        <f>_xlfn.XLOOKUP(tbl_Ledger[[#This Row],[Account_Code]], tbl_Accounts[Account_Code], tbl_Accounts[Type])</f>
        <v>Revenue</v>
      </c>
      <c r="S1188" s="25" t="str">
        <f>_xlfn.XLOOKUP(tbl_Ledger[[#This Row],[Account_Code]], tbl_Accounts[Account_Code], tbl_Accounts[PL_Bucket])</f>
        <v>Revenue</v>
      </c>
      <c r="T1188" s="25">
        <f t="shared" si="18"/>
        <v>28700</v>
      </c>
    </row>
    <row r="1189" spans="1:20">
      <c r="A1189" t="s">
        <v>3165</v>
      </c>
      <c r="B1189" s="7">
        <v>45915</v>
      </c>
      <c r="C1189" t="s">
        <v>93</v>
      </c>
      <c r="D1189" t="s">
        <v>94</v>
      </c>
      <c r="E1189" t="s">
        <v>103</v>
      </c>
      <c r="F1189" s="12" t="s">
        <v>24</v>
      </c>
      <c r="G1189" t="s">
        <v>25</v>
      </c>
      <c r="H1189" t="s">
        <v>3166</v>
      </c>
      <c r="I1189" t="s">
        <v>71</v>
      </c>
      <c r="J1189" s="6">
        <v>33100</v>
      </c>
      <c r="K1189" t="s">
        <v>3</v>
      </c>
      <c r="L1189" t="s">
        <v>3167</v>
      </c>
      <c r="M1189" t="s">
        <v>3</v>
      </c>
      <c r="N1189" s="25" t="str">
        <f>TEXT(tbl_Ledger[[#This Row],[Date]],"yyyy-mm")</f>
        <v>2025-09</v>
      </c>
      <c r="O1189" s="25" t="str">
        <f>TEXT(tbl_Ledger[[#This Row],[Date]],"yyyy-mm") &amp; TRIM(tbl_Ledger[[#This Row],[Currency]])</f>
        <v>2025-09NGN</v>
      </c>
      <c r="P1189" s="25">
        <f>_xlfn.XLOOKUP(tbl_Ledger[[#This Row],[Key]], tbl_FX[Key], tbl_FX[Rate_to_NGN])</f>
        <v>1</v>
      </c>
      <c r="Q1189" s="37">
        <f>IF(tbl_Ledger[[#This Row],[Account_Type]]="Expense",-ABS(tbl_Ledger[[#This Row],[Amount]]*tbl_Ledger[[#This Row],[Rate_to_NGN]]),tbl_Ledger[[#This Row],[Amount]]*tbl_Ledger[[#This Row],[Rate_to_NGN]])</f>
        <v>33100</v>
      </c>
      <c r="R1189" s="25" t="str">
        <f>_xlfn.XLOOKUP(tbl_Ledger[[#This Row],[Account_Code]], tbl_Accounts[Account_Code], tbl_Accounts[Type])</f>
        <v>Revenue</v>
      </c>
      <c r="S1189" s="25" t="str">
        <f>_xlfn.XLOOKUP(tbl_Ledger[[#This Row],[Account_Code]], tbl_Accounts[Account_Code], tbl_Accounts[PL_Bucket])</f>
        <v>Revenue</v>
      </c>
      <c r="T1189" s="25">
        <f t="shared" si="18"/>
        <v>33100</v>
      </c>
    </row>
    <row r="1190" spans="1:20">
      <c r="A1190" t="s">
        <v>3168</v>
      </c>
      <c r="B1190" s="7">
        <v>45915</v>
      </c>
      <c r="C1190" t="s">
        <v>93</v>
      </c>
      <c r="D1190" t="s">
        <v>94</v>
      </c>
      <c r="E1190" t="s">
        <v>160</v>
      </c>
      <c r="F1190" s="12" t="s">
        <v>24</v>
      </c>
      <c r="G1190" t="s">
        <v>25</v>
      </c>
      <c r="H1190" t="s">
        <v>3169</v>
      </c>
      <c r="I1190" t="s">
        <v>71</v>
      </c>
      <c r="J1190" s="6">
        <v>31400</v>
      </c>
      <c r="K1190" t="s">
        <v>3</v>
      </c>
      <c r="L1190" t="s">
        <v>3167</v>
      </c>
      <c r="M1190" t="s">
        <v>3</v>
      </c>
      <c r="N1190" s="25" t="str">
        <f>TEXT(tbl_Ledger[[#This Row],[Date]],"yyyy-mm")</f>
        <v>2025-09</v>
      </c>
      <c r="O1190" s="25" t="str">
        <f>TEXT(tbl_Ledger[[#This Row],[Date]],"yyyy-mm") &amp; TRIM(tbl_Ledger[[#This Row],[Currency]])</f>
        <v>2025-09NGN</v>
      </c>
      <c r="P1190" s="25">
        <f>_xlfn.XLOOKUP(tbl_Ledger[[#This Row],[Key]], tbl_FX[Key], tbl_FX[Rate_to_NGN])</f>
        <v>1</v>
      </c>
      <c r="Q1190" s="37">
        <f>IF(tbl_Ledger[[#This Row],[Account_Type]]="Expense",-ABS(tbl_Ledger[[#This Row],[Amount]]*tbl_Ledger[[#This Row],[Rate_to_NGN]]),tbl_Ledger[[#This Row],[Amount]]*tbl_Ledger[[#This Row],[Rate_to_NGN]])</f>
        <v>31400</v>
      </c>
      <c r="R1190" s="25" t="str">
        <f>_xlfn.XLOOKUP(tbl_Ledger[[#This Row],[Account_Code]], tbl_Accounts[Account_Code], tbl_Accounts[Type])</f>
        <v>Revenue</v>
      </c>
      <c r="S1190" s="25" t="str">
        <f>_xlfn.XLOOKUP(tbl_Ledger[[#This Row],[Account_Code]], tbl_Accounts[Account_Code], tbl_Accounts[PL_Bucket])</f>
        <v>Revenue</v>
      </c>
      <c r="T1190" s="25">
        <f t="shared" si="18"/>
        <v>31400</v>
      </c>
    </row>
    <row r="1191" spans="1:20">
      <c r="A1191" t="s">
        <v>3170</v>
      </c>
      <c r="B1191" s="7">
        <v>45915</v>
      </c>
      <c r="C1191" t="s">
        <v>93</v>
      </c>
      <c r="D1191" t="s">
        <v>94</v>
      </c>
      <c r="E1191" t="s">
        <v>107</v>
      </c>
      <c r="F1191" s="12" t="s">
        <v>24</v>
      </c>
      <c r="G1191" t="s">
        <v>25</v>
      </c>
      <c r="H1191" t="s">
        <v>3171</v>
      </c>
      <c r="I1191" t="s">
        <v>71</v>
      </c>
      <c r="J1191" s="6">
        <v>33100</v>
      </c>
      <c r="K1191" t="s">
        <v>3</v>
      </c>
      <c r="L1191" t="s">
        <v>3172</v>
      </c>
      <c r="M1191" t="s">
        <v>3</v>
      </c>
      <c r="N1191" s="25" t="str">
        <f>TEXT(tbl_Ledger[[#This Row],[Date]],"yyyy-mm")</f>
        <v>2025-09</v>
      </c>
      <c r="O1191" s="25" t="str">
        <f>TEXT(tbl_Ledger[[#This Row],[Date]],"yyyy-mm") &amp; TRIM(tbl_Ledger[[#This Row],[Currency]])</f>
        <v>2025-09NGN</v>
      </c>
      <c r="P1191" s="25">
        <f>_xlfn.XLOOKUP(tbl_Ledger[[#This Row],[Key]], tbl_FX[Key], tbl_FX[Rate_to_NGN])</f>
        <v>1</v>
      </c>
      <c r="Q1191" s="37">
        <f>IF(tbl_Ledger[[#This Row],[Account_Type]]="Expense",-ABS(tbl_Ledger[[#This Row],[Amount]]*tbl_Ledger[[#This Row],[Rate_to_NGN]]),tbl_Ledger[[#This Row],[Amount]]*tbl_Ledger[[#This Row],[Rate_to_NGN]])</f>
        <v>33100</v>
      </c>
      <c r="R1191" s="25" t="str">
        <f>_xlfn.XLOOKUP(tbl_Ledger[[#This Row],[Account_Code]], tbl_Accounts[Account_Code], tbl_Accounts[Type])</f>
        <v>Revenue</v>
      </c>
      <c r="S1191" s="25" t="str">
        <f>_xlfn.XLOOKUP(tbl_Ledger[[#This Row],[Account_Code]], tbl_Accounts[Account_Code], tbl_Accounts[PL_Bucket])</f>
        <v>Revenue</v>
      </c>
      <c r="T1191" s="25">
        <f t="shared" si="18"/>
        <v>33100</v>
      </c>
    </row>
    <row r="1192" spans="1:20">
      <c r="A1192" t="s">
        <v>3173</v>
      </c>
      <c r="B1192" s="7">
        <v>45915</v>
      </c>
      <c r="C1192" t="s">
        <v>93</v>
      </c>
      <c r="D1192" t="s">
        <v>111</v>
      </c>
      <c r="E1192" t="s">
        <v>112</v>
      </c>
      <c r="F1192" s="12" t="s">
        <v>24</v>
      </c>
      <c r="G1192" t="s">
        <v>25</v>
      </c>
      <c r="H1192" t="s">
        <v>3174</v>
      </c>
      <c r="I1192" t="s">
        <v>71</v>
      </c>
      <c r="J1192" s="6">
        <v>52700</v>
      </c>
      <c r="K1192" t="s">
        <v>3</v>
      </c>
      <c r="L1192" t="s">
        <v>3175</v>
      </c>
      <c r="M1192" t="s">
        <v>3</v>
      </c>
      <c r="N1192" s="25" t="str">
        <f>TEXT(tbl_Ledger[[#This Row],[Date]],"yyyy-mm")</f>
        <v>2025-09</v>
      </c>
      <c r="O1192" s="25" t="str">
        <f>TEXT(tbl_Ledger[[#This Row],[Date]],"yyyy-mm") &amp; TRIM(tbl_Ledger[[#This Row],[Currency]])</f>
        <v>2025-09NGN</v>
      </c>
      <c r="P1192" s="25">
        <f>_xlfn.XLOOKUP(tbl_Ledger[[#This Row],[Key]], tbl_FX[Key], tbl_FX[Rate_to_NGN])</f>
        <v>1</v>
      </c>
      <c r="Q1192" s="37">
        <f>IF(tbl_Ledger[[#This Row],[Account_Type]]="Expense",-ABS(tbl_Ledger[[#This Row],[Amount]]*tbl_Ledger[[#This Row],[Rate_to_NGN]]),tbl_Ledger[[#This Row],[Amount]]*tbl_Ledger[[#This Row],[Rate_to_NGN]])</f>
        <v>52700</v>
      </c>
      <c r="R1192" s="25" t="str">
        <f>_xlfn.XLOOKUP(tbl_Ledger[[#This Row],[Account_Code]], tbl_Accounts[Account_Code], tbl_Accounts[Type])</f>
        <v>Revenue</v>
      </c>
      <c r="S1192" s="25" t="str">
        <f>_xlfn.XLOOKUP(tbl_Ledger[[#This Row],[Account_Code]], tbl_Accounts[Account_Code], tbl_Accounts[PL_Bucket])</f>
        <v>Revenue</v>
      </c>
      <c r="T1192" s="25">
        <f t="shared" si="18"/>
        <v>52700</v>
      </c>
    </row>
    <row r="1193" spans="1:20">
      <c r="A1193" t="s">
        <v>3176</v>
      </c>
      <c r="B1193" s="7">
        <v>45915</v>
      </c>
      <c r="C1193" t="s">
        <v>93</v>
      </c>
      <c r="D1193" t="s">
        <v>111</v>
      </c>
      <c r="E1193" t="s">
        <v>116</v>
      </c>
      <c r="F1193" s="12" t="s">
        <v>24</v>
      </c>
      <c r="G1193" t="s">
        <v>25</v>
      </c>
      <c r="H1193" t="s">
        <v>3177</v>
      </c>
      <c r="I1193" t="s">
        <v>71</v>
      </c>
      <c r="J1193" s="6">
        <v>51100</v>
      </c>
      <c r="K1193" t="s">
        <v>3</v>
      </c>
      <c r="L1193" t="s">
        <v>3175</v>
      </c>
      <c r="M1193" t="s">
        <v>3</v>
      </c>
      <c r="N1193" s="25" t="str">
        <f>TEXT(tbl_Ledger[[#This Row],[Date]],"yyyy-mm")</f>
        <v>2025-09</v>
      </c>
      <c r="O1193" s="25" t="str">
        <f>TEXT(tbl_Ledger[[#This Row],[Date]],"yyyy-mm") &amp; TRIM(tbl_Ledger[[#This Row],[Currency]])</f>
        <v>2025-09NGN</v>
      </c>
      <c r="P1193" s="25">
        <f>_xlfn.XLOOKUP(tbl_Ledger[[#This Row],[Key]], tbl_FX[Key], tbl_FX[Rate_to_NGN])</f>
        <v>1</v>
      </c>
      <c r="Q1193" s="37">
        <f>IF(tbl_Ledger[[#This Row],[Account_Type]]="Expense",-ABS(tbl_Ledger[[#This Row],[Amount]]*tbl_Ledger[[#This Row],[Rate_to_NGN]]),tbl_Ledger[[#This Row],[Amount]]*tbl_Ledger[[#This Row],[Rate_to_NGN]])</f>
        <v>51100</v>
      </c>
      <c r="R1193" s="25" t="str">
        <f>_xlfn.XLOOKUP(tbl_Ledger[[#This Row],[Account_Code]], tbl_Accounts[Account_Code], tbl_Accounts[Type])</f>
        <v>Revenue</v>
      </c>
      <c r="S1193" s="25" t="str">
        <f>_xlfn.XLOOKUP(tbl_Ledger[[#This Row],[Account_Code]], tbl_Accounts[Account_Code], tbl_Accounts[PL_Bucket])</f>
        <v>Revenue</v>
      </c>
      <c r="T1193" s="25">
        <f t="shared" si="18"/>
        <v>51100</v>
      </c>
    </row>
    <row r="1194" spans="1:20">
      <c r="A1194" t="s">
        <v>3178</v>
      </c>
      <c r="B1194" s="7">
        <v>45915</v>
      </c>
      <c r="C1194" t="s">
        <v>93</v>
      </c>
      <c r="D1194" t="s">
        <v>111</v>
      </c>
      <c r="E1194" t="s">
        <v>119</v>
      </c>
      <c r="F1194" s="12" t="s">
        <v>24</v>
      </c>
      <c r="G1194" t="s">
        <v>25</v>
      </c>
      <c r="H1194" t="s">
        <v>3179</v>
      </c>
      <c r="I1194" t="s">
        <v>71</v>
      </c>
      <c r="J1194" s="6">
        <v>50500</v>
      </c>
      <c r="K1194" t="s">
        <v>3</v>
      </c>
      <c r="L1194" t="s">
        <v>3175</v>
      </c>
      <c r="M1194" t="s">
        <v>3</v>
      </c>
      <c r="N1194" s="25" t="str">
        <f>TEXT(tbl_Ledger[[#This Row],[Date]],"yyyy-mm")</f>
        <v>2025-09</v>
      </c>
      <c r="O1194" s="25" t="str">
        <f>TEXT(tbl_Ledger[[#This Row],[Date]],"yyyy-mm") &amp; TRIM(tbl_Ledger[[#This Row],[Currency]])</f>
        <v>2025-09NGN</v>
      </c>
      <c r="P1194" s="25">
        <f>_xlfn.XLOOKUP(tbl_Ledger[[#This Row],[Key]], tbl_FX[Key], tbl_FX[Rate_to_NGN])</f>
        <v>1</v>
      </c>
      <c r="Q1194" s="37">
        <f>IF(tbl_Ledger[[#This Row],[Account_Type]]="Expense",-ABS(tbl_Ledger[[#This Row],[Amount]]*tbl_Ledger[[#This Row],[Rate_to_NGN]]),tbl_Ledger[[#This Row],[Amount]]*tbl_Ledger[[#This Row],[Rate_to_NGN]])</f>
        <v>50500</v>
      </c>
      <c r="R1194" s="25" t="str">
        <f>_xlfn.XLOOKUP(tbl_Ledger[[#This Row],[Account_Code]], tbl_Accounts[Account_Code], tbl_Accounts[Type])</f>
        <v>Revenue</v>
      </c>
      <c r="S1194" s="25" t="str">
        <f>_xlfn.XLOOKUP(tbl_Ledger[[#This Row],[Account_Code]], tbl_Accounts[Account_Code], tbl_Accounts[PL_Bucket])</f>
        <v>Revenue</v>
      </c>
      <c r="T1194" s="25">
        <f t="shared" si="18"/>
        <v>50500</v>
      </c>
    </row>
    <row r="1195" spans="1:20">
      <c r="A1195" t="s">
        <v>3180</v>
      </c>
      <c r="B1195" s="7">
        <v>45915</v>
      </c>
      <c r="C1195" t="s">
        <v>93</v>
      </c>
      <c r="D1195" t="s">
        <v>111</v>
      </c>
      <c r="E1195" t="s">
        <v>170</v>
      </c>
      <c r="F1195" s="12" t="s">
        <v>24</v>
      </c>
      <c r="G1195" t="s">
        <v>25</v>
      </c>
      <c r="H1195" t="s">
        <v>3181</v>
      </c>
      <c r="I1195" t="s">
        <v>71</v>
      </c>
      <c r="J1195" s="6">
        <v>52900</v>
      </c>
      <c r="K1195" t="s">
        <v>3</v>
      </c>
      <c r="L1195" t="s">
        <v>3175</v>
      </c>
      <c r="M1195" t="s">
        <v>3</v>
      </c>
      <c r="N1195" s="25" t="str">
        <f>TEXT(tbl_Ledger[[#This Row],[Date]],"yyyy-mm")</f>
        <v>2025-09</v>
      </c>
      <c r="O1195" s="25" t="str">
        <f>TEXT(tbl_Ledger[[#This Row],[Date]],"yyyy-mm") &amp; TRIM(tbl_Ledger[[#This Row],[Currency]])</f>
        <v>2025-09NGN</v>
      </c>
      <c r="P1195" s="25">
        <f>_xlfn.XLOOKUP(tbl_Ledger[[#This Row],[Key]], tbl_FX[Key], tbl_FX[Rate_to_NGN])</f>
        <v>1</v>
      </c>
      <c r="Q1195" s="37">
        <f>IF(tbl_Ledger[[#This Row],[Account_Type]]="Expense",-ABS(tbl_Ledger[[#This Row],[Amount]]*tbl_Ledger[[#This Row],[Rate_to_NGN]]),tbl_Ledger[[#This Row],[Amount]]*tbl_Ledger[[#This Row],[Rate_to_NGN]])</f>
        <v>52900</v>
      </c>
      <c r="R1195" s="25" t="str">
        <f>_xlfn.XLOOKUP(tbl_Ledger[[#This Row],[Account_Code]], tbl_Accounts[Account_Code], tbl_Accounts[Type])</f>
        <v>Revenue</v>
      </c>
      <c r="S1195" s="25" t="str">
        <f>_xlfn.XLOOKUP(tbl_Ledger[[#This Row],[Account_Code]], tbl_Accounts[Account_Code], tbl_Accounts[PL_Bucket])</f>
        <v>Revenue</v>
      </c>
      <c r="T1195" s="25">
        <f t="shared" si="18"/>
        <v>52900</v>
      </c>
    </row>
    <row r="1196" spans="1:20">
      <c r="A1196" t="s">
        <v>3182</v>
      </c>
      <c r="B1196" s="7">
        <v>45915</v>
      </c>
      <c r="C1196" t="s">
        <v>93</v>
      </c>
      <c r="D1196" t="s">
        <v>111</v>
      </c>
      <c r="E1196" t="s">
        <v>122</v>
      </c>
      <c r="F1196" s="12" t="s">
        <v>24</v>
      </c>
      <c r="G1196" t="s">
        <v>25</v>
      </c>
      <c r="H1196" t="s">
        <v>3183</v>
      </c>
      <c r="I1196" t="s">
        <v>71</v>
      </c>
      <c r="J1196" s="6">
        <v>51400</v>
      </c>
      <c r="K1196" t="s">
        <v>3</v>
      </c>
      <c r="L1196" t="s">
        <v>3184</v>
      </c>
      <c r="M1196" t="s">
        <v>3</v>
      </c>
      <c r="N1196" s="25" t="str">
        <f>TEXT(tbl_Ledger[[#This Row],[Date]],"yyyy-mm")</f>
        <v>2025-09</v>
      </c>
      <c r="O1196" s="25" t="str">
        <f>TEXT(tbl_Ledger[[#This Row],[Date]],"yyyy-mm") &amp; TRIM(tbl_Ledger[[#This Row],[Currency]])</f>
        <v>2025-09NGN</v>
      </c>
      <c r="P1196" s="25">
        <f>_xlfn.XLOOKUP(tbl_Ledger[[#This Row],[Key]], tbl_FX[Key], tbl_FX[Rate_to_NGN])</f>
        <v>1</v>
      </c>
      <c r="Q1196" s="37">
        <f>IF(tbl_Ledger[[#This Row],[Account_Type]]="Expense",-ABS(tbl_Ledger[[#This Row],[Amount]]*tbl_Ledger[[#This Row],[Rate_to_NGN]]),tbl_Ledger[[#This Row],[Amount]]*tbl_Ledger[[#This Row],[Rate_to_NGN]])</f>
        <v>51400</v>
      </c>
      <c r="R1196" s="25" t="str">
        <f>_xlfn.XLOOKUP(tbl_Ledger[[#This Row],[Account_Code]], tbl_Accounts[Account_Code], tbl_Accounts[Type])</f>
        <v>Revenue</v>
      </c>
      <c r="S1196" s="25" t="str">
        <f>_xlfn.XLOOKUP(tbl_Ledger[[#This Row],[Account_Code]], tbl_Accounts[Account_Code], tbl_Accounts[PL_Bucket])</f>
        <v>Revenue</v>
      </c>
      <c r="T1196" s="25">
        <f t="shared" si="18"/>
        <v>51400</v>
      </c>
    </row>
    <row r="1197" spans="1:20">
      <c r="A1197" t="s">
        <v>3185</v>
      </c>
      <c r="B1197" s="7">
        <v>45915</v>
      </c>
      <c r="C1197" t="s">
        <v>126</v>
      </c>
      <c r="D1197" t="s">
        <v>88</v>
      </c>
      <c r="E1197" t="s">
        <v>132</v>
      </c>
      <c r="F1197" s="12" t="s">
        <v>29</v>
      </c>
      <c r="G1197" t="s">
        <v>30</v>
      </c>
      <c r="H1197" t="s">
        <v>3186</v>
      </c>
      <c r="I1197" t="s">
        <v>71</v>
      </c>
      <c r="J1197" s="6">
        <v>50500</v>
      </c>
      <c r="K1197" t="s">
        <v>134</v>
      </c>
      <c r="L1197" t="s">
        <v>3187</v>
      </c>
      <c r="M1197" t="s">
        <v>3</v>
      </c>
      <c r="N1197" s="25" t="str">
        <f>TEXT(tbl_Ledger[[#This Row],[Date]],"yyyy-mm")</f>
        <v>2025-09</v>
      </c>
      <c r="O1197" s="25" t="str">
        <f>TEXT(tbl_Ledger[[#This Row],[Date]],"yyyy-mm") &amp; TRIM(tbl_Ledger[[#This Row],[Currency]])</f>
        <v>2025-09NGN</v>
      </c>
      <c r="P1197" s="25">
        <f>_xlfn.XLOOKUP(tbl_Ledger[[#This Row],[Key]], tbl_FX[Key], tbl_FX[Rate_to_NGN])</f>
        <v>1</v>
      </c>
      <c r="Q1197" s="37">
        <f>IF(tbl_Ledger[[#This Row],[Account_Type]]="Expense",-ABS(tbl_Ledger[[#This Row],[Amount]]*tbl_Ledger[[#This Row],[Rate_to_NGN]]),tbl_Ledger[[#This Row],[Amount]]*tbl_Ledger[[#This Row],[Rate_to_NGN]])</f>
        <v>50500</v>
      </c>
      <c r="R1197" s="25" t="str">
        <f>_xlfn.XLOOKUP(tbl_Ledger[[#This Row],[Account_Code]], tbl_Accounts[Account_Code], tbl_Accounts[Type])</f>
        <v>Revenue</v>
      </c>
      <c r="S1197" s="25" t="str">
        <f>_xlfn.XLOOKUP(tbl_Ledger[[#This Row],[Account_Code]], tbl_Accounts[Account_Code], tbl_Accounts[PL_Bucket])</f>
        <v>Revenue</v>
      </c>
      <c r="T1197" s="25">
        <f t="shared" si="18"/>
        <v>50500</v>
      </c>
    </row>
    <row r="1198" spans="1:20">
      <c r="A1198" t="s">
        <v>3188</v>
      </c>
      <c r="B1198" s="7">
        <v>45915</v>
      </c>
      <c r="C1198" t="s">
        <v>126</v>
      </c>
      <c r="D1198" t="s">
        <v>88</v>
      </c>
      <c r="E1198" t="s">
        <v>136</v>
      </c>
      <c r="F1198" s="12" t="s">
        <v>29</v>
      </c>
      <c r="G1198" t="s">
        <v>30</v>
      </c>
      <c r="H1198" t="s">
        <v>3189</v>
      </c>
      <c r="I1198" t="s">
        <v>71</v>
      </c>
      <c r="J1198" s="6">
        <v>58700</v>
      </c>
      <c r="K1198" t="s">
        <v>138</v>
      </c>
      <c r="L1198" t="s">
        <v>3187</v>
      </c>
      <c r="M1198" t="s">
        <v>3</v>
      </c>
      <c r="N1198" s="25" t="str">
        <f>TEXT(tbl_Ledger[[#This Row],[Date]],"yyyy-mm")</f>
        <v>2025-09</v>
      </c>
      <c r="O1198" s="25" t="str">
        <f>TEXT(tbl_Ledger[[#This Row],[Date]],"yyyy-mm") &amp; TRIM(tbl_Ledger[[#This Row],[Currency]])</f>
        <v>2025-09NGN</v>
      </c>
      <c r="P1198" s="25">
        <f>_xlfn.XLOOKUP(tbl_Ledger[[#This Row],[Key]], tbl_FX[Key], tbl_FX[Rate_to_NGN])</f>
        <v>1</v>
      </c>
      <c r="Q1198" s="37">
        <f>IF(tbl_Ledger[[#This Row],[Account_Type]]="Expense",-ABS(tbl_Ledger[[#This Row],[Amount]]*tbl_Ledger[[#This Row],[Rate_to_NGN]]),tbl_Ledger[[#This Row],[Amount]]*tbl_Ledger[[#This Row],[Rate_to_NGN]])</f>
        <v>58700</v>
      </c>
      <c r="R1198" s="25" t="str">
        <f>_xlfn.XLOOKUP(tbl_Ledger[[#This Row],[Account_Code]], tbl_Accounts[Account_Code], tbl_Accounts[Type])</f>
        <v>Revenue</v>
      </c>
      <c r="S1198" s="25" t="str">
        <f>_xlfn.XLOOKUP(tbl_Ledger[[#This Row],[Account_Code]], tbl_Accounts[Account_Code], tbl_Accounts[PL_Bucket])</f>
        <v>Revenue</v>
      </c>
      <c r="T1198" s="25">
        <f t="shared" si="18"/>
        <v>58700</v>
      </c>
    </row>
    <row r="1199" spans="1:20">
      <c r="A1199" t="s">
        <v>3190</v>
      </c>
      <c r="B1199" s="7">
        <v>45915</v>
      </c>
      <c r="C1199" t="s">
        <v>126</v>
      </c>
      <c r="D1199" t="s">
        <v>88</v>
      </c>
      <c r="E1199" t="s">
        <v>140</v>
      </c>
      <c r="F1199" s="12" t="s">
        <v>29</v>
      </c>
      <c r="G1199" t="s">
        <v>30</v>
      </c>
      <c r="H1199" t="s">
        <v>3191</v>
      </c>
      <c r="I1199" t="s">
        <v>71</v>
      </c>
      <c r="J1199" s="6">
        <v>57400</v>
      </c>
      <c r="K1199" t="s">
        <v>3</v>
      </c>
      <c r="L1199" t="s">
        <v>3192</v>
      </c>
      <c r="M1199" t="s">
        <v>3</v>
      </c>
      <c r="N1199" s="25" t="str">
        <f>TEXT(tbl_Ledger[[#This Row],[Date]],"yyyy-mm")</f>
        <v>2025-09</v>
      </c>
      <c r="O1199" s="25" t="str">
        <f>TEXT(tbl_Ledger[[#This Row],[Date]],"yyyy-mm") &amp; TRIM(tbl_Ledger[[#This Row],[Currency]])</f>
        <v>2025-09NGN</v>
      </c>
      <c r="P1199" s="25">
        <f>_xlfn.XLOOKUP(tbl_Ledger[[#This Row],[Key]], tbl_FX[Key], tbl_FX[Rate_to_NGN])</f>
        <v>1</v>
      </c>
      <c r="Q1199" s="37">
        <f>IF(tbl_Ledger[[#This Row],[Account_Type]]="Expense",-ABS(tbl_Ledger[[#This Row],[Amount]]*tbl_Ledger[[#This Row],[Rate_to_NGN]]),tbl_Ledger[[#This Row],[Amount]]*tbl_Ledger[[#This Row],[Rate_to_NGN]])</f>
        <v>57400</v>
      </c>
      <c r="R1199" s="25" t="str">
        <f>_xlfn.XLOOKUP(tbl_Ledger[[#This Row],[Account_Code]], tbl_Accounts[Account_Code], tbl_Accounts[Type])</f>
        <v>Revenue</v>
      </c>
      <c r="S1199" s="25" t="str">
        <f>_xlfn.XLOOKUP(tbl_Ledger[[#This Row],[Account_Code]], tbl_Accounts[Account_Code], tbl_Accounts[PL_Bucket])</f>
        <v>Revenue</v>
      </c>
      <c r="T1199" s="25">
        <f t="shared" si="18"/>
        <v>57400</v>
      </c>
    </row>
    <row r="1200" spans="1:20">
      <c r="A1200" t="s">
        <v>3193</v>
      </c>
      <c r="B1200" s="7">
        <v>45915</v>
      </c>
      <c r="C1200" t="s">
        <v>87</v>
      </c>
      <c r="D1200" t="s">
        <v>94</v>
      </c>
      <c r="E1200" t="s">
        <v>3</v>
      </c>
      <c r="F1200" s="12" t="s">
        <v>33</v>
      </c>
      <c r="G1200" t="s">
        <v>34</v>
      </c>
      <c r="H1200" t="s">
        <v>2691</v>
      </c>
      <c r="I1200" t="s">
        <v>71</v>
      </c>
      <c r="J1200" s="6">
        <v>-388000</v>
      </c>
      <c r="K1200" t="s">
        <v>316</v>
      </c>
      <c r="L1200" t="s">
        <v>3194</v>
      </c>
      <c r="M1200" t="s">
        <v>3</v>
      </c>
      <c r="N1200" s="25" t="str">
        <f>TEXT(tbl_Ledger[[#This Row],[Date]],"yyyy-mm")</f>
        <v>2025-09</v>
      </c>
      <c r="O1200" s="25" t="str">
        <f>TEXT(tbl_Ledger[[#This Row],[Date]],"yyyy-mm") &amp; TRIM(tbl_Ledger[[#This Row],[Currency]])</f>
        <v>2025-09NGN</v>
      </c>
      <c r="P1200" s="25">
        <f>_xlfn.XLOOKUP(tbl_Ledger[[#This Row],[Key]], tbl_FX[Key], tbl_FX[Rate_to_NGN])</f>
        <v>1</v>
      </c>
      <c r="Q1200" s="37">
        <f>IF(tbl_Ledger[[#This Row],[Account_Type]]="Expense",-ABS(tbl_Ledger[[#This Row],[Amount]]*tbl_Ledger[[#This Row],[Rate_to_NGN]]),tbl_Ledger[[#This Row],[Amount]]*tbl_Ledger[[#This Row],[Rate_to_NGN]])</f>
        <v>-388000</v>
      </c>
      <c r="R1200" s="25" t="str">
        <f>_xlfn.XLOOKUP(tbl_Ledger[[#This Row],[Account_Code]], tbl_Accounts[Account_Code], tbl_Accounts[Type])</f>
        <v>COGS</v>
      </c>
      <c r="S1200" s="25" t="str">
        <f>_xlfn.XLOOKUP(tbl_Ledger[[#This Row],[Account_Code]], tbl_Accounts[Account_Code], tbl_Accounts[PL_Bucket])</f>
        <v>COGS</v>
      </c>
      <c r="T1200" s="25">
        <f t="shared" si="18"/>
        <v>-388000</v>
      </c>
    </row>
    <row r="1201" spans="1:20">
      <c r="A1201" t="s">
        <v>3195</v>
      </c>
      <c r="B1201" s="7">
        <v>45915</v>
      </c>
      <c r="C1201" t="s">
        <v>87</v>
      </c>
      <c r="D1201" t="s">
        <v>111</v>
      </c>
      <c r="E1201" t="s">
        <v>3</v>
      </c>
      <c r="F1201" s="12" t="s">
        <v>36</v>
      </c>
      <c r="G1201" t="s">
        <v>37</v>
      </c>
      <c r="H1201" t="s">
        <v>2770</v>
      </c>
      <c r="I1201" t="s">
        <v>71</v>
      </c>
      <c r="J1201" s="6">
        <v>-881000</v>
      </c>
      <c r="K1201" t="s">
        <v>987</v>
      </c>
      <c r="L1201" t="s">
        <v>3196</v>
      </c>
      <c r="M1201" t="s">
        <v>3</v>
      </c>
      <c r="N1201" s="25" t="str">
        <f>TEXT(tbl_Ledger[[#This Row],[Date]],"yyyy-mm")</f>
        <v>2025-09</v>
      </c>
      <c r="O1201" s="25" t="str">
        <f>TEXT(tbl_Ledger[[#This Row],[Date]],"yyyy-mm") &amp; TRIM(tbl_Ledger[[#This Row],[Currency]])</f>
        <v>2025-09NGN</v>
      </c>
      <c r="P1201" s="25">
        <f>_xlfn.XLOOKUP(tbl_Ledger[[#This Row],[Key]], tbl_FX[Key], tbl_FX[Rate_to_NGN])</f>
        <v>1</v>
      </c>
      <c r="Q1201" s="37">
        <f>IF(tbl_Ledger[[#This Row],[Account_Type]]="Expense",-ABS(tbl_Ledger[[#This Row],[Amount]]*tbl_Ledger[[#This Row],[Rate_to_NGN]]),tbl_Ledger[[#This Row],[Amount]]*tbl_Ledger[[#This Row],[Rate_to_NGN]])</f>
        <v>-881000</v>
      </c>
      <c r="R1201" s="25" t="str">
        <f>_xlfn.XLOOKUP(tbl_Ledger[[#This Row],[Account_Code]], tbl_Accounts[Account_Code], tbl_Accounts[Type])</f>
        <v>COGS</v>
      </c>
      <c r="S1201" s="25" t="str">
        <f>_xlfn.XLOOKUP(tbl_Ledger[[#This Row],[Account_Code]], tbl_Accounts[Account_Code], tbl_Accounts[PL_Bucket])</f>
        <v>COGS</v>
      </c>
      <c r="T1201" s="25">
        <f t="shared" si="18"/>
        <v>-881000</v>
      </c>
    </row>
    <row r="1202" spans="1:20">
      <c r="A1202" t="s">
        <v>3197</v>
      </c>
      <c r="B1202" s="7">
        <v>45915</v>
      </c>
      <c r="C1202" t="s">
        <v>87</v>
      </c>
      <c r="D1202" t="s">
        <v>94</v>
      </c>
      <c r="E1202" t="s">
        <v>3</v>
      </c>
      <c r="F1202" s="12" t="s">
        <v>53</v>
      </c>
      <c r="G1202" t="s">
        <v>54</v>
      </c>
      <c r="H1202" t="s">
        <v>3198</v>
      </c>
      <c r="I1202" t="s">
        <v>72</v>
      </c>
      <c r="J1202" s="6">
        <v>-800.8</v>
      </c>
      <c r="K1202" t="s">
        <v>708</v>
      </c>
      <c r="L1202" t="s">
        <v>3199</v>
      </c>
      <c r="M1202" t="s">
        <v>3</v>
      </c>
      <c r="N1202" s="25" t="str">
        <f>TEXT(tbl_Ledger[[#This Row],[Date]],"yyyy-mm")</f>
        <v>2025-09</v>
      </c>
      <c r="O1202" s="25" t="str">
        <f>TEXT(tbl_Ledger[[#This Row],[Date]],"yyyy-mm") &amp; TRIM(tbl_Ledger[[#This Row],[Currency]])</f>
        <v>2025-09USD</v>
      </c>
      <c r="P1202" s="25">
        <f>_xlfn.XLOOKUP(tbl_Ledger[[#This Row],[Key]], tbl_FX[Key], tbl_FX[Rate_to_NGN])</f>
        <v>1611</v>
      </c>
      <c r="Q1202" s="37">
        <f>IF(tbl_Ledger[[#This Row],[Account_Type]]="Expense",-ABS(tbl_Ledger[[#This Row],[Amount]]*tbl_Ledger[[#This Row],[Rate_to_NGN]]),tbl_Ledger[[#This Row],[Amount]]*tbl_Ledger[[#This Row],[Rate_to_NGN]])</f>
        <v>-1290088.7999999998</v>
      </c>
      <c r="R1202" s="25" t="str">
        <f>_xlfn.XLOOKUP(tbl_Ledger[[#This Row],[Account_Code]], tbl_Accounts[Account_Code], tbl_Accounts[Type])</f>
        <v>Opex</v>
      </c>
      <c r="S1202" s="25" t="str">
        <f>_xlfn.XLOOKUP(tbl_Ledger[[#This Row],[Account_Code]], tbl_Accounts[Account_Code], tbl_Accounts[PL_Bucket])</f>
        <v>Opex</v>
      </c>
      <c r="T1202" s="25">
        <f t="shared" si="18"/>
        <v>-1290088.7999999998</v>
      </c>
    </row>
    <row r="1203" spans="1:20">
      <c r="A1203" t="s">
        <v>3200</v>
      </c>
      <c r="B1203" s="7">
        <v>45916</v>
      </c>
      <c r="C1203" t="s">
        <v>93</v>
      </c>
      <c r="D1203" t="s">
        <v>94</v>
      </c>
      <c r="E1203" t="s">
        <v>95</v>
      </c>
      <c r="F1203" s="12" t="s">
        <v>24</v>
      </c>
      <c r="G1203" t="s">
        <v>25</v>
      </c>
      <c r="H1203" t="s">
        <v>3201</v>
      </c>
      <c r="I1203" t="s">
        <v>71</v>
      </c>
      <c r="J1203" s="6">
        <v>28400</v>
      </c>
      <c r="K1203" t="s">
        <v>3</v>
      </c>
      <c r="L1203" t="s">
        <v>3202</v>
      </c>
      <c r="M1203" t="s">
        <v>3</v>
      </c>
      <c r="N1203" s="25" t="str">
        <f>TEXT(tbl_Ledger[[#This Row],[Date]],"yyyy-mm")</f>
        <v>2025-09</v>
      </c>
      <c r="O1203" s="25" t="str">
        <f>TEXT(tbl_Ledger[[#This Row],[Date]],"yyyy-mm") &amp; TRIM(tbl_Ledger[[#This Row],[Currency]])</f>
        <v>2025-09NGN</v>
      </c>
      <c r="P1203" s="25">
        <f>_xlfn.XLOOKUP(tbl_Ledger[[#This Row],[Key]], tbl_FX[Key], tbl_FX[Rate_to_NGN])</f>
        <v>1</v>
      </c>
      <c r="Q1203" s="37">
        <f>IF(tbl_Ledger[[#This Row],[Account_Type]]="Expense",-ABS(tbl_Ledger[[#This Row],[Amount]]*tbl_Ledger[[#This Row],[Rate_to_NGN]]),tbl_Ledger[[#This Row],[Amount]]*tbl_Ledger[[#This Row],[Rate_to_NGN]])</f>
        <v>28400</v>
      </c>
      <c r="R1203" s="25" t="str">
        <f>_xlfn.XLOOKUP(tbl_Ledger[[#This Row],[Account_Code]], tbl_Accounts[Account_Code], tbl_Accounts[Type])</f>
        <v>Revenue</v>
      </c>
      <c r="S1203" s="25" t="str">
        <f>_xlfn.XLOOKUP(tbl_Ledger[[#This Row],[Account_Code]], tbl_Accounts[Account_Code], tbl_Accounts[PL_Bucket])</f>
        <v>Revenue</v>
      </c>
      <c r="T1203" s="25">
        <f t="shared" si="18"/>
        <v>28400</v>
      </c>
    </row>
    <row r="1204" spans="1:20">
      <c r="A1204" t="s">
        <v>3203</v>
      </c>
      <c r="B1204" s="7">
        <v>45916</v>
      </c>
      <c r="C1204" t="s">
        <v>93</v>
      </c>
      <c r="D1204" t="s">
        <v>94</v>
      </c>
      <c r="E1204" t="s">
        <v>99</v>
      </c>
      <c r="F1204" s="12" t="s">
        <v>24</v>
      </c>
      <c r="G1204" t="s">
        <v>25</v>
      </c>
      <c r="H1204" t="s">
        <v>3204</v>
      </c>
      <c r="I1204" t="s">
        <v>71</v>
      </c>
      <c r="J1204" s="6">
        <v>31800</v>
      </c>
      <c r="K1204" t="s">
        <v>3</v>
      </c>
      <c r="L1204" t="s">
        <v>3205</v>
      </c>
      <c r="M1204" t="s">
        <v>3</v>
      </c>
      <c r="N1204" s="25" t="str">
        <f>TEXT(tbl_Ledger[[#This Row],[Date]],"yyyy-mm")</f>
        <v>2025-09</v>
      </c>
      <c r="O1204" s="25" t="str">
        <f>TEXT(tbl_Ledger[[#This Row],[Date]],"yyyy-mm") &amp; TRIM(tbl_Ledger[[#This Row],[Currency]])</f>
        <v>2025-09NGN</v>
      </c>
      <c r="P1204" s="25">
        <f>_xlfn.XLOOKUP(tbl_Ledger[[#This Row],[Key]], tbl_FX[Key], tbl_FX[Rate_to_NGN])</f>
        <v>1</v>
      </c>
      <c r="Q1204" s="37">
        <f>IF(tbl_Ledger[[#This Row],[Account_Type]]="Expense",-ABS(tbl_Ledger[[#This Row],[Amount]]*tbl_Ledger[[#This Row],[Rate_to_NGN]]),tbl_Ledger[[#This Row],[Amount]]*tbl_Ledger[[#This Row],[Rate_to_NGN]])</f>
        <v>31800</v>
      </c>
      <c r="R1204" s="25" t="str">
        <f>_xlfn.XLOOKUP(tbl_Ledger[[#This Row],[Account_Code]], tbl_Accounts[Account_Code], tbl_Accounts[Type])</f>
        <v>Revenue</v>
      </c>
      <c r="S1204" s="25" t="str">
        <f>_xlfn.XLOOKUP(tbl_Ledger[[#This Row],[Account_Code]], tbl_Accounts[Account_Code], tbl_Accounts[PL_Bucket])</f>
        <v>Revenue</v>
      </c>
      <c r="T1204" s="25">
        <f t="shared" si="18"/>
        <v>31800</v>
      </c>
    </row>
    <row r="1205" spans="1:20">
      <c r="A1205" t="s">
        <v>3206</v>
      </c>
      <c r="B1205" s="7">
        <v>45916</v>
      </c>
      <c r="C1205" t="s">
        <v>93</v>
      </c>
      <c r="D1205" t="s">
        <v>94</v>
      </c>
      <c r="E1205" t="s">
        <v>103</v>
      </c>
      <c r="F1205" s="12" t="s">
        <v>24</v>
      </c>
      <c r="G1205" t="s">
        <v>25</v>
      </c>
      <c r="H1205" t="s">
        <v>3207</v>
      </c>
      <c r="I1205" t="s">
        <v>71</v>
      </c>
      <c r="J1205" s="6">
        <v>31400</v>
      </c>
      <c r="K1205" t="s">
        <v>3</v>
      </c>
      <c r="L1205" t="s">
        <v>3208</v>
      </c>
      <c r="M1205" t="s">
        <v>3</v>
      </c>
      <c r="N1205" s="25" t="str">
        <f>TEXT(tbl_Ledger[[#This Row],[Date]],"yyyy-mm")</f>
        <v>2025-09</v>
      </c>
      <c r="O1205" s="25" t="str">
        <f>TEXT(tbl_Ledger[[#This Row],[Date]],"yyyy-mm") &amp; TRIM(tbl_Ledger[[#This Row],[Currency]])</f>
        <v>2025-09NGN</v>
      </c>
      <c r="P1205" s="25">
        <f>_xlfn.XLOOKUP(tbl_Ledger[[#This Row],[Key]], tbl_FX[Key], tbl_FX[Rate_to_NGN])</f>
        <v>1</v>
      </c>
      <c r="Q1205" s="37">
        <f>IF(tbl_Ledger[[#This Row],[Account_Type]]="Expense",-ABS(tbl_Ledger[[#This Row],[Amount]]*tbl_Ledger[[#This Row],[Rate_to_NGN]]),tbl_Ledger[[#This Row],[Amount]]*tbl_Ledger[[#This Row],[Rate_to_NGN]])</f>
        <v>31400</v>
      </c>
      <c r="R1205" s="25" t="str">
        <f>_xlfn.XLOOKUP(tbl_Ledger[[#This Row],[Account_Code]], tbl_Accounts[Account_Code], tbl_Accounts[Type])</f>
        <v>Revenue</v>
      </c>
      <c r="S1205" s="25" t="str">
        <f>_xlfn.XLOOKUP(tbl_Ledger[[#This Row],[Account_Code]], tbl_Accounts[Account_Code], tbl_Accounts[PL_Bucket])</f>
        <v>Revenue</v>
      </c>
      <c r="T1205" s="25">
        <f t="shared" si="18"/>
        <v>31400</v>
      </c>
    </row>
    <row r="1206" spans="1:20">
      <c r="A1206" t="s">
        <v>3209</v>
      </c>
      <c r="B1206" s="7">
        <v>45916</v>
      </c>
      <c r="C1206" t="s">
        <v>93</v>
      </c>
      <c r="D1206" t="s">
        <v>94</v>
      </c>
      <c r="E1206" t="s">
        <v>107</v>
      </c>
      <c r="F1206" s="12" t="s">
        <v>24</v>
      </c>
      <c r="G1206" t="s">
        <v>25</v>
      </c>
      <c r="H1206" t="s">
        <v>3210</v>
      </c>
      <c r="I1206" t="s">
        <v>71</v>
      </c>
      <c r="J1206" s="6">
        <v>32800</v>
      </c>
      <c r="K1206" t="s">
        <v>3</v>
      </c>
      <c r="L1206" t="s">
        <v>3211</v>
      </c>
      <c r="M1206" t="s">
        <v>3</v>
      </c>
      <c r="N1206" s="25" t="str">
        <f>TEXT(tbl_Ledger[[#This Row],[Date]],"yyyy-mm")</f>
        <v>2025-09</v>
      </c>
      <c r="O1206" s="25" t="str">
        <f>TEXT(tbl_Ledger[[#This Row],[Date]],"yyyy-mm") &amp; TRIM(tbl_Ledger[[#This Row],[Currency]])</f>
        <v>2025-09NGN</v>
      </c>
      <c r="P1206" s="25">
        <f>_xlfn.XLOOKUP(tbl_Ledger[[#This Row],[Key]], tbl_FX[Key], tbl_FX[Rate_to_NGN])</f>
        <v>1</v>
      </c>
      <c r="Q1206" s="37">
        <f>IF(tbl_Ledger[[#This Row],[Account_Type]]="Expense",-ABS(tbl_Ledger[[#This Row],[Amount]]*tbl_Ledger[[#This Row],[Rate_to_NGN]]),tbl_Ledger[[#This Row],[Amount]]*tbl_Ledger[[#This Row],[Rate_to_NGN]])</f>
        <v>32800</v>
      </c>
      <c r="R1206" s="25" t="str">
        <f>_xlfn.XLOOKUP(tbl_Ledger[[#This Row],[Account_Code]], tbl_Accounts[Account_Code], tbl_Accounts[Type])</f>
        <v>Revenue</v>
      </c>
      <c r="S1206" s="25" t="str">
        <f>_xlfn.XLOOKUP(tbl_Ledger[[#This Row],[Account_Code]], tbl_Accounts[Account_Code], tbl_Accounts[PL_Bucket])</f>
        <v>Revenue</v>
      </c>
      <c r="T1206" s="25">
        <f t="shared" si="18"/>
        <v>32800</v>
      </c>
    </row>
    <row r="1207" spans="1:20">
      <c r="A1207" t="s">
        <v>3212</v>
      </c>
      <c r="B1207" s="7">
        <v>45916</v>
      </c>
      <c r="C1207" t="s">
        <v>93</v>
      </c>
      <c r="D1207" t="s">
        <v>111</v>
      </c>
      <c r="E1207" t="s">
        <v>112</v>
      </c>
      <c r="F1207" s="12" t="s">
        <v>24</v>
      </c>
      <c r="G1207" t="s">
        <v>25</v>
      </c>
      <c r="H1207" t="s">
        <v>3213</v>
      </c>
      <c r="I1207" t="s">
        <v>71</v>
      </c>
      <c r="J1207" s="6">
        <v>47500</v>
      </c>
      <c r="K1207" t="s">
        <v>3</v>
      </c>
      <c r="L1207" t="s">
        <v>3214</v>
      </c>
      <c r="M1207" t="s">
        <v>3</v>
      </c>
      <c r="N1207" s="25" t="str">
        <f>TEXT(tbl_Ledger[[#This Row],[Date]],"yyyy-mm")</f>
        <v>2025-09</v>
      </c>
      <c r="O1207" s="25" t="str">
        <f>TEXT(tbl_Ledger[[#This Row],[Date]],"yyyy-mm") &amp; TRIM(tbl_Ledger[[#This Row],[Currency]])</f>
        <v>2025-09NGN</v>
      </c>
      <c r="P1207" s="25">
        <f>_xlfn.XLOOKUP(tbl_Ledger[[#This Row],[Key]], tbl_FX[Key], tbl_FX[Rate_to_NGN])</f>
        <v>1</v>
      </c>
      <c r="Q1207" s="37">
        <f>IF(tbl_Ledger[[#This Row],[Account_Type]]="Expense",-ABS(tbl_Ledger[[#This Row],[Amount]]*tbl_Ledger[[#This Row],[Rate_to_NGN]]),tbl_Ledger[[#This Row],[Amount]]*tbl_Ledger[[#This Row],[Rate_to_NGN]])</f>
        <v>47500</v>
      </c>
      <c r="R1207" s="25" t="str">
        <f>_xlfn.XLOOKUP(tbl_Ledger[[#This Row],[Account_Code]], tbl_Accounts[Account_Code], tbl_Accounts[Type])</f>
        <v>Revenue</v>
      </c>
      <c r="S1207" s="25" t="str">
        <f>_xlfn.XLOOKUP(tbl_Ledger[[#This Row],[Account_Code]], tbl_Accounts[Account_Code], tbl_Accounts[PL_Bucket])</f>
        <v>Revenue</v>
      </c>
      <c r="T1207" s="25">
        <f t="shared" si="18"/>
        <v>47500</v>
      </c>
    </row>
    <row r="1208" spans="1:20">
      <c r="A1208" t="s">
        <v>3215</v>
      </c>
      <c r="B1208" s="7">
        <v>45916</v>
      </c>
      <c r="C1208" t="s">
        <v>93</v>
      </c>
      <c r="D1208" t="s">
        <v>111</v>
      </c>
      <c r="E1208" t="s">
        <v>116</v>
      </c>
      <c r="F1208" s="12" t="s">
        <v>24</v>
      </c>
      <c r="G1208" t="s">
        <v>25</v>
      </c>
      <c r="H1208" t="s">
        <v>3216</v>
      </c>
      <c r="I1208" t="s">
        <v>71</v>
      </c>
      <c r="J1208" s="6">
        <v>51800</v>
      </c>
      <c r="K1208" t="s">
        <v>3</v>
      </c>
      <c r="L1208" t="s">
        <v>3214</v>
      </c>
      <c r="M1208" t="s">
        <v>3</v>
      </c>
      <c r="N1208" s="25" t="str">
        <f>TEXT(tbl_Ledger[[#This Row],[Date]],"yyyy-mm")</f>
        <v>2025-09</v>
      </c>
      <c r="O1208" s="25" t="str">
        <f>TEXT(tbl_Ledger[[#This Row],[Date]],"yyyy-mm") &amp; TRIM(tbl_Ledger[[#This Row],[Currency]])</f>
        <v>2025-09NGN</v>
      </c>
      <c r="P1208" s="25">
        <f>_xlfn.XLOOKUP(tbl_Ledger[[#This Row],[Key]], tbl_FX[Key], tbl_FX[Rate_to_NGN])</f>
        <v>1</v>
      </c>
      <c r="Q1208" s="37">
        <f>IF(tbl_Ledger[[#This Row],[Account_Type]]="Expense",-ABS(tbl_Ledger[[#This Row],[Amount]]*tbl_Ledger[[#This Row],[Rate_to_NGN]]),tbl_Ledger[[#This Row],[Amount]]*tbl_Ledger[[#This Row],[Rate_to_NGN]])</f>
        <v>51800</v>
      </c>
      <c r="R1208" s="25" t="str">
        <f>_xlfn.XLOOKUP(tbl_Ledger[[#This Row],[Account_Code]], tbl_Accounts[Account_Code], tbl_Accounts[Type])</f>
        <v>Revenue</v>
      </c>
      <c r="S1208" s="25" t="str">
        <f>_xlfn.XLOOKUP(tbl_Ledger[[#This Row],[Account_Code]], tbl_Accounts[Account_Code], tbl_Accounts[PL_Bucket])</f>
        <v>Revenue</v>
      </c>
      <c r="T1208" s="25">
        <f t="shared" si="18"/>
        <v>51800</v>
      </c>
    </row>
    <row r="1209" spans="1:20">
      <c r="A1209" t="s">
        <v>3217</v>
      </c>
      <c r="B1209" s="7">
        <v>45916</v>
      </c>
      <c r="C1209" t="s">
        <v>93</v>
      </c>
      <c r="D1209" t="s">
        <v>111</v>
      </c>
      <c r="E1209" t="s">
        <v>119</v>
      </c>
      <c r="F1209" s="12" t="s">
        <v>24</v>
      </c>
      <c r="G1209" t="s">
        <v>25</v>
      </c>
      <c r="H1209" t="s">
        <v>3218</v>
      </c>
      <c r="I1209" t="s">
        <v>71</v>
      </c>
      <c r="J1209" s="6">
        <v>50400</v>
      </c>
      <c r="K1209" t="s">
        <v>3</v>
      </c>
      <c r="L1209" t="s">
        <v>3214</v>
      </c>
      <c r="M1209" t="s">
        <v>3</v>
      </c>
      <c r="N1209" s="25" t="str">
        <f>TEXT(tbl_Ledger[[#This Row],[Date]],"yyyy-mm")</f>
        <v>2025-09</v>
      </c>
      <c r="O1209" s="25" t="str">
        <f>TEXT(tbl_Ledger[[#This Row],[Date]],"yyyy-mm") &amp; TRIM(tbl_Ledger[[#This Row],[Currency]])</f>
        <v>2025-09NGN</v>
      </c>
      <c r="P1209" s="25">
        <f>_xlfn.XLOOKUP(tbl_Ledger[[#This Row],[Key]], tbl_FX[Key], tbl_FX[Rate_to_NGN])</f>
        <v>1</v>
      </c>
      <c r="Q1209" s="37">
        <f>IF(tbl_Ledger[[#This Row],[Account_Type]]="Expense",-ABS(tbl_Ledger[[#This Row],[Amount]]*tbl_Ledger[[#This Row],[Rate_to_NGN]]),tbl_Ledger[[#This Row],[Amount]]*tbl_Ledger[[#This Row],[Rate_to_NGN]])</f>
        <v>50400</v>
      </c>
      <c r="R1209" s="25" t="str">
        <f>_xlfn.XLOOKUP(tbl_Ledger[[#This Row],[Account_Code]], tbl_Accounts[Account_Code], tbl_Accounts[Type])</f>
        <v>Revenue</v>
      </c>
      <c r="S1209" s="25" t="str">
        <f>_xlfn.XLOOKUP(tbl_Ledger[[#This Row],[Account_Code]], tbl_Accounts[Account_Code], tbl_Accounts[PL_Bucket])</f>
        <v>Revenue</v>
      </c>
      <c r="T1209" s="25">
        <f t="shared" si="18"/>
        <v>50400</v>
      </c>
    </row>
    <row r="1210" spans="1:20">
      <c r="A1210" t="s">
        <v>3219</v>
      </c>
      <c r="B1210" s="7">
        <v>45916</v>
      </c>
      <c r="C1210" t="s">
        <v>93</v>
      </c>
      <c r="D1210" t="s">
        <v>111</v>
      </c>
      <c r="E1210" t="s">
        <v>170</v>
      </c>
      <c r="F1210" s="12" t="s">
        <v>24</v>
      </c>
      <c r="G1210" t="s">
        <v>25</v>
      </c>
      <c r="H1210" t="s">
        <v>3220</v>
      </c>
      <c r="I1210" t="s">
        <v>71</v>
      </c>
      <c r="J1210" s="6">
        <v>51800</v>
      </c>
      <c r="K1210" t="s">
        <v>3</v>
      </c>
      <c r="L1210" t="s">
        <v>3214</v>
      </c>
      <c r="M1210" t="s">
        <v>3</v>
      </c>
      <c r="N1210" s="25" t="str">
        <f>TEXT(tbl_Ledger[[#This Row],[Date]],"yyyy-mm")</f>
        <v>2025-09</v>
      </c>
      <c r="O1210" s="25" t="str">
        <f>TEXT(tbl_Ledger[[#This Row],[Date]],"yyyy-mm") &amp; TRIM(tbl_Ledger[[#This Row],[Currency]])</f>
        <v>2025-09NGN</v>
      </c>
      <c r="P1210" s="25">
        <f>_xlfn.XLOOKUP(tbl_Ledger[[#This Row],[Key]], tbl_FX[Key], tbl_FX[Rate_to_NGN])</f>
        <v>1</v>
      </c>
      <c r="Q1210" s="37">
        <f>IF(tbl_Ledger[[#This Row],[Account_Type]]="Expense",-ABS(tbl_Ledger[[#This Row],[Amount]]*tbl_Ledger[[#This Row],[Rate_to_NGN]]),tbl_Ledger[[#This Row],[Amount]]*tbl_Ledger[[#This Row],[Rate_to_NGN]])</f>
        <v>51800</v>
      </c>
      <c r="R1210" s="25" t="str">
        <f>_xlfn.XLOOKUP(tbl_Ledger[[#This Row],[Account_Code]], tbl_Accounts[Account_Code], tbl_Accounts[Type])</f>
        <v>Revenue</v>
      </c>
      <c r="S1210" s="25" t="str">
        <f>_xlfn.XLOOKUP(tbl_Ledger[[#This Row],[Account_Code]], tbl_Accounts[Account_Code], tbl_Accounts[PL_Bucket])</f>
        <v>Revenue</v>
      </c>
      <c r="T1210" s="25">
        <f t="shared" si="18"/>
        <v>51800</v>
      </c>
    </row>
    <row r="1211" spans="1:20">
      <c r="A1211" t="s">
        <v>3221</v>
      </c>
      <c r="B1211" s="7">
        <v>45916</v>
      </c>
      <c r="C1211" t="s">
        <v>93</v>
      </c>
      <c r="D1211" t="s">
        <v>111</v>
      </c>
      <c r="E1211" t="s">
        <v>122</v>
      </c>
      <c r="F1211" s="12" t="s">
        <v>24</v>
      </c>
      <c r="G1211" t="s">
        <v>25</v>
      </c>
      <c r="H1211" t="s">
        <v>3222</v>
      </c>
      <c r="I1211" t="s">
        <v>71</v>
      </c>
      <c r="J1211" s="6">
        <v>48200</v>
      </c>
      <c r="K1211" t="s">
        <v>3</v>
      </c>
      <c r="L1211" t="s">
        <v>3223</v>
      </c>
      <c r="M1211" t="s">
        <v>3</v>
      </c>
      <c r="N1211" s="25" t="str">
        <f>TEXT(tbl_Ledger[[#This Row],[Date]],"yyyy-mm")</f>
        <v>2025-09</v>
      </c>
      <c r="O1211" s="25" t="str">
        <f>TEXT(tbl_Ledger[[#This Row],[Date]],"yyyy-mm") &amp; TRIM(tbl_Ledger[[#This Row],[Currency]])</f>
        <v>2025-09NGN</v>
      </c>
      <c r="P1211" s="25">
        <f>_xlfn.XLOOKUP(tbl_Ledger[[#This Row],[Key]], tbl_FX[Key], tbl_FX[Rate_to_NGN])</f>
        <v>1</v>
      </c>
      <c r="Q1211" s="37">
        <f>IF(tbl_Ledger[[#This Row],[Account_Type]]="Expense",-ABS(tbl_Ledger[[#This Row],[Amount]]*tbl_Ledger[[#This Row],[Rate_to_NGN]]),tbl_Ledger[[#This Row],[Amount]]*tbl_Ledger[[#This Row],[Rate_to_NGN]])</f>
        <v>48200</v>
      </c>
      <c r="R1211" s="25" t="str">
        <f>_xlfn.XLOOKUP(tbl_Ledger[[#This Row],[Account_Code]], tbl_Accounts[Account_Code], tbl_Accounts[Type])</f>
        <v>Revenue</v>
      </c>
      <c r="S1211" s="25" t="str">
        <f>_xlfn.XLOOKUP(tbl_Ledger[[#This Row],[Account_Code]], tbl_Accounts[Account_Code], tbl_Accounts[PL_Bucket])</f>
        <v>Revenue</v>
      </c>
      <c r="T1211" s="25">
        <f t="shared" si="18"/>
        <v>48200</v>
      </c>
    </row>
    <row r="1212" spans="1:20">
      <c r="A1212" t="s">
        <v>3224</v>
      </c>
      <c r="B1212" s="7">
        <v>45916</v>
      </c>
      <c r="C1212" t="s">
        <v>126</v>
      </c>
      <c r="D1212" t="s">
        <v>88</v>
      </c>
      <c r="E1212" t="s">
        <v>127</v>
      </c>
      <c r="F1212" s="12" t="s">
        <v>29</v>
      </c>
      <c r="G1212" t="s">
        <v>30</v>
      </c>
      <c r="H1212" t="s">
        <v>3225</v>
      </c>
      <c r="I1212" t="s">
        <v>72</v>
      </c>
      <c r="J1212" s="6">
        <v>31.91</v>
      </c>
      <c r="K1212" t="s">
        <v>129</v>
      </c>
      <c r="L1212" t="s">
        <v>3226</v>
      </c>
      <c r="M1212" t="s">
        <v>3</v>
      </c>
      <c r="N1212" s="25" t="str">
        <f>TEXT(tbl_Ledger[[#This Row],[Date]],"yyyy-mm")</f>
        <v>2025-09</v>
      </c>
      <c r="O1212" s="25" t="str">
        <f>TEXT(tbl_Ledger[[#This Row],[Date]],"yyyy-mm") &amp; TRIM(tbl_Ledger[[#This Row],[Currency]])</f>
        <v>2025-09USD</v>
      </c>
      <c r="P1212" s="25">
        <f>_xlfn.XLOOKUP(tbl_Ledger[[#This Row],[Key]], tbl_FX[Key], tbl_FX[Rate_to_NGN])</f>
        <v>1611</v>
      </c>
      <c r="Q1212" s="37">
        <f>IF(tbl_Ledger[[#This Row],[Account_Type]]="Expense",-ABS(tbl_Ledger[[#This Row],[Amount]]*tbl_Ledger[[#This Row],[Rate_to_NGN]]),tbl_Ledger[[#This Row],[Amount]]*tbl_Ledger[[#This Row],[Rate_to_NGN]])</f>
        <v>51407.01</v>
      </c>
      <c r="R1212" s="25" t="str">
        <f>_xlfn.XLOOKUP(tbl_Ledger[[#This Row],[Account_Code]], tbl_Accounts[Account_Code], tbl_Accounts[Type])</f>
        <v>Revenue</v>
      </c>
      <c r="S1212" s="25" t="str">
        <f>_xlfn.XLOOKUP(tbl_Ledger[[#This Row],[Account_Code]], tbl_Accounts[Account_Code], tbl_Accounts[PL_Bucket])</f>
        <v>Revenue</v>
      </c>
      <c r="T1212" s="25">
        <f t="shared" si="18"/>
        <v>51407.01</v>
      </c>
    </row>
    <row r="1213" spans="1:20">
      <c r="A1213" t="s">
        <v>3227</v>
      </c>
      <c r="B1213" s="7">
        <v>45916</v>
      </c>
      <c r="C1213" t="s">
        <v>126</v>
      </c>
      <c r="D1213" t="s">
        <v>88</v>
      </c>
      <c r="E1213" t="s">
        <v>132</v>
      </c>
      <c r="F1213" s="12" t="s">
        <v>29</v>
      </c>
      <c r="G1213" t="s">
        <v>30</v>
      </c>
      <c r="H1213" t="s">
        <v>3228</v>
      </c>
      <c r="I1213" t="s">
        <v>72</v>
      </c>
      <c r="J1213" s="6">
        <v>34.76</v>
      </c>
      <c r="K1213" t="s">
        <v>134</v>
      </c>
      <c r="L1213" t="s">
        <v>3226</v>
      </c>
      <c r="M1213" t="s">
        <v>3</v>
      </c>
      <c r="N1213" s="25" t="str">
        <f>TEXT(tbl_Ledger[[#This Row],[Date]],"yyyy-mm")</f>
        <v>2025-09</v>
      </c>
      <c r="O1213" s="25" t="str">
        <f>TEXT(tbl_Ledger[[#This Row],[Date]],"yyyy-mm") &amp; TRIM(tbl_Ledger[[#This Row],[Currency]])</f>
        <v>2025-09USD</v>
      </c>
      <c r="P1213" s="25">
        <f>_xlfn.XLOOKUP(tbl_Ledger[[#This Row],[Key]], tbl_FX[Key], tbl_FX[Rate_to_NGN])</f>
        <v>1611</v>
      </c>
      <c r="Q1213" s="37">
        <f>IF(tbl_Ledger[[#This Row],[Account_Type]]="Expense",-ABS(tbl_Ledger[[#This Row],[Amount]]*tbl_Ledger[[#This Row],[Rate_to_NGN]]),tbl_Ledger[[#This Row],[Amount]]*tbl_Ledger[[#This Row],[Rate_to_NGN]])</f>
        <v>55998.359999999993</v>
      </c>
      <c r="R1213" s="25" t="str">
        <f>_xlfn.XLOOKUP(tbl_Ledger[[#This Row],[Account_Code]], tbl_Accounts[Account_Code], tbl_Accounts[Type])</f>
        <v>Revenue</v>
      </c>
      <c r="S1213" s="25" t="str">
        <f>_xlfn.XLOOKUP(tbl_Ledger[[#This Row],[Account_Code]], tbl_Accounts[Account_Code], tbl_Accounts[PL_Bucket])</f>
        <v>Revenue</v>
      </c>
      <c r="T1213" s="25">
        <f t="shared" si="18"/>
        <v>55998.359999999993</v>
      </c>
    </row>
    <row r="1214" spans="1:20">
      <c r="A1214" t="s">
        <v>3229</v>
      </c>
      <c r="B1214" s="7">
        <v>45916</v>
      </c>
      <c r="C1214" t="s">
        <v>126</v>
      </c>
      <c r="D1214" t="s">
        <v>88</v>
      </c>
      <c r="E1214" t="s">
        <v>136</v>
      </c>
      <c r="F1214" s="12" t="s">
        <v>29</v>
      </c>
      <c r="G1214" t="s">
        <v>30</v>
      </c>
      <c r="H1214" t="s">
        <v>3230</v>
      </c>
      <c r="I1214" t="s">
        <v>72</v>
      </c>
      <c r="J1214" s="6">
        <v>32.28</v>
      </c>
      <c r="K1214" t="s">
        <v>138</v>
      </c>
      <c r="L1214" t="s">
        <v>3226</v>
      </c>
      <c r="M1214" t="s">
        <v>3</v>
      </c>
      <c r="N1214" s="25" t="str">
        <f>TEXT(tbl_Ledger[[#This Row],[Date]],"yyyy-mm")</f>
        <v>2025-09</v>
      </c>
      <c r="O1214" s="25" t="str">
        <f>TEXT(tbl_Ledger[[#This Row],[Date]],"yyyy-mm") &amp; TRIM(tbl_Ledger[[#This Row],[Currency]])</f>
        <v>2025-09USD</v>
      </c>
      <c r="P1214" s="25">
        <f>_xlfn.XLOOKUP(tbl_Ledger[[#This Row],[Key]], tbl_FX[Key], tbl_FX[Rate_to_NGN])</f>
        <v>1611</v>
      </c>
      <c r="Q1214" s="37">
        <f>IF(tbl_Ledger[[#This Row],[Account_Type]]="Expense",-ABS(tbl_Ledger[[#This Row],[Amount]]*tbl_Ledger[[#This Row],[Rate_to_NGN]]),tbl_Ledger[[#This Row],[Amount]]*tbl_Ledger[[#This Row],[Rate_to_NGN]])</f>
        <v>52003.08</v>
      </c>
      <c r="R1214" s="25" t="str">
        <f>_xlfn.XLOOKUP(tbl_Ledger[[#This Row],[Account_Code]], tbl_Accounts[Account_Code], tbl_Accounts[Type])</f>
        <v>Revenue</v>
      </c>
      <c r="S1214" s="25" t="str">
        <f>_xlfn.XLOOKUP(tbl_Ledger[[#This Row],[Account_Code]], tbl_Accounts[Account_Code], tbl_Accounts[PL_Bucket])</f>
        <v>Revenue</v>
      </c>
      <c r="T1214" s="25">
        <f t="shared" si="18"/>
        <v>52003.08</v>
      </c>
    </row>
    <row r="1215" spans="1:20">
      <c r="A1215" t="s">
        <v>3231</v>
      </c>
      <c r="B1215" s="7">
        <v>45916</v>
      </c>
      <c r="C1215" t="s">
        <v>126</v>
      </c>
      <c r="D1215" t="s">
        <v>88</v>
      </c>
      <c r="E1215" t="s">
        <v>140</v>
      </c>
      <c r="F1215" s="12" t="s">
        <v>29</v>
      </c>
      <c r="G1215" t="s">
        <v>30</v>
      </c>
      <c r="H1215" t="s">
        <v>3232</v>
      </c>
      <c r="I1215" t="s">
        <v>71</v>
      </c>
      <c r="J1215" s="6">
        <v>50100</v>
      </c>
      <c r="K1215" t="s">
        <v>3</v>
      </c>
      <c r="L1215" t="s">
        <v>3233</v>
      </c>
      <c r="M1215" t="s">
        <v>3</v>
      </c>
      <c r="N1215" s="25" t="str">
        <f>TEXT(tbl_Ledger[[#This Row],[Date]],"yyyy-mm")</f>
        <v>2025-09</v>
      </c>
      <c r="O1215" s="25" t="str">
        <f>TEXT(tbl_Ledger[[#This Row],[Date]],"yyyy-mm") &amp; TRIM(tbl_Ledger[[#This Row],[Currency]])</f>
        <v>2025-09NGN</v>
      </c>
      <c r="P1215" s="25">
        <f>_xlfn.XLOOKUP(tbl_Ledger[[#This Row],[Key]], tbl_FX[Key], tbl_FX[Rate_to_NGN])</f>
        <v>1</v>
      </c>
      <c r="Q1215" s="37">
        <f>IF(tbl_Ledger[[#This Row],[Account_Type]]="Expense",-ABS(tbl_Ledger[[#This Row],[Amount]]*tbl_Ledger[[#This Row],[Rate_to_NGN]]),tbl_Ledger[[#This Row],[Amount]]*tbl_Ledger[[#This Row],[Rate_to_NGN]])</f>
        <v>50100</v>
      </c>
      <c r="R1215" s="25" t="str">
        <f>_xlfn.XLOOKUP(tbl_Ledger[[#This Row],[Account_Code]], tbl_Accounts[Account_Code], tbl_Accounts[Type])</f>
        <v>Revenue</v>
      </c>
      <c r="S1215" s="25" t="str">
        <f>_xlfn.XLOOKUP(tbl_Ledger[[#This Row],[Account_Code]], tbl_Accounts[Account_Code], tbl_Accounts[PL_Bucket])</f>
        <v>Revenue</v>
      </c>
      <c r="T1215" s="25">
        <f t="shared" si="18"/>
        <v>50100</v>
      </c>
    </row>
    <row r="1216" spans="1:20">
      <c r="A1216" t="s">
        <v>3234</v>
      </c>
      <c r="B1216" s="7">
        <v>45916</v>
      </c>
      <c r="C1216" t="s">
        <v>87</v>
      </c>
      <c r="D1216" t="s">
        <v>94</v>
      </c>
      <c r="E1216" t="s">
        <v>3</v>
      </c>
      <c r="F1216" s="12" t="s">
        <v>33</v>
      </c>
      <c r="G1216" t="s">
        <v>34</v>
      </c>
      <c r="H1216" t="s">
        <v>2691</v>
      </c>
      <c r="I1216" t="s">
        <v>71</v>
      </c>
      <c r="J1216" s="6">
        <v>-579000</v>
      </c>
      <c r="K1216" t="s">
        <v>316</v>
      </c>
      <c r="L1216" t="s">
        <v>3235</v>
      </c>
      <c r="M1216" t="s">
        <v>3</v>
      </c>
      <c r="N1216" s="25" t="str">
        <f>TEXT(tbl_Ledger[[#This Row],[Date]],"yyyy-mm")</f>
        <v>2025-09</v>
      </c>
      <c r="O1216" s="25" t="str">
        <f>TEXT(tbl_Ledger[[#This Row],[Date]],"yyyy-mm") &amp; TRIM(tbl_Ledger[[#This Row],[Currency]])</f>
        <v>2025-09NGN</v>
      </c>
      <c r="P1216" s="25">
        <f>_xlfn.XLOOKUP(tbl_Ledger[[#This Row],[Key]], tbl_FX[Key], tbl_FX[Rate_to_NGN])</f>
        <v>1</v>
      </c>
      <c r="Q1216" s="37">
        <f>IF(tbl_Ledger[[#This Row],[Account_Type]]="Expense",-ABS(tbl_Ledger[[#This Row],[Amount]]*tbl_Ledger[[#This Row],[Rate_to_NGN]]),tbl_Ledger[[#This Row],[Amount]]*tbl_Ledger[[#This Row],[Rate_to_NGN]])</f>
        <v>-579000</v>
      </c>
      <c r="R1216" s="25" t="str">
        <f>_xlfn.XLOOKUP(tbl_Ledger[[#This Row],[Account_Code]], tbl_Accounts[Account_Code], tbl_Accounts[Type])</f>
        <v>COGS</v>
      </c>
      <c r="S1216" s="25" t="str">
        <f>_xlfn.XLOOKUP(tbl_Ledger[[#This Row],[Account_Code]], tbl_Accounts[Account_Code], tbl_Accounts[PL_Bucket])</f>
        <v>COGS</v>
      </c>
      <c r="T1216" s="25">
        <f t="shared" si="18"/>
        <v>-579000</v>
      </c>
    </row>
    <row r="1217" spans="1:20">
      <c r="A1217" t="s">
        <v>3236</v>
      </c>
      <c r="B1217" s="7">
        <v>45916</v>
      </c>
      <c r="C1217" t="s">
        <v>87</v>
      </c>
      <c r="D1217" t="s">
        <v>111</v>
      </c>
      <c r="E1217" t="s">
        <v>3</v>
      </c>
      <c r="F1217" s="12" t="s">
        <v>38</v>
      </c>
      <c r="G1217" t="s">
        <v>39</v>
      </c>
      <c r="H1217" t="s">
        <v>2694</v>
      </c>
      <c r="I1217" t="s">
        <v>71</v>
      </c>
      <c r="J1217" s="6">
        <v>-114000</v>
      </c>
      <c r="K1217" t="s">
        <v>276</v>
      </c>
      <c r="L1217" t="s">
        <v>3237</v>
      </c>
      <c r="M1217" t="s">
        <v>3</v>
      </c>
      <c r="N1217" s="25" t="str">
        <f>TEXT(tbl_Ledger[[#This Row],[Date]],"yyyy-mm")</f>
        <v>2025-09</v>
      </c>
      <c r="O1217" s="25" t="str">
        <f>TEXT(tbl_Ledger[[#This Row],[Date]],"yyyy-mm") &amp; TRIM(tbl_Ledger[[#This Row],[Currency]])</f>
        <v>2025-09NGN</v>
      </c>
      <c r="P1217" s="25">
        <f>_xlfn.XLOOKUP(tbl_Ledger[[#This Row],[Key]], tbl_FX[Key], tbl_FX[Rate_to_NGN])</f>
        <v>1</v>
      </c>
      <c r="Q1217" s="37">
        <f>IF(tbl_Ledger[[#This Row],[Account_Type]]="Expense",-ABS(tbl_Ledger[[#This Row],[Amount]]*tbl_Ledger[[#This Row],[Rate_to_NGN]]),tbl_Ledger[[#This Row],[Amount]]*tbl_Ledger[[#This Row],[Rate_to_NGN]])</f>
        <v>-114000</v>
      </c>
      <c r="R1217" s="25" t="str">
        <f>_xlfn.XLOOKUP(tbl_Ledger[[#This Row],[Account_Code]], tbl_Accounts[Account_Code], tbl_Accounts[Type])</f>
        <v>COGS</v>
      </c>
      <c r="S1217" s="25" t="str">
        <f>_xlfn.XLOOKUP(tbl_Ledger[[#This Row],[Account_Code]], tbl_Accounts[Account_Code], tbl_Accounts[PL_Bucket])</f>
        <v>COGS</v>
      </c>
      <c r="T1217" s="25">
        <f t="shared" si="18"/>
        <v>-114000</v>
      </c>
    </row>
    <row r="1218" spans="1:20">
      <c r="A1218" t="s">
        <v>3238</v>
      </c>
      <c r="B1218" s="7">
        <v>45917</v>
      </c>
      <c r="C1218" t="s">
        <v>93</v>
      </c>
      <c r="D1218" t="s">
        <v>94</v>
      </c>
      <c r="E1218" t="s">
        <v>95</v>
      </c>
      <c r="F1218" s="12" t="s">
        <v>24</v>
      </c>
      <c r="G1218" t="s">
        <v>25</v>
      </c>
      <c r="H1218" t="s">
        <v>3239</v>
      </c>
      <c r="I1218" t="s">
        <v>71</v>
      </c>
      <c r="J1218" s="6">
        <v>33200</v>
      </c>
      <c r="K1218" t="s">
        <v>3</v>
      </c>
      <c r="L1218" t="s">
        <v>3240</v>
      </c>
      <c r="M1218" t="s">
        <v>3</v>
      </c>
      <c r="N1218" s="25" t="str">
        <f>TEXT(tbl_Ledger[[#This Row],[Date]],"yyyy-mm")</f>
        <v>2025-09</v>
      </c>
      <c r="O1218" s="25" t="str">
        <f>TEXT(tbl_Ledger[[#This Row],[Date]],"yyyy-mm") &amp; TRIM(tbl_Ledger[[#This Row],[Currency]])</f>
        <v>2025-09NGN</v>
      </c>
      <c r="P1218" s="25">
        <f>_xlfn.XLOOKUP(tbl_Ledger[[#This Row],[Key]], tbl_FX[Key], tbl_FX[Rate_to_NGN])</f>
        <v>1</v>
      </c>
      <c r="Q1218" s="37">
        <f>IF(tbl_Ledger[[#This Row],[Account_Type]]="Expense",-ABS(tbl_Ledger[[#This Row],[Amount]]*tbl_Ledger[[#This Row],[Rate_to_NGN]]),tbl_Ledger[[#This Row],[Amount]]*tbl_Ledger[[#This Row],[Rate_to_NGN]])</f>
        <v>33200</v>
      </c>
      <c r="R1218" s="25" t="str">
        <f>_xlfn.XLOOKUP(tbl_Ledger[[#This Row],[Account_Code]], tbl_Accounts[Account_Code], tbl_Accounts[Type])</f>
        <v>Revenue</v>
      </c>
      <c r="S1218" s="25" t="str">
        <f>_xlfn.XLOOKUP(tbl_Ledger[[#This Row],[Account_Code]], tbl_Accounts[Account_Code], tbl_Accounts[PL_Bucket])</f>
        <v>Revenue</v>
      </c>
      <c r="T1218" s="25">
        <f t="shared" ref="T1218:T1281" si="19">IF(AND(S1218="Revenue",F1218&lt;&gt;4900),ABS(Q1218),-ABS(Q1218))</f>
        <v>33200</v>
      </c>
    </row>
    <row r="1219" spans="1:20">
      <c r="A1219" t="s">
        <v>3241</v>
      </c>
      <c r="B1219" s="7">
        <v>45917</v>
      </c>
      <c r="C1219" t="s">
        <v>93</v>
      </c>
      <c r="D1219" t="s">
        <v>94</v>
      </c>
      <c r="E1219" t="s">
        <v>99</v>
      </c>
      <c r="F1219" s="12" t="s">
        <v>24</v>
      </c>
      <c r="G1219" t="s">
        <v>25</v>
      </c>
      <c r="H1219" t="s">
        <v>3242</v>
      </c>
      <c r="I1219" t="s">
        <v>71</v>
      </c>
      <c r="J1219" s="6">
        <v>32800</v>
      </c>
      <c r="K1219" t="s">
        <v>3</v>
      </c>
      <c r="L1219" t="s">
        <v>3243</v>
      </c>
      <c r="M1219" t="s">
        <v>3</v>
      </c>
      <c r="N1219" s="25" t="str">
        <f>TEXT(tbl_Ledger[[#This Row],[Date]],"yyyy-mm")</f>
        <v>2025-09</v>
      </c>
      <c r="O1219" s="25" t="str">
        <f>TEXT(tbl_Ledger[[#This Row],[Date]],"yyyy-mm") &amp; TRIM(tbl_Ledger[[#This Row],[Currency]])</f>
        <v>2025-09NGN</v>
      </c>
      <c r="P1219" s="25">
        <f>_xlfn.XLOOKUP(tbl_Ledger[[#This Row],[Key]], tbl_FX[Key], tbl_FX[Rate_to_NGN])</f>
        <v>1</v>
      </c>
      <c r="Q1219" s="37">
        <f>IF(tbl_Ledger[[#This Row],[Account_Type]]="Expense",-ABS(tbl_Ledger[[#This Row],[Amount]]*tbl_Ledger[[#This Row],[Rate_to_NGN]]),tbl_Ledger[[#This Row],[Amount]]*tbl_Ledger[[#This Row],[Rate_to_NGN]])</f>
        <v>32800</v>
      </c>
      <c r="R1219" s="25" t="str">
        <f>_xlfn.XLOOKUP(tbl_Ledger[[#This Row],[Account_Code]], tbl_Accounts[Account_Code], tbl_Accounts[Type])</f>
        <v>Revenue</v>
      </c>
      <c r="S1219" s="25" t="str">
        <f>_xlfn.XLOOKUP(tbl_Ledger[[#This Row],[Account_Code]], tbl_Accounts[Account_Code], tbl_Accounts[PL_Bucket])</f>
        <v>Revenue</v>
      </c>
      <c r="T1219" s="25">
        <f t="shared" si="19"/>
        <v>32800</v>
      </c>
    </row>
    <row r="1220" spans="1:20">
      <c r="A1220" t="s">
        <v>3244</v>
      </c>
      <c r="B1220" s="7">
        <v>45917</v>
      </c>
      <c r="C1220" t="s">
        <v>93</v>
      </c>
      <c r="D1220" t="s">
        <v>94</v>
      </c>
      <c r="E1220" t="s">
        <v>103</v>
      </c>
      <c r="F1220" s="12" t="s">
        <v>24</v>
      </c>
      <c r="G1220" t="s">
        <v>25</v>
      </c>
      <c r="H1220" t="s">
        <v>3245</v>
      </c>
      <c r="I1220" t="s">
        <v>71</v>
      </c>
      <c r="J1220" s="6">
        <v>30100</v>
      </c>
      <c r="K1220" t="s">
        <v>3</v>
      </c>
      <c r="L1220" t="s">
        <v>3246</v>
      </c>
      <c r="M1220" t="s">
        <v>3</v>
      </c>
      <c r="N1220" s="25" t="str">
        <f>TEXT(tbl_Ledger[[#This Row],[Date]],"yyyy-mm")</f>
        <v>2025-09</v>
      </c>
      <c r="O1220" s="25" t="str">
        <f>TEXT(tbl_Ledger[[#This Row],[Date]],"yyyy-mm") &amp; TRIM(tbl_Ledger[[#This Row],[Currency]])</f>
        <v>2025-09NGN</v>
      </c>
      <c r="P1220" s="25">
        <f>_xlfn.XLOOKUP(tbl_Ledger[[#This Row],[Key]], tbl_FX[Key], tbl_FX[Rate_to_NGN])</f>
        <v>1</v>
      </c>
      <c r="Q1220" s="37">
        <f>IF(tbl_Ledger[[#This Row],[Account_Type]]="Expense",-ABS(tbl_Ledger[[#This Row],[Amount]]*tbl_Ledger[[#This Row],[Rate_to_NGN]]),tbl_Ledger[[#This Row],[Amount]]*tbl_Ledger[[#This Row],[Rate_to_NGN]])</f>
        <v>30100</v>
      </c>
      <c r="R1220" s="25" t="str">
        <f>_xlfn.XLOOKUP(tbl_Ledger[[#This Row],[Account_Code]], tbl_Accounts[Account_Code], tbl_Accounts[Type])</f>
        <v>Revenue</v>
      </c>
      <c r="S1220" s="25" t="str">
        <f>_xlfn.XLOOKUP(tbl_Ledger[[#This Row],[Account_Code]], tbl_Accounts[Account_Code], tbl_Accounts[PL_Bucket])</f>
        <v>Revenue</v>
      </c>
      <c r="T1220" s="25">
        <f t="shared" si="19"/>
        <v>30100</v>
      </c>
    </row>
    <row r="1221" spans="1:20">
      <c r="A1221" t="s">
        <v>3247</v>
      </c>
      <c r="B1221" s="7">
        <v>45917</v>
      </c>
      <c r="C1221" t="s">
        <v>93</v>
      </c>
      <c r="D1221" t="s">
        <v>94</v>
      </c>
      <c r="E1221" t="s">
        <v>160</v>
      </c>
      <c r="F1221" s="12" t="s">
        <v>24</v>
      </c>
      <c r="G1221" t="s">
        <v>25</v>
      </c>
      <c r="H1221" t="s">
        <v>3248</v>
      </c>
      <c r="I1221" t="s">
        <v>71</v>
      </c>
      <c r="J1221" s="6">
        <v>31900</v>
      </c>
      <c r="K1221" t="s">
        <v>3</v>
      </c>
      <c r="L1221" t="s">
        <v>3246</v>
      </c>
      <c r="M1221" t="s">
        <v>3</v>
      </c>
      <c r="N1221" s="25" t="str">
        <f>TEXT(tbl_Ledger[[#This Row],[Date]],"yyyy-mm")</f>
        <v>2025-09</v>
      </c>
      <c r="O1221" s="25" t="str">
        <f>TEXT(tbl_Ledger[[#This Row],[Date]],"yyyy-mm") &amp; TRIM(tbl_Ledger[[#This Row],[Currency]])</f>
        <v>2025-09NGN</v>
      </c>
      <c r="P1221" s="25">
        <f>_xlfn.XLOOKUP(tbl_Ledger[[#This Row],[Key]], tbl_FX[Key], tbl_FX[Rate_to_NGN])</f>
        <v>1</v>
      </c>
      <c r="Q1221" s="37">
        <f>IF(tbl_Ledger[[#This Row],[Account_Type]]="Expense",-ABS(tbl_Ledger[[#This Row],[Amount]]*tbl_Ledger[[#This Row],[Rate_to_NGN]]),tbl_Ledger[[#This Row],[Amount]]*tbl_Ledger[[#This Row],[Rate_to_NGN]])</f>
        <v>31900</v>
      </c>
      <c r="R1221" s="25" t="str">
        <f>_xlfn.XLOOKUP(tbl_Ledger[[#This Row],[Account_Code]], tbl_Accounts[Account_Code], tbl_Accounts[Type])</f>
        <v>Revenue</v>
      </c>
      <c r="S1221" s="25" t="str">
        <f>_xlfn.XLOOKUP(tbl_Ledger[[#This Row],[Account_Code]], tbl_Accounts[Account_Code], tbl_Accounts[PL_Bucket])</f>
        <v>Revenue</v>
      </c>
      <c r="T1221" s="25">
        <f t="shared" si="19"/>
        <v>31900</v>
      </c>
    </row>
    <row r="1222" spans="1:20">
      <c r="A1222" t="s">
        <v>3249</v>
      </c>
      <c r="B1222" s="7">
        <v>45917</v>
      </c>
      <c r="C1222" t="s">
        <v>93</v>
      </c>
      <c r="D1222" t="s">
        <v>94</v>
      </c>
      <c r="E1222" t="s">
        <v>107</v>
      </c>
      <c r="F1222" s="12" t="s">
        <v>24</v>
      </c>
      <c r="G1222" t="s">
        <v>25</v>
      </c>
      <c r="H1222" t="s">
        <v>3250</v>
      </c>
      <c r="I1222" t="s">
        <v>71</v>
      </c>
      <c r="J1222" s="6">
        <v>33600</v>
      </c>
      <c r="K1222" t="s">
        <v>3</v>
      </c>
      <c r="L1222" t="s">
        <v>3251</v>
      </c>
      <c r="M1222" t="s">
        <v>3</v>
      </c>
      <c r="N1222" s="25" t="str">
        <f>TEXT(tbl_Ledger[[#This Row],[Date]],"yyyy-mm")</f>
        <v>2025-09</v>
      </c>
      <c r="O1222" s="25" t="str">
        <f>TEXT(tbl_Ledger[[#This Row],[Date]],"yyyy-mm") &amp; TRIM(tbl_Ledger[[#This Row],[Currency]])</f>
        <v>2025-09NGN</v>
      </c>
      <c r="P1222" s="25">
        <f>_xlfn.XLOOKUP(tbl_Ledger[[#This Row],[Key]], tbl_FX[Key], tbl_FX[Rate_to_NGN])</f>
        <v>1</v>
      </c>
      <c r="Q1222" s="37">
        <f>IF(tbl_Ledger[[#This Row],[Account_Type]]="Expense",-ABS(tbl_Ledger[[#This Row],[Amount]]*tbl_Ledger[[#This Row],[Rate_to_NGN]]),tbl_Ledger[[#This Row],[Amount]]*tbl_Ledger[[#This Row],[Rate_to_NGN]])</f>
        <v>33600</v>
      </c>
      <c r="R1222" s="25" t="str">
        <f>_xlfn.XLOOKUP(tbl_Ledger[[#This Row],[Account_Code]], tbl_Accounts[Account_Code], tbl_Accounts[Type])</f>
        <v>Revenue</v>
      </c>
      <c r="S1222" s="25" t="str">
        <f>_xlfn.XLOOKUP(tbl_Ledger[[#This Row],[Account_Code]], tbl_Accounts[Account_Code], tbl_Accounts[PL_Bucket])</f>
        <v>Revenue</v>
      </c>
      <c r="T1222" s="25">
        <f t="shared" si="19"/>
        <v>33600</v>
      </c>
    </row>
    <row r="1223" spans="1:20">
      <c r="A1223" t="s">
        <v>3252</v>
      </c>
      <c r="B1223" s="7">
        <v>45917</v>
      </c>
      <c r="C1223" t="s">
        <v>93</v>
      </c>
      <c r="D1223" t="s">
        <v>111</v>
      </c>
      <c r="E1223" t="s">
        <v>112</v>
      </c>
      <c r="F1223" s="12" t="s">
        <v>24</v>
      </c>
      <c r="G1223" t="s">
        <v>25</v>
      </c>
      <c r="H1223" t="s">
        <v>3253</v>
      </c>
      <c r="I1223" t="s">
        <v>71</v>
      </c>
      <c r="J1223" s="6">
        <v>48900</v>
      </c>
      <c r="K1223" t="s">
        <v>3</v>
      </c>
      <c r="L1223" t="s">
        <v>3254</v>
      </c>
      <c r="M1223" t="s">
        <v>3</v>
      </c>
      <c r="N1223" s="25" t="str">
        <f>TEXT(tbl_Ledger[[#This Row],[Date]],"yyyy-mm")</f>
        <v>2025-09</v>
      </c>
      <c r="O1223" s="25" t="str">
        <f>TEXT(tbl_Ledger[[#This Row],[Date]],"yyyy-mm") &amp; TRIM(tbl_Ledger[[#This Row],[Currency]])</f>
        <v>2025-09NGN</v>
      </c>
      <c r="P1223" s="25">
        <f>_xlfn.XLOOKUP(tbl_Ledger[[#This Row],[Key]], tbl_FX[Key], tbl_FX[Rate_to_NGN])</f>
        <v>1</v>
      </c>
      <c r="Q1223" s="37">
        <f>IF(tbl_Ledger[[#This Row],[Account_Type]]="Expense",-ABS(tbl_Ledger[[#This Row],[Amount]]*tbl_Ledger[[#This Row],[Rate_to_NGN]]),tbl_Ledger[[#This Row],[Amount]]*tbl_Ledger[[#This Row],[Rate_to_NGN]])</f>
        <v>48900</v>
      </c>
      <c r="R1223" s="25" t="str">
        <f>_xlfn.XLOOKUP(tbl_Ledger[[#This Row],[Account_Code]], tbl_Accounts[Account_Code], tbl_Accounts[Type])</f>
        <v>Revenue</v>
      </c>
      <c r="S1223" s="25" t="str">
        <f>_xlfn.XLOOKUP(tbl_Ledger[[#This Row],[Account_Code]], tbl_Accounts[Account_Code], tbl_Accounts[PL_Bucket])</f>
        <v>Revenue</v>
      </c>
      <c r="T1223" s="25">
        <f t="shared" si="19"/>
        <v>48900</v>
      </c>
    </row>
    <row r="1224" spans="1:20">
      <c r="A1224" t="s">
        <v>3255</v>
      </c>
      <c r="B1224" s="7">
        <v>45917</v>
      </c>
      <c r="C1224" t="s">
        <v>93</v>
      </c>
      <c r="D1224" t="s">
        <v>111</v>
      </c>
      <c r="E1224" t="s">
        <v>116</v>
      </c>
      <c r="F1224" s="12" t="s">
        <v>24</v>
      </c>
      <c r="G1224" t="s">
        <v>25</v>
      </c>
      <c r="H1224" t="s">
        <v>3256</v>
      </c>
      <c r="I1224" t="s">
        <v>71</v>
      </c>
      <c r="J1224" s="6">
        <v>49300</v>
      </c>
      <c r="K1224" t="s">
        <v>3</v>
      </c>
      <c r="L1224" t="s">
        <v>3254</v>
      </c>
      <c r="M1224" t="s">
        <v>3</v>
      </c>
      <c r="N1224" s="25" t="str">
        <f>TEXT(tbl_Ledger[[#This Row],[Date]],"yyyy-mm")</f>
        <v>2025-09</v>
      </c>
      <c r="O1224" s="25" t="str">
        <f>TEXT(tbl_Ledger[[#This Row],[Date]],"yyyy-mm") &amp; TRIM(tbl_Ledger[[#This Row],[Currency]])</f>
        <v>2025-09NGN</v>
      </c>
      <c r="P1224" s="25">
        <f>_xlfn.XLOOKUP(tbl_Ledger[[#This Row],[Key]], tbl_FX[Key], tbl_FX[Rate_to_NGN])</f>
        <v>1</v>
      </c>
      <c r="Q1224" s="37">
        <f>IF(tbl_Ledger[[#This Row],[Account_Type]]="Expense",-ABS(tbl_Ledger[[#This Row],[Amount]]*tbl_Ledger[[#This Row],[Rate_to_NGN]]),tbl_Ledger[[#This Row],[Amount]]*tbl_Ledger[[#This Row],[Rate_to_NGN]])</f>
        <v>49300</v>
      </c>
      <c r="R1224" s="25" t="str">
        <f>_xlfn.XLOOKUP(tbl_Ledger[[#This Row],[Account_Code]], tbl_Accounts[Account_Code], tbl_Accounts[Type])</f>
        <v>Revenue</v>
      </c>
      <c r="S1224" s="25" t="str">
        <f>_xlfn.XLOOKUP(tbl_Ledger[[#This Row],[Account_Code]], tbl_Accounts[Account_Code], tbl_Accounts[PL_Bucket])</f>
        <v>Revenue</v>
      </c>
      <c r="T1224" s="25">
        <f t="shared" si="19"/>
        <v>49300</v>
      </c>
    </row>
    <row r="1225" spans="1:20">
      <c r="A1225" t="s">
        <v>3257</v>
      </c>
      <c r="B1225" s="7">
        <v>45917</v>
      </c>
      <c r="C1225" t="s">
        <v>93</v>
      </c>
      <c r="D1225" t="s">
        <v>111</v>
      </c>
      <c r="E1225" t="s">
        <v>119</v>
      </c>
      <c r="F1225" s="12" t="s">
        <v>24</v>
      </c>
      <c r="G1225" t="s">
        <v>25</v>
      </c>
      <c r="H1225" t="s">
        <v>3258</v>
      </c>
      <c r="I1225" t="s">
        <v>71</v>
      </c>
      <c r="J1225" s="6">
        <v>51900</v>
      </c>
      <c r="K1225" t="s">
        <v>3</v>
      </c>
      <c r="L1225" t="s">
        <v>3254</v>
      </c>
      <c r="M1225" t="s">
        <v>3</v>
      </c>
      <c r="N1225" s="25" t="str">
        <f>TEXT(tbl_Ledger[[#This Row],[Date]],"yyyy-mm")</f>
        <v>2025-09</v>
      </c>
      <c r="O1225" s="25" t="str">
        <f>TEXT(tbl_Ledger[[#This Row],[Date]],"yyyy-mm") &amp; TRIM(tbl_Ledger[[#This Row],[Currency]])</f>
        <v>2025-09NGN</v>
      </c>
      <c r="P1225" s="25">
        <f>_xlfn.XLOOKUP(tbl_Ledger[[#This Row],[Key]], tbl_FX[Key], tbl_FX[Rate_to_NGN])</f>
        <v>1</v>
      </c>
      <c r="Q1225" s="37">
        <f>IF(tbl_Ledger[[#This Row],[Account_Type]]="Expense",-ABS(tbl_Ledger[[#This Row],[Amount]]*tbl_Ledger[[#This Row],[Rate_to_NGN]]),tbl_Ledger[[#This Row],[Amount]]*tbl_Ledger[[#This Row],[Rate_to_NGN]])</f>
        <v>51900</v>
      </c>
      <c r="R1225" s="25" t="str">
        <f>_xlfn.XLOOKUP(tbl_Ledger[[#This Row],[Account_Code]], tbl_Accounts[Account_Code], tbl_Accounts[Type])</f>
        <v>Revenue</v>
      </c>
      <c r="S1225" s="25" t="str">
        <f>_xlfn.XLOOKUP(tbl_Ledger[[#This Row],[Account_Code]], tbl_Accounts[Account_Code], tbl_Accounts[PL_Bucket])</f>
        <v>Revenue</v>
      </c>
      <c r="T1225" s="25">
        <f t="shared" si="19"/>
        <v>51900</v>
      </c>
    </row>
    <row r="1226" spans="1:20">
      <c r="A1226" t="s">
        <v>3259</v>
      </c>
      <c r="B1226" s="7">
        <v>45917</v>
      </c>
      <c r="C1226" t="s">
        <v>93</v>
      </c>
      <c r="D1226" t="s">
        <v>111</v>
      </c>
      <c r="E1226" t="s">
        <v>170</v>
      </c>
      <c r="F1226" s="12" t="s">
        <v>24</v>
      </c>
      <c r="G1226" t="s">
        <v>25</v>
      </c>
      <c r="H1226" t="s">
        <v>3260</v>
      </c>
      <c r="I1226" t="s">
        <v>71</v>
      </c>
      <c r="J1226" s="6">
        <v>51800</v>
      </c>
      <c r="K1226" t="s">
        <v>3</v>
      </c>
      <c r="L1226" t="s">
        <v>3254</v>
      </c>
      <c r="M1226" t="s">
        <v>3</v>
      </c>
      <c r="N1226" s="25" t="str">
        <f>TEXT(tbl_Ledger[[#This Row],[Date]],"yyyy-mm")</f>
        <v>2025-09</v>
      </c>
      <c r="O1226" s="25" t="str">
        <f>TEXT(tbl_Ledger[[#This Row],[Date]],"yyyy-mm") &amp; TRIM(tbl_Ledger[[#This Row],[Currency]])</f>
        <v>2025-09NGN</v>
      </c>
      <c r="P1226" s="25">
        <f>_xlfn.XLOOKUP(tbl_Ledger[[#This Row],[Key]], tbl_FX[Key], tbl_FX[Rate_to_NGN])</f>
        <v>1</v>
      </c>
      <c r="Q1226" s="37">
        <f>IF(tbl_Ledger[[#This Row],[Account_Type]]="Expense",-ABS(tbl_Ledger[[#This Row],[Amount]]*tbl_Ledger[[#This Row],[Rate_to_NGN]]),tbl_Ledger[[#This Row],[Amount]]*tbl_Ledger[[#This Row],[Rate_to_NGN]])</f>
        <v>51800</v>
      </c>
      <c r="R1226" s="25" t="str">
        <f>_xlfn.XLOOKUP(tbl_Ledger[[#This Row],[Account_Code]], tbl_Accounts[Account_Code], tbl_Accounts[Type])</f>
        <v>Revenue</v>
      </c>
      <c r="S1226" s="25" t="str">
        <f>_xlfn.XLOOKUP(tbl_Ledger[[#This Row],[Account_Code]], tbl_Accounts[Account_Code], tbl_Accounts[PL_Bucket])</f>
        <v>Revenue</v>
      </c>
      <c r="T1226" s="25">
        <f t="shared" si="19"/>
        <v>51800</v>
      </c>
    </row>
    <row r="1227" spans="1:20">
      <c r="A1227" t="s">
        <v>3261</v>
      </c>
      <c r="B1227" s="7">
        <v>45917</v>
      </c>
      <c r="C1227" t="s">
        <v>93</v>
      </c>
      <c r="D1227" t="s">
        <v>111</v>
      </c>
      <c r="E1227" t="s">
        <v>122</v>
      </c>
      <c r="F1227" s="12" t="s">
        <v>24</v>
      </c>
      <c r="G1227" t="s">
        <v>25</v>
      </c>
      <c r="H1227" t="s">
        <v>3262</v>
      </c>
      <c r="I1227" t="s">
        <v>73</v>
      </c>
      <c r="J1227" s="6">
        <v>509.38</v>
      </c>
      <c r="K1227" t="s">
        <v>3</v>
      </c>
      <c r="L1227" t="s">
        <v>3263</v>
      </c>
      <c r="M1227" t="s">
        <v>3</v>
      </c>
      <c r="N1227" s="25" t="str">
        <f>TEXT(tbl_Ledger[[#This Row],[Date]],"yyyy-mm")</f>
        <v>2025-09</v>
      </c>
      <c r="O1227" s="25" t="str">
        <f>TEXT(tbl_Ledger[[#This Row],[Date]],"yyyy-mm") &amp; TRIM(tbl_Ledger[[#This Row],[Currency]])</f>
        <v>2025-09GHS</v>
      </c>
      <c r="P1227" s="25">
        <f>_xlfn.XLOOKUP(tbl_Ledger[[#This Row],[Key]], tbl_FX[Key], tbl_FX[Rate_to_NGN])</f>
        <v>96</v>
      </c>
      <c r="Q1227" s="37">
        <f>IF(tbl_Ledger[[#This Row],[Account_Type]]="Expense",-ABS(tbl_Ledger[[#This Row],[Amount]]*tbl_Ledger[[#This Row],[Rate_to_NGN]]),tbl_Ledger[[#This Row],[Amount]]*tbl_Ledger[[#This Row],[Rate_to_NGN]])</f>
        <v>48900.479999999996</v>
      </c>
      <c r="R1227" s="25" t="str">
        <f>_xlfn.XLOOKUP(tbl_Ledger[[#This Row],[Account_Code]], tbl_Accounts[Account_Code], tbl_Accounts[Type])</f>
        <v>Revenue</v>
      </c>
      <c r="S1227" s="25" t="str">
        <f>_xlfn.XLOOKUP(tbl_Ledger[[#This Row],[Account_Code]], tbl_Accounts[Account_Code], tbl_Accounts[PL_Bucket])</f>
        <v>Revenue</v>
      </c>
      <c r="T1227" s="25">
        <f t="shared" si="19"/>
        <v>48900.479999999996</v>
      </c>
    </row>
    <row r="1228" spans="1:20">
      <c r="A1228" t="s">
        <v>3264</v>
      </c>
      <c r="B1228" s="7">
        <v>45917</v>
      </c>
      <c r="C1228" t="s">
        <v>126</v>
      </c>
      <c r="D1228" t="s">
        <v>88</v>
      </c>
      <c r="E1228" t="s">
        <v>127</v>
      </c>
      <c r="F1228" s="12" t="s">
        <v>29</v>
      </c>
      <c r="G1228" t="s">
        <v>30</v>
      </c>
      <c r="H1228" t="s">
        <v>3265</v>
      </c>
      <c r="I1228" t="s">
        <v>72</v>
      </c>
      <c r="J1228" s="6">
        <v>36.69</v>
      </c>
      <c r="K1228" t="s">
        <v>129</v>
      </c>
      <c r="L1228" t="s">
        <v>3266</v>
      </c>
      <c r="M1228" t="s">
        <v>3</v>
      </c>
      <c r="N1228" s="25" t="str">
        <f>TEXT(tbl_Ledger[[#This Row],[Date]],"yyyy-mm")</f>
        <v>2025-09</v>
      </c>
      <c r="O1228" s="25" t="str">
        <f>TEXT(tbl_Ledger[[#This Row],[Date]],"yyyy-mm") &amp; TRIM(tbl_Ledger[[#This Row],[Currency]])</f>
        <v>2025-09USD</v>
      </c>
      <c r="P1228" s="25">
        <f>_xlfn.XLOOKUP(tbl_Ledger[[#This Row],[Key]], tbl_FX[Key], tbl_FX[Rate_to_NGN])</f>
        <v>1611</v>
      </c>
      <c r="Q1228" s="37">
        <f>IF(tbl_Ledger[[#This Row],[Account_Type]]="Expense",-ABS(tbl_Ledger[[#This Row],[Amount]]*tbl_Ledger[[#This Row],[Rate_to_NGN]]),tbl_Ledger[[#This Row],[Amount]]*tbl_Ledger[[#This Row],[Rate_to_NGN]])</f>
        <v>59107.59</v>
      </c>
      <c r="R1228" s="25" t="str">
        <f>_xlfn.XLOOKUP(tbl_Ledger[[#This Row],[Account_Code]], tbl_Accounts[Account_Code], tbl_Accounts[Type])</f>
        <v>Revenue</v>
      </c>
      <c r="S1228" s="25" t="str">
        <f>_xlfn.XLOOKUP(tbl_Ledger[[#This Row],[Account_Code]], tbl_Accounts[Account_Code], tbl_Accounts[PL_Bucket])</f>
        <v>Revenue</v>
      </c>
      <c r="T1228" s="25">
        <f t="shared" si="19"/>
        <v>59107.59</v>
      </c>
    </row>
    <row r="1229" spans="1:20">
      <c r="A1229" t="s">
        <v>3267</v>
      </c>
      <c r="B1229" s="7">
        <v>45917</v>
      </c>
      <c r="C1229" t="s">
        <v>126</v>
      </c>
      <c r="D1229" t="s">
        <v>88</v>
      </c>
      <c r="E1229" t="s">
        <v>132</v>
      </c>
      <c r="F1229" s="12" t="s">
        <v>29</v>
      </c>
      <c r="G1229" t="s">
        <v>30</v>
      </c>
      <c r="H1229" t="s">
        <v>3268</v>
      </c>
      <c r="I1229" t="s">
        <v>71</v>
      </c>
      <c r="J1229" s="6">
        <v>51000</v>
      </c>
      <c r="K1229" t="s">
        <v>134</v>
      </c>
      <c r="L1229" t="s">
        <v>3266</v>
      </c>
      <c r="M1229" t="s">
        <v>3</v>
      </c>
      <c r="N1229" s="25" t="str">
        <f>TEXT(tbl_Ledger[[#This Row],[Date]],"yyyy-mm")</f>
        <v>2025-09</v>
      </c>
      <c r="O1229" s="25" t="str">
        <f>TEXT(tbl_Ledger[[#This Row],[Date]],"yyyy-mm") &amp; TRIM(tbl_Ledger[[#This Row],[Currency]])</f>
        <v>2025-09NGN</v>
      </c>
      <c r="P1229" s="25">
        <f>_xlfn.XLOOKUP(tbl_Ledger[[#This Row],[Key]], tbl_FX[Key], tbl_FX[Rate_to_NGN])</f>
        <v>1</v>
      </c>
      <c r="Q1229" s="37">
        <f>IF(tbl_Ledger[[#This Row],[Account_Type]]="Expense",-ABS(tbl_Ledger[[#This Row],[Amount]]*tbl_Ledger[[#This Row],[Rate_to_NGN]]),tbl_Ledger[[#This Row],[Amount]]*tbl_Ledger[[#This Row],[Rate_to_NGN]])</f>
        <v>51000</v>
      </c>
      <c r="R1229" s="25" t="str">
        <f>_xlfn.XLOOKUP(tbl_Ledger[[#This Row],[Account_Code]], tbl_Accounts[Account_Code], tbl_Accounts[Type])</f>
        <v>Revenue</v>
      </c>
      <c r="S1229" s="25" t="str">
        <f>_xlfn.XLOOKUP(tbl_Ledger[[#This Row],[Account_Code]], tbl_Accounts[Account_Code], tbl_Accounts[PL_Bucket])</f>
        <v>Revenue</v>
      </c>
      <c r="T1229" s="25">
        <f t="shared" si="19"/>
        <v>51000</v>
      </c>
    </row>
    <row r="1230" spans="1:20">
      <c r="A1230" t="s">
        <v>3269</v>
      </c>
      <c r="B1230" s="7">
        <v>45917</v>
      </c>
      <c r="C1230" t="s">
        <v>126</v>
      </c>
      <c r="D1230" t="s">
        <v>88</v>
      </c>
      <c r="E1230" t="s">
        <v>136</v>
      </c>
      <c r="F1230" s="12" t="s">
        <v>29</v>
      </c>
      <c r="G1230" t="s">
        <v>30</v>
      </c>
      <c r="H1230" t="s">
        <v>3270</v>
      </c>
      <c r="I1230" t="s">
        <v>71</v>
      </c>
      <c r="J1230" s="6">
        <v>53900</v>
      </c>
      <c r="K1230" t="s">
        <v>138</v>
      </c>
      <c r="L1230" t="s">
        <v>3266</v>
      </c>
      <c r="M1230" t="s">
        <v>3</v>
      </c>
      <c r="N1230" s="25" t="str">
        <f>TEXT(tbl_Ledger[[#This Row],[Date]],"yyyy-mm")</f>
        <v>2025-09</v>
      </c>
      <c r="O1230" s="25" t="str">
        <f>TEXT(tbl_Ledger[[#This Row],[Date]],"yyyy-mm") &amp; TRIM(tbl_Ledger[[#This Row],[Currency]])</f>
        <v>2025-09NGN</v>
      </c>
      <c r="P1230" s="25">
        <f>_xlfn.XLOOKUP(tbl_Ledger[[#This Row],[Key]], tbl_FX[Key], tbl_FX[Rate_to_NGN])</f>
        <v>1</v>
      </c>
      <c r="Q1230" s="37">
        <f>IF(tbl_Ledger[[#This Row],[Account_Type]]="Expense",-ABS(tbl_Ledger[[#This Row],[Amount]]*tbl_Ledger[[#This Row],[Rate_to_NGN]]),tbl_Ledger[[#This Row],[Amount]]*tbl_Ledger[[#This Row],[Rate_to_NGN]])</f>
        <v>53900</v>
      </c>
      <c r="R1230" s="25" t="str">
        <f>_xlfn.XLOOKUP(tbl_Ledger[[#This Row],[Account_Code]], tbl_Accounts[Account_Code], tbl_Accounts[Type])</f>
        <v>Revenue</v>
      </c>
      <c r="S1230" s="25" t="str">
        <f>_xlfn.XLOOKUP(tbl_Ledger[[#This Row],[Account_Code]], tbl_Accounts[Account_Code], tbl_Accounts[PL_Bucket])</f>
        <v>Revenue</v>
      </c>
      <c r="T1230" s="25">
        <f t="shared" si="19"/>
        <v>53900</v>
      </c>
    </row>
    <row r="1231" spans="1:20">
      <c r="A1231" t="s">
        <v>3271</v>
      </c>
      <c r="B1231" s="7">
        <v>45917</v>
      </c>
      <c r="C1231" t="s">
        <v>126</v>
      </c>
      <c r="D1231" t="s">
        <v>88</v>
      </c>
      <c r="E1231" t="s">
        <v>140</v>
      </c>
      <c r="F1231" s="12" t="s">
        <v>29</v>
      </c>
      <c r="G1231" t="s">
        <v>30</v>
      </c>
      <c r="H1231" t="s">
        <v>3272</v>
      </c>
      <c r="I1231" t="s">
        <v>71</v>
      </c>
      <c r="J1231" s="6">
        <v>50500</v>
      </c>
      <c r="K1231" t="s">
        <v>3</v>
      </c>
      <c r="L1231" t="s">
        <v>3273</v>
      </c>
      <c r="M1231" t="s">
        <v>3</v>
      </c>
      <c r="N1231" s="25" t="str">
        <f>TEXT(tbl_Ledger[[#This Row],[Date]],"yyyy-mm")</f>
        <v>2025-09</v>
      </c>
      <c r="O1231" s="25" t="str">
        <f>TEXT(tbl_Ledger[[#This Row],[Date]],"yyyy-mm") &amp; TRIM(tbl_Ledger[[#This Row],[Currency]])</f>
        <v>2025-09NGN</v>
      </c>
      <c r="P1231" s="25">
        <f>_xlfn.XLOOKUP(tbl_Ledger[[#This Row],[Key]], tbl_FX[Key], tbl_FX[Rate_to_NGN])</f>
        <v>1</v>
      </c>
      <c r="Q1231" s="37">
        <f>IF(tbl_Ledger[[#This Row],[Account_Type]]="Expense",-ABS(tbl_Ledger[[#This Row],[Amount]]*tbl_Ledger[[#This Row],[Rate_to_NGN]]),tbl_Ledger[[#This Row],[Amount]]*tbl_Ledger[[#This Row],[Rate_to_NGN]])</f>
        <v>50500</v>
      </c>
      <c r="R1231" s="25" t="str">
        <f>_xlfn.XLOOKUP(tbl_Ledger[[#This Row],[Account_Code]], tbl_Accounts[Account_Code], tbl_Accounts[Type])</f>
        <v>Revenue</v>
      </c>
      <c r="S1231" s="25" t="str">
        <f>_xlfn.XLOOKUP(tbl_Ledger[[#This Row],[Account_Code]], tbl_Accounts[Account_Code], tbl_Accounts[PL_Bucket])</f>
        <v>Revenue</v>
      </c>
      <c r="T1231" s="25">
        <f t="shared" si="19"/>
        <v>50500</v>
      </c>
    </row>
    <row r="1232" spans="1:20">
      <c r="A1232" t="s">
        <v>3274</v>
      </c>
      <c r="B1232" s="7">
        <v>45917</v>
      </c>
      <c r="C1232" t="s">
        <v>87</v>
      </c>
      <c r="D1232" t="s">
        <v>88</v>
      </c>
      <c r="E1232" t="s">
        <v>3</v>
      </c>
      <c r="F1232" s="12" t="s">
        <v>40</v>
      </c>
      <c r="G1232" t="s">
        <v>41</v>
      </c>
      <c r="H1232" t="s">
        <v>2656</v>
      </c>
      <c r="I1232" t="s">
        <v>71</v>
      </c>
      <c r="J1232" s="6">
        <v>-458000</v>
      </c>
      <c r="K1232" t="s">
        <v>90</v>
      </c>
      <c r="L1232" t="s">
        <v>3275</v>
      </c>
      <c r="M1232" t="s">
        <v>3</v>
      </c>
      <c r="N1232" s="25" t="str">
        <f>TEXT(tbl_Ledger[[#This Row],[Date]],"yyyy-mm")</f>
        <v>2025-09</v>
      </c>
      <c r="O1232" s="25" t="str">
        <f>TEXT(tbl_Ledger[[#This Row],[Date]],"yyyy-mm") &amp; TRIM(tbl_Ledger[[#This Row],[Currency]])</f>
        <v>2025-09NGN</v>
      </c>
      <c r="P1232" s="25">
        <f>_xlfn.XLOOKUP(tbl_Ledger[[#This Row],[Key]], tbl_FX[Key], tbl_FX[Rate_to_NGN])</f>
        <v>1</v>
      </c>
      <c r="Q1232" s="37">
        <f>IF(tbl_Ledger[[#This Row],[Account_Type]]="Expense",-ABS(tbl_Ledger[[#This Row],[Amount]]*tbl_Ledger[[#This Row],[Rate_to_NGN]]),tbl_Ledger[[#This Row],[Amount]]*tbl_Ledger[[#This Row],[Rate_to_NGN]])</f>
        <v>-458000</v>
      </c>
      <c r="R1232" s="25" t="str">
        <f>_xlfn.XLOOKUP(tbl_Ledger[[#This Row],[Account_Code]], tbl_Accounts[Account_Code], tbl_Accounts[Type])</f>
        <v>COGS</v>
      </c>
      <c r="S1232" s="25" t="str">
        <f>_xlfn.XLOOKUP(tbl_Ledger[[#This Row],[Account_Code]], tbl_Accounts[Account_Code], tbl_Accounts[PL_Bucket])</f>
        <v>COGS</v>
      </c>
      <c r="T1232" s="25">
        <f t="shared" si="19"/>
        <v>-458000</v>
      </c>
    </row>
    <row r="1233" spans="1:20">
      <c r="A1233" t="s">
        <v>3276</v>
      </c>
      <c r="B1233" s="7">
        <v>45918</v>
      </c>
      <c r="C1233" t="s">
        <v>93</v>
      </c>
      <c r="D1233" t="s">
        <v>94</v>
      </c>
      <c r="E1233" t="s">
        <v>95</v>
      </c>
      <c r="F1233" s="12" t="s">
        <v>24</v>
      </c>
      <c r="G1233" t="s">
        <v>25</v>
      </c>
      <c r="H1233" t="s">
        <v>3277</v>
      </c>
      <c r="I1233" t="s">
        <v>71</v>
      </c>
      <c r="J1233" s="6">
        <v>32400</v>
      </c>
      <c r="K1233" t="s">
        <v>3</v>
      </c>
      <c r="L1233" t="s">
        <v>3278</v>
      </c>
      <c r="M1233" t="s">
        <v>3</v>
      </c>
      <c r="N1233" s="25" t="str">
        <f>TEXT(tbl_Ledger[[#This Row],[Date]],"yyyy-mm")</f>
        <v>2025-09</v>
      </c>
      <c r="O1233" s="25" t="str">
        <f>TEXT(tbl_Ledger[[#This Row],[Date]],"yyyy-mm") &amp; TRIM(tbl_Ledger[[#This Row],[Currency]])</f>
        <v>2025-09NGN</v>
      </c>
      <c r="P1233" s="25">
        <f>_xlfn.XLOOKUP(tbl_Ledger[[#This Row],[Key]], tbl_FX[Key], tbl_FX[Rate_to_NGN])</f>
        <v>1</v>
      </c>
      <c r="Q1233" s="37">
        <f>IF(tbl_Ledger[[#This Row],[Account_Type]]="Expense",-ABS(tbl_Ledger[[#This Row],[Amount]]*tbl_Ledger[[#This Row],[Rate_to_NGN]]),tbl_Ledger[[#This Row],[Amount]]*tbl_Ledger[[#This Row],[Rate_to_NGN]])</f>
        <v>32400</v>
      </c>
      <c r="R1233" s="25" t="str">
        <f>_xlfn.XLOOKUP(tbl_Ledger[[#This Row],[Account_Code]], tbl_Accounts[Account_Code], tbl_Accounts[Type])</f>
        <v>Revenue</v>
      </c>
      <c r="S1233" s="25" t="str">
        <f>_xlfn.XLOOKUP(tbl_Ledger[[#This Row],[Account_Code]], tbl_Accounts[Account_Code], tbl_Accounts[PL_Bucket])</f>
        <v>Revenue</v>
      </c>
      <c r="T1233" s="25">
        <f t="shared" si="19"/>
        <v>32400</v>
      </c>
    </row>
    <row r="1234" spans="1:20">
      <c r="A1234" t="s">
        <v>3279</v>
      </c>
      <c r="B1234" s="7">
        <v>45918</v>
      </c>
      <c r="C1234" t="s">
        <v>93</v>
      </c>
      <c r="D1234" t="s">
        <v>94</v>
      </c>
      <c r="E1234" t="s">
        <v>99</v>
      </c>
      <c r="F1234" s="12" t="s">
        <v>24</v>
      </c>
      <c r="G1234" t="s">
        <v>25</v>
      </c>
      <c r="H1234" t="s">
        <v>3280</v>
      </c>
      <c r="I1234" t="s">
        <v>71</v>
      </c>
      <c r="J1234" s="6">
        <v>31300</v>
      </c>
      <c r="K1234" t="s">
        <v>3</v>
      </c>
      <c r="L1234" t="s">
        <v>3281</v>
      </c>
      <c r="M1234" t="s">
        <v>3</v>
      </c>
      <c r="N1234" s="25" t="str">
        <f>TEXT(tbl_Ledger[[#This Row],[Date]],"yyyy-mm")</f>
        <v>2025-09</v>
      </c>
      <c r="O1234" s="25" t="str">
        <f>TEXT(tbl_Ledger[[#This Row],[Date]],"yyyy-mm") &amp; TRIM(tbl_Ledger[[#This Row],[Currency]])</f>
        <v>2025-09NGN</v>
      </c>
      <c r="P1234" s="25">
        <f>_xlfn.XLOOKUP(tbl_Ledger[[#This Row],[Key]], tbl_FX[Key], tbl_FX[Rate_to_NGN])</f>
        <v>1</v>
      </c>
      <c r="Q1234" s="37">
        <f>IF(tbl_Ledger[[#This Row],[Account_Type]]="Expense",-ABS(tbl_Ledger[[#This Row],[Amount]]*tbl_Ledger[[#This Row],[Rate_to_NGN]]),tbl_Ledger[[#This Row],[Amount]]*tbl_Ledger[[#This Row],[Rate_to_NGN]])</f>
        <v>31300</v>
      </c>
      <c r="R1234" s="25" t="str">
        <f>_xlfn.XLOOKUP(tbl_Ledger[[#This Row],[Account_Code]], tbl_Accounts[Account_Code], tbl_Accounts[Type])</f>
        <v>Revenue</v>
      </c>
      <c r="S1234" s="25" t="str">
        <f>_xlfn.XLOOKUP(tbl_Ledger[[#This Row],[Account_Code]], tbl_Accounts[Account_Code], tbl_Accounts[PL_Bucket])</f>
        <v>Revenue</v>
      </c>
      <c r="T1234" s="25">
        <f t="shared" si="19"/>
        <v>31300</v>
      </c>
    </row>
    <row r="1235" spans="1:20">
      <c r="A1235" t="s">
        <v>3282</v>
      </c>
      <c r="B1235" s="7">
        <v>45918</v>
      </c>
      <c r="C1235" t="s">
        <v>93</v>
      </c>
      <c r="D1235" t="s">
        <v>94</v>
      </c>
      <c r="E1235" t="s">
        <v>103</v>
      </c>
      <c r="F1235" s="12" t="s">
        <v>24</v>
      </c>
      <c r="G1235" t="s">
        <v>25</v>
      </c>
      <c r="H1235" t="s">
        <v>3283</v>
      </c>
      <c r="I1235" t="s">
        <v>71</v>
      </c>
      <c r="J1235" s="6">
        <v>31700</v>
      </c>
      <c r="K1235" t="s">
        <v>3</v>
      </c>
      <c r="L1235" t="s">
        <v>3284</v>
      </c>
      <c r="M1235" t="s">
        <v>3</v>
      </c>
      <c r="N1235" s="25" t="str">
        <f>TEXT(tbl_Ledger[[#This Row],[Date]],"yyyy-mm")</f>
        <v>2025-09</v>
      </c>
      <c r="O1235" s="25" t="str">
        <f>TEXT(tbl_Ledger[[#This Row],[Date]],"yyyy-mm") &amp; TRIM(tbl_Ledger[[#This Row],[Currency]])</f>
        <v>2025-09NGN</v>
      </c>
      <c r="P1235" s="25">
        <f>_xlfn.XLOOKUP(tbl_Ledger[[#This Row],[Key]], tbl_FX[Key], tbl_FX[Rate_to_NGN])</f>
        <v>1</v>
      </c>
      <c r="Q1235" s="37">
        <f>IF(tbl_Ledger[[#This Row],[Account_Type]]="Expense",-ABS(tbl_Ledger[[#This Row],[Amount]]*tbl_Ledger[[#This Row],[Rate_to_NGN]]),tbl_Ledger[[#This Row],[Amount]]*tbl_Ledger[[#This Row],[Rate_to_NGN]])</f>
        <v>31700</v>
      </c>
      <c r="R1235" s="25" t="str">
        <f>_xlfn.XLOOKUP(tbl_Ledger[[#This Row],[Account_Code]], tbl_Accounts[Account_Code], tbl_Accounts[Type])</f>
        <v>Revenue</v>
      </c>
      <c r="S1235" s="25" t="str">
        <f>_xlfn.XLOOKUP(tbl_Ledger[[#This Row],[Account_Code]], tbl_Accounts[Account_Code], tbl_Accounts[PL_Bucket])</f>
        <v>Revenue</v>
      </c>
      <c r="T1235" s="25">
        <f t="shared" si="19"/>
        <v>31700</v>
      </c>
    </row>
    <row r="1236" spans="1:20">
      <c r="A1236" t="s">
        <v>3285</v>
      </c>
      <c r="B1236" s="7">
        <v>45918</v>
      </c>
      <c r="C1236" t="s">
        <v>93</v>
      </c>
      <c r="D1236" t="s">
        <v>94</v>
      </c>
      <c r="E1236" t="s">
        <v>160</v>
      </c>
      <c r="F1236" s="12" t="s">
        <v>24</v>
      </c>
      <c r="G1236" t="s">
        <v>25</v>
      </c>
      <c r="H1236" t="s">
        <v>3286</v>
      </c>
      <c r="I1236" t="s">
        <v>71</v>
      </c>
      <c r="J1236" s="6">
        <v>28800</v>
      </c>
      <c r="K1236" t="s">
        <v>3</v>
      </c>
      <c r="L1236" t="s">
        <v>3284</v>
      </c>
      <c r="M1236" t="s">
        <v>3</v>
      </c>
      <c r="N1236" s="25" t="str">
        <f>TEXT(tbl_Ledger[[#This Row],[Date]],"yyyy-mm")</f>
        <v>2025-09</v>
      </c>
      <c r="O1236" s="25" t="str">
        <f>TEXT(tbl_Ledger[[#This Row],[Date]],"yyyy-mm") &amp; TRIM(tbl_Ledger[[#This Row],[Currency]])</f>
        <v>2025-09NGN</v>
      </c>
      <c r="P1236" s="25">
        <f>_xlfn.XLOOKUP(tbl_Ledger[[#This Row],[Key]], tbl_FX[Key], tbl_FX[Rate_to_NGN])</f>
        <v>1</v>
      </c>
      <c r="Q1236" s="37">
        <f>IF(tbl_Ledger[[#This Row],[Account_Type]]="Expense",-ABS(tbl_Ledger[[#This Row],[Amount]]*tbl_Ledger[[#This Row],[Rate_to_NGN]]),tbl_Ledger[[#This Row],[Amount]]*tbl_Ledger[[#This Row],[Rate_to_NGN]])</f>
        <v>28800</v>
      </c>
      <c r="R1236" s="25" t="str">
        <f>_xlfn.XLOOKUP(tbl_Ledger[[#This Row],[Account_Code]], tbl_Accounts[Account_Code], tbl_Accounts[Type])</f>
        <v>Revenue</v>
      </c>
      <c r="S1236" s="25" t="str">
        <f>_xlfn.XLOOKUP(tbl_Ledger[[#This Row],[Account_Code]], tbl_Accounts[Account_Code], tbl_Accounts[PL_Bucket])</f>
        <v>Revenue</v>
      </c>
      <c r="T1236" s="25">
        <f t="shared" si="19"/>
        <v>28800</v>
      </c>
    </row>
    <row r="1237" spans="1:20">
      <c r="A1237" t="s">
        <v>3287</v>
      </c>
      <c r="B1237" s="7">
        <v>45918</v>
      </c>
      <c r="C1237" t="s">
        <v>93</v>
      </c>
      <c r="D1237" t="s">
        <v>94</v>
      </c>
      <c r="E1237" t="s">
        <v>107</v>
      </c>
      <c r="F1237" s="12" t="s">
        <v>24</v>
      </c>
      <c r="G1237" t="s">
        <v>25</v>
      </c>
      <c r="H1237" t="s">
        <v>3288</v>
      </c>
      <c r="I1237" t="s">
        <v>71</v>
      </c>
      <c r="J1237" s="6">
        <v>33200</v>
      </c>
      <c r="K1237" t="s">
        <v>3</v>
      </c>
      <c r="L1237" t="s">
        <v>3289</v>
      </c>
      <c r="M1237" t="s">
        <v>3</v>
      </c>
      <c r="N1237" s="25" t="str">
        <f>TEXT(tbl_Ledger[[#This Row],[Date]],"yyyy-mm")</f>
        <v>2025-09</v>
      </c>
      <c r="O1237" s="25" t="str">
        <f>TEXT(tbl_Ledger[[#This Row],[Date]],"yyyy-mm") &amp; TRIM(tbl_Ledger[[#This Row],[Currency]])</f>
        <v>2025-09NGN</v>
      </c>
      <c r="P1237" s="25">
        <f>_xlfn.XLOOKUP(tbl_Ledger[[#This Row],[Key]], tbl_FX[Key], tbl_FX[Rate_to_NGN])</f>
        <v>1</v>
      </c>
      <c r="Q1237" s="37">
        <f>IF(tbl_Ledger[[#This Row],[Account_Type]]="Expense",-ABS(tbl_Ledger[[#This Row],[Amount]]*tbl_Ledger[[#This Row],[Rate_to_NGN]]),tbl_Ledger[[#This Row],[Amount]]*tbl_Ledger[[#This Row],[Rate_to_NGN]])</f>
        <v>33200</v>
      </c>
      <c r="R1237" s="25" t="str">
        <f>_xlfn.XLOOKUP(tbl_Ledger[[#This Row],[Account_Code]], tbl_Accounts[Account_Code], tbl_Accounts[Type])</f>
        <v>Revenue</v>
      </c>
      <c r="S1237" s="25" t="str">
        <f>_xlfn.XLOOKUP(tbl_Ledger[[#This Row],[Account_Code]], tbl_Accounts[Account_Code], tbl_Accounts[PL_Bucket])</f>
        <v>Revenue</v>
      </c>
      <c r="T1237" s="25">
        <f t="shared" si="19"/>
        <v>33200</v>
      </c>
    </row>
    <row r="1238" spans="1:20">
      <c r="A1238" t="s">
        <v>3290</v>
      </c>
      <c r="B1238" s="7">
        <v>45918</v>
      </c>
      <c r="C1238" t="s">
        <v>93</v>
      </c>
      <c r="D1238" t="s">
        <v>111</v>
      </c>
      <c r="E1238" t="s">
        <v>116</v>
      </c>
      <c r="F1238" s="12" t="s">
        <v>24</v>
      </c>
      <c r="G1238" t="s">
        <v>25</v>
      </c>
      <c r="H1238" t="s">
        <v>3291</v>
      </c>
      <c r="I1238" t="s">
        <v>71</v>
      </c>
      <c r="J1238" s="6">
        <v>52600</v>
      </c>
      <c r="K1238" t="s">
        <v>3</v>
      </c>
      <c r="L1238" t="s">
        <v>3292</v>
      </c>
      <c r="M1238" t="s">
        <v>3</v>
      </c>
      <c r="N1238" s="25" t="str">
        <f>TEXT(tbl_Ledger[[#This Row],[Date]],"yyyy-mm")</f>
        <v>2025-09</v>
      </c>
      <c r="O1238" s="25" t="str">
        <f>TEXT(tbl_Ledger[[#This Row],[Date]],"yyyy-mm") &amp; TRIM(tbl_Ledger[[#This Row],[Currency]])</f>
        <v>2025-09NGN</v>
      </c>
      <c r="P1238" s="25">
        <f>_xlfn.XLOOKUP(tbl_Ledger[[#This Row],[Key]], tbl_FX[Key], tbl_FX[Rate_to_NGN])</f>
        <v>1</v>
      </c>
      <c r="Q1238" s="37">
        <f>IF(tbl_Ledger[[#This Row],[Account_Type]]="Expense",-ABS(tbl_Ledger[[#This Row],[Amount]]*tbl_Ledger[[#This Row],[Rate_to_NGN]]),tbl_Ledger[[#This Row],[Amount]]*tbl_Ledger[[#This Row],[Rate_to_NGN]])</f>
        <v>52600</v>
      </c>
      <c r="R1238" s="25" t="str">
        <f>_xlfn.XLOOKUP(tbl_Ledger[[#This Row],[Account_Code]], tbl_Accounts[Account_Code], tbl_Accounts[Type])</f>
        <v>Revenue</v>
      </c>
      <c r="S1238" s="25" t="str">
        <f>_xlfn.XLOOKUP(tbl_Ledger[[#This Row],[Account_Code]], tbl_Accounts[Account_Code], tbl_Accounts[PL_Bucket])</f>
        <v>Revenue</v>
      </c>
      <c r="T1238" s="25">
        <f t="shared" si="19"/>
        <v>52600</v>
      </c>
    </row>
    <row r="1239" spans="1:20">
      <c r="A1239" t="s">
        <v>3293</v>
      </c>
      <c r="B1239" s="7">
        <v>45918</v>
      </c>
      <c r="C1239" t="s">
        <v>93</v>
      </c>
      <c r="D1239" t="s">
        <v>111</v>
      </c>
      <c r="E1239" t="s">
        <v>170</v>
      </c>
      <c r="F1239" s="12" t="s">
        <v>24</v>
      </c>
      <c r="G1239" t="s">
        <v>25</v>
      </c>
      <c r="H1239" t="s">
        <v>3294</v>
      </c>
      <c r="I1239" t="s">
        <v>71</v>
      </c>
      <c r="J1239" s="6">
        <v>48600</v>
      </c>
      <c r="K1239" t="s">
        <v>3</v>
      </c>
      <c r="L1239" t="s">
        <v>3292</v>
      </c>
      <c r="M1239" t="s">
        <v>3</v>
      </c>
      <c r="N1239" s="25" t="str">
        <f>TEXT(tbl_Ledger[[#This Row],[Date]],"yyyy-mm")</f>
        <v>2025-09</v>
      </c>
      <c r="O1239" s="25" t="str">
        <f>TEXT(tbl_Ledger[[#This Row],[Date]],"yyyy-mm") &amp; TRIM(tbl_Ledger[[#This Row],[Currency]])</f>
        <v>2025-09NGN</v>
      </c>
      <c r="P1239" s="25">
        <f>_xlfn.XLOOKUP(tbl_Ledger[[#This Row],[Key]], tbl_FX[Key], tbl_FX[Rate_to_NGN])</f>
        <v>1</v>
      </c>
      <c r="Q1239" s="37">
        <f>IF(tbl_Ledger[[#This Row],[Account_Type]]="Expense",-ABS(tbl_Ledger[[#This Row],[Amount]]*tbl_Ledger[[#This Row],[Rate_to_NGN]]),tbl_Ledger[[#This Row],[Amount]]*tbl_Ledger[[#This Row],[Rate_to_NGN]])</f>
        <v>48600</v>
      </c>
      <c r="R1239" s="25" t="str">
        <f>_xlfn.XLOOKUP(tbl_Ledger[[#This Row],[Account_Code]], tbl_Accounts[Account_Code], tbl_Accounts[Type])</f>
        <v>Revenue</v>
      </c>
      <c r="S1239" s="25" t="str">
        <f>_xlfn.XLOOKUP(tbl_Ledger[[#This Row],[Account_Code]], tbl_Accounts[Account_Code], tbl_Accounts[PL_Bucket])</f>
        <v>Revenue</v>
      </c>
      <c r="T1239" s="25">
        <f t="shared" si="19"/>
        <v>48600</v>
      </c>
    </row>
    <row r="1240" spans="1:20">
      <c r="A1240" t="s">
        <v>3295</v>
      </c>
      <c r="B1240" s="7">
        <v>45918</v>
      </c>
      <c r="C1240" t="s">
        <v>93</v>
      </c>
      <c r="D1240" t="s">
        <v>111</v>
      </c>
      <c r="E1240" t="s">
        <v>122</v>
      </c>
      <c r="F1240" s="12" t="s">
        <v>24</v>
      </c>
      <c r="G1240" t="s">
        <v>25</v>
      </c>
      <c r="H1240" t="s">
        <v>3296</v>
      </c>
      <c r="I1240" t="s">
        <v>71</v>
      </c>
      <c r="J1240" s="6">
        <v>53400</v>
      </c>
      <c r="K1240" t="s">
        <v>3</v>
      </c>
      <c r="L1240" t="s">
        <v>3297</v>
      </c>
      <c r="M1240" t="s">
        <v>3</v>
      </c>
      <c r="N1240" s="25" t="str">
        <f>TEXT(tbl_Ledger[[#This Row],[Date]],"yyyy-mm")</f>
        <v>2025-09</v>
      </c>
      <c r="O1240" s="25" t="str">
        <f>TEXT(tbl_Ledger[[#This Row],[Date]],"yyyy-mm") &amp; TRIM(tbl_Ledger[[#This Row],[Currency]])</f>
        <v>2025-09NGN</v>
      </c>
      <c r="P1240" s="25">
        <f>_xlfn.XLOOKUP(tbl_Ledger[[#This Row],[Key]], tbl_FX[Key], tbl_FX[Rate_to_NGN])</f>
        <v>1</v>
      </c>
      <c r="Q1240" s="37">
        <f>IF(tbl_Ledger[[#This Row],[Account_Type]]="Expense",-ABS(tbl_Ledger[[#This Row],[Amount]]*tbl_Ledger[[#This Row],[Rate_to_NGN]]),tbl_Ledger[[#This Row],[Amount]]*tbl_Ledger[[#This Row],[Rate_to_NGN]])</f>
        <v>53400</v>
      </c>
      <c r="R1240" s="25" t="str">
        <f>_xlfn.XLOOKUP(tbl_Ledger[[#This Row],[Account_Code]], tbl_Accounts[Account_Code], tbl_Accounts[Type])</f>
        <v>Revenue</v>
      </c>
      <c r="S1240" s="25" t="str">
        <f>_xlfn.XLOOKUP(tbl_Ledger[[#This Row],[Account_Code]], tbl_Accounts[Account_Code], tbl_Accounts[PL_Bucket])</f>
        <v>Revenue</v>
      </c>
      <c r="T1240" s="25">
        <f t="shared" si="19"/>
        <v>53400</v>
      </c>
    </row>
    <row r="1241" spans="1:20">
      <c r="A1241" t="s">
        <v>3298</v>
      </c>
      <c r="B1241" s="7">
        <v>45918</v>
      </c>
      <c r="C1241" t="s">
        <v>126</v>
      </c>
      <c r="D1241" t="s">
        <v>88</v>
      </c>
      <c r="E1241" t="s">
        <v>127</v>
      </c>
      <c r="F1241" s="12" t="s">
        <v>29</v>
      </c>
      <c r="G1241" t="s">
        <v>30</v>
      </c>
      <c r="H1241" t="s">
        <v>3299</v>
      </c>
      <c r="I1241" t="s">
        <v>72</v>
      </c>
      <c r="J1241" s="6">
        <v>28.99</v>
      </c>
      <c r="K1241" t="s">
        <v>129</v>
      </c>
      <c r="L1241" t="s">
        <v>3300</v>
      </c>
      <c r="M1241" t="s">
        <v>3</v>
      </c>
      <c r="N1241" s="25" t="str">
        <f>TEXT(tbl_Ledger[[#This Row],[Date]],"yyyy-mm")</f>
        <v>2025-09</v>
      </c>
      <c r="O1241" s="25" t="str">
        <f>TEXT(tbl_Ledger[[#This Row],[Date]],"yyyy-mm") &amp; TRIM(tbl_Ledger[[#This Row],[Currency]])</f>
        <v>2025-09USD</v>
      </c>
      <c r="P1241" s="25">
        <f>_xlfn.XLOOKUP(tbl_Ledger[[#This Row],[Key]], tbl_FX[Key], tbl_FX[Rate_to_NGN])</f>
        <v>1611</v>
      </c>
      <c r="Q1241" s="37">
        <f>IF(tbl_Ledger[[#This Row],[Account_Type]]="Expense",-ABS(tbl_Ledger[[#This Row],[Amount]]*tbl_Ledger[[#This Row],[Rate_to_NGN]]),tbl_Ledger[[#This Row],[Amount]]*tbl_Ledger[[#This Row],[Rate_to_NGN]])</f>
        <v>46702.89</v>
      </c>
      <c r="R1241" s="25" t="str">
        <f>_xlfn.XLOOKUP(tbl_Ledger[[#This Row],[Account_Code]], tbl_Accounts[Account_Code], tbl_Accounts[Type])</f>
        <v>Revenue</v>
      </c>
      <c r="S1241" s="25" t="str">
        <f>_xlfn.XLOOKUP(tbl_Ledger[[#This Row],[Account_Code]], tbl_Accounts[Account_Code], tbl_Accounts[PL_Bucket])</f>
        <v>Revenue</v>
      </c>
      <c r="T1241" s="25">
        <f t="shared" si="19"/>
        <v>46702.89</v>
      </c>
    </row>
    <row r="1242" spans="1:20">
      <c r="A1242" t="s">
        <v>3301</v>
      </c>
      <c r="B1242" s="7">
        <v>45918</v>
      </c>
      <c r="C1242" t="s">
        <v>126</v>
      </c>
      <c r="D1242" t="s">
        <v>88</v>
      </c>
      <c r="E1242" t="s">
        <v>132</v>
      </c>
      <c r="F1242" s="12" t="s">
        <v>29</v>
      </c>
      <c r="G1242" t="s">
        <v>30</v>
      </c>
      <c r="H1242" t="s">
        <v>3302</v>
      </c>
      <c r="I1242" t="s">
        <v>71</v>
      </c>
      <c r="J1242" s="6">
        <v>58600</v>
      </c>
      <c r="K1242" t="s">
        <v>134</v>
      </c>
      <c r="L1242" t="s">
        <v>3300</v>
      </c>
      <c r="M1242" t="s">
        <v>3</v>
      </c>
      <c r="N1242" s="25" t="str">
        <f>TEXT(tbl_Ledger[[#This Row],[Date]],"yyyy-mm")</f>
        <v>2025-09</v>
      </c>
      <c r="O1242" s="25" t="str">
        <f>TEXT(tbl_Ledger[[#This Row],[Date]],"yyyy-mm") &amp; TRIM(tbl_Ledger[[#This Row],[Currency]])</f>
        <v>2025-09NGN</v>
      </c>
      <c r="P1242" s="25">
        <f>_xlfn.XLOOKUP(tbl_Ledger[[#This Row],[Key]], tbl_FX[Key], tbl_FX[Rate_to_NGN])</f>
        <v>1</v>
      </c>
      <c r="Q1242" s="37">
        <f>IF(tbl_Ledger[[#This Row],[Account_Type]]="Expense",-ABS(tbl_Ledger[[#This Row],[Amount]]*tbl_Ledger[[#This Row],[Rate_to_NGN]]),tbl_Ledger[[#This Row],[Amount]]*tbl_Ledger[[#This Row],[Rate_to_NGN]])</f>
        <v>58600</v>
      </c>
      <c r="R1242" s="25" t="str">
        <f>_xlfn.XLOOKUP(tbl_Ledger[[#This Row],[Account_Code]], tbl_Accounts[Account_Code], tbl_Accounts[Type])</f>
        <v>Revenue</v>
      </c>
      <c r="S1242" s="25" t="str">
        <f>_xlfn.XLOOKUP(tbl_Ledger[[#This Row],[Account_Code]], tbl_Accounts[Account_Code], tbl_Accounts[PL_Bucket])</f>
        <v>Revenue</v>
      </c>
      <c r="T1242" s="25">
        <f t="shared" si="19"/>
        <v>58600</v>
      </c>
    </row>
    <row r="1243" spans="1:20">
      <c r="A1243" t="s">
        <v>3303</v>
      </c>
      <c r="B1243" s="7">
        <v>45918</v>
      </c>
      <c r="C1243" t="s">
        <v>126</v>
      </c>
      <c r="D1243" t="s">
        <v>88</v>
      </c>
      <c r="E1243" t="s">
        <v>136</v>
      </c>
      <c r="F1243" s="12" t="s">
        <v>29</v>
      </c>
      <c r="G1243" t="s">
        <v>30</v>
      </c>
      <c r="H1243" t="s">
        <v>3304</v>
      </c>
      <c r="I1243" t="s">
        <v>72</v>
      </c>
      <c r="J1243" s="6">
        <v>30.48</v>
      </c>
      <c r="K1243" t="s">
        <v>138</v>
      </c>
      <c r="L1243" t="s">
        <v>3300</v>
      </c>
      <c r="M1243" t="s">
        <v>3</v>
      </c>
      <c r="N1243" s="25" t="str">
        <f>TEXT(tbl_Ledger[[#This Row],[Date]],"yyyy-mm")</f>
        <v>2025-09</v>
      </c>
      <c r="O1243" s="25" t="str">
        <f>TEXT(tbl_Ledger[[#This Row],[Date]],"yyyy-mm") &amp; TRIM(tbl_Ledger[[#This Row],[Currency]])</f>
        <v>2025-09USD</v>
      </c>
      <c r="P1243" s="25">
        <f>_xlfn.XLOOKUP(tbl_Ledger[[#This Row],[Key]], tbl_FX[Key], tbl_FX[Rate_to_NGN])</f>
        <v>1611</v>
      </c>
      <c r="Q1243" s="37">
        <f>IF(tbl_Ledger[[#This Row],[Account_Type]]="Expense",-ABS(tbl_Ledger[[#This Row],[Amount]]*tbl_Ledger[[#This Row],[Rate_to_NGN]]),tbl_Ledger[[#This Row],[Amount]]*tbl_Ledger[[#This Row],[Rate_to_NGN]])</f>
        <v>49103.28</v>
      </c>
      <c r="R1243" s="25" t="str">
        <f>_xlfn.XLOOKUP(tbl_Ledger[[#This Row],[Account_Code]], tbl_Accounts[Account_Code], tbl_Accounts[Type])</f>
        <v>Revenue</v>
      </c>
      <c r="S1243" s="25" t="str">
        <f>_xlfn.XLOOKUP(tbl_Ledger[[#This Row],[Account_Code]], tbl_Accounts[Account_Code], tbl_Accounts[PL_Bucket])</f>
        <v>Revenue</v>
      </c>
      <c r="T1243" s="25">
        <f t="shared" si="19"/>
        <v>49103.28</v>
      </c>
    </row>
    <row r="1244" spans="1:20">
      <c r="A1244" t="s">
        <v>3305</v>
      </c>
      <c r="B1244" s="7">
        <v>45918</v>
      </c>
      <c r="C1244" t="s">
        <v>126</v>
      </c>
      <c r="D1244" t="s">
        <v>88</v>
      </c>
      <c r="E1244" t="s">
        <v>140</v>
      </c>
      <c r="F1244" s="12" t="s">
        <v>29</v>
      </c>
      <c r="G1244" t="s">
        <v>30</v>
      </c>
      <c r="H1244" t="s">
        <v>3306</v>
      </c>
      <c r="I1244" t="s">
        <v>71</v>
      </c>
      <c r="J1244" s="6">
        <v>51000</v>
      </c>
      <c r="K1244" t="s">
        <v>3</v>
      </c>
      <c r="L1244" t="s">
        <v>3307</v>
      </c>
      <c r="M1244" t="s">
        <v>3</v>
      </c>
      <c r="N1244" s="25" t="str">
        <f>TEXT(tbl_Ledger[[#This Row],[Date]],"yyyy-mm")</f>
        <v>2025-09</v>
      </c>
      <c r="O1244" s="25" t="str">
        <f>TEXT(tbl_Ledger[[#This Row],[Date]],"yyyy-mm") &amp; TRIM(tbl_Ledger[[#This Row],[Currency]])</f>
        <v>2025-09NGN</v>
      </c>
      <c r="P1244" s="25">
        <f>_xlfn.XLOOKUP(tbl_Ledger[[#This Row],[Key]], tbl_FX[Key], tbl_FX[Rate_to_NGN])</f>
        <v>1</v>
      </c>
      <c r="Q1244" s="37">
        <f>IF(tbl_Ledger[[#This Row],[Account_Type]]="Expense",-ABS(tbl_Ledger[[#This Row],[Amount]]*tbl_Ledger[[#This Row],[Rate_to_NGN]]),tbl_Ledger[[#This Row],[Amount]]*tbl_Ledger[[#This Row],[Rate_to_NGN]])</f>
        <v>51000</v>
      </c>
      <c r="R1244" s="25" t="str">
        <f>_xlfn.XLOOKUP(tbl_Ledger[[#This Row],[Account_Code]], tbl_Accounts[Account_Code], tbl_Accounts[Type])</f>
        <v>Revenue</v>
      </c>
      <c r="S1244" s="25" t="str">
        <f>_xlfn.XLOOKUP(tbl_Ledger[[#This Row],[Account_Code]], tbl_Accounts[Account_Code], tbl_Accounts[PL_Bucket])</f>
        <v>Revenue</v>
      </c>
      <c r="T1244" s="25">
        <f t="shared" si="19"/>
        <v>51000</v>
      </c>
    </row>
    <row r="1245" spans="1:20">
      <c r="A1245" t="s">
        <v>3308</v>
      </c>
      <c r="B1245" s="7">
        <v>45918</v>
      </c>
      <c r="C1245" t="s">
        <v>93</v>
      </c>
      <c r="D1245" t="s">
        <v>111</v>
      </c>
      <c r="E1245" t="s">
        <v>112</v>
      </c>
      <c r="F1245" s="12" t="s">
        <v>31</v>
      </c>
      <c r="G1245" t="s">
        <v>32</v>
      </c>
      <c r="H1245" t="s">
        <v>3309</v>
      </c>
      <c r="I1245" t="s">
        <v>71</v>
      </c>
      <c r="J1245" s="6">
        <v>-147983</v>
      </c>
      <c r="K1245" t="s">
        <v>3</v>
      </c>
      <c r="L1245" t="s">
        <v>3310</v>
      </c>
      <c r="M1245" t="s">
        <v>3</v>
      </c>
      <c r="N1245" s="25" t="str">
        <f>TEXT(tbl_Ledger[[#This Row],[Date]],"yyyy-mm")</f>
        <v>2025-09</v>
      </c>
      <c r="O1245" s="25" t="str">
        <f>TEXT(tbl_Ledger[[#This Row],[Date]],"yyyy-mm") &amp; TRIM(tbl_Ledger[[#This Row],[Currency]])</f>
        <v>2025-09NGN</v>
      </c>
      <c r="P1245" s="25">
        <f>_xlfn.XLOOKUP(tbl_Ledger[[#This Row],[Key]], tbl_FX[Key], tbl_FX[Rate_to_NGN])</f>
        <v>1</v>
      </c>
      <c r="Q1245" s="37">
        <f>IF(tbl_Ledger[[#This Row],[Account_Type]]="Expense",-ABS(tbl_Ledger[[#This Row],[Amount]]*tbl_Ledger[[#This Row],[Rate_to_NGN]]),tbl_Ledger[[#This Row],[Amount]]*tbl_Ledger[[#This Row],[Rate_to_NGN]])</f>
        <v>-147983</v>
      </c>
      <c r="R1245" s="25" t="str">
        <f>_xlfn.XLOOKUP(tbl_Ledger[[#This Row],[Account_Code]], tbl_Accounts[Account_Code], tbl_Accounts[Type])</f>
        <v>Revenue</v>
      </c>
      <c r="S1245" s="25" t="str">
        <f>_xlfn.XLOOKUP(tbl_Ledger[[#This Row],[Account_Code]], tbl_Accounts[Account_Code], tbl_Accounts[PL_Bucket])</f>
        <v>Revenue</v>
      </c>
      <c r="T1245" s="25">
        <f t="shared" si="19"/>
        <v>147983</v>
      </c>
    </row>
    <row r="1246" spans="1:20">
      <c r="A1246" t="s">
        <v>3311</v>
      </c>
      <c r="B1246" s="7">
        <v>45918</v>
      </c>
      <c r="C1246" t="s">
        <v>87</v>
      </c>
      <c r="D1246" t="s">
        <v>94</v>
      </c>
      <c r="E1246" t="s">
        <v>3</v>
      </c>
      <c r="F1246" s="12" t="s">
        <v>42</v>
      </c>
      <c r="G1246" t="s">
        <v>43</v>
      </c>
      <c r="H1246" t="s">
        <v>2861</v>
      </c>
      <c r="I1246" t="s">
        <v>71</v>
      </c>
      <c r="J1246" s="6">
        <v>-529000</v>
      </c>
      <c r="K1246" t="s">
        <v>187</v>
      </c>
      <c r="L1246" t="s">
        <v>3312</v>
      </c>
      <c r="M1246" t="s">
        <v>3</v>
      </c>
      <c r="N1246" s="25" t="str">
        <f>TEXT(tbl_Ledger[[#This Row],[Date]],"yyyy-mm")</f>
        <v>2025-09</v>
      </c>
      <c r="O1246" s="25" t="str">
        <f>TEXT(tbl_Ledger[[#This Row],[Date]],"yyyy-mm") &amp; TRIM(tbl_Ledger[[#This Row],[Currency]])</f>
        <v>2025-09NGN</v>
      </c>
      <c r="P1246" s="25">
        <f>_xlfn.XLOOKUP(tbl_Ledger[[#This Row],[Key]], tbl_FX[Key], tbl_FX[Rate_to_NGN])</f>
        <v>1</v>
      </c>
      <c r="Q1246" s="37">
        <f>IF(tbl_Ledger[[#This Row],[Account_Type]]="Expense",-ABS(tbl_Ledger[[#This Row],[Amount]]*tbl_Ledger[[#This Row],[Rate_to_NGN]]),tbl_Ledger[[#This Row],[Amount]]*tbl_Ledger[[#This Row],[Rate_to_NGN]])</f>
        <v>-529000</v>
      </c>
      <c r="R1246" s="25" t="str">
        <f>_xlfn.XLOOKUP(tbl_Ledger[[#This Row],[Account_Code]], tbl_Accounts[Account_Code], tbl_Accounts[Type])</f>
        <v>COGS</v>
      </c>
      <c r="S1246" s="25" t="str">
        <f>_xlfn.XLOOKUP(tbl_Ledger[[#This Row],[Account_Code]], tbl_Accounts[Account_Code], tbl_Accounts[PL_Bucket])</f>
        <v>COGS</v>
      </c>
      <c r="T1246" s="25">
        <f t="shared" si="19"/>
        <v>-529000</v>
      </c>
    </row>
    <row r="1247" spans="1:20">
      <c r="A1247" t="s">
        <v>3313</v>
      </c>
      <c r="B1247" s="7">
        <v>45918</v>
      </c>
      <c r="C1247" t="s">
        <v>87</v>
      </c>
      <c r="D1247" t="s">
        <v>111</v>
      </c>
      <c r="E1247" t="s">
        <v>3</v>
      </c>
      <c r="F1247" s="12" t="s">
        <v>36</v>
      </c>
      <c r="G1247" t="s">
        <v>37</v>
      </c>
      <c r="H1247" t="s">
        <v>2732</v>
      </c>
      <c r="I1247" t="s">
        <v>71</v>
      </c>
      <c r="J1247" s="6">
        <v>-748000</v>
      </c>
      <c r="K1247" t="s">
        <v>195</v>
      </c>
      <c r="L1247" t="s">
        <v>3314</v>
      </c>
      <c r="M1247" t="s">
        <v>3</v>
      </c>
      <c r="N1247" s="25" t="str">
        <f>TEXT(tbl_Ledger[[#This Row],[Date]],"yyyy-mm")</f>
        <v>2025-09</v>
      </c>
      <c r="O1247" s="25" t="str">
        <f>TEXT(tbl_Ledger[[#This Row],[Date]],"yyyy-mm") &amp; TRIM(tbl_Ledger[[#This Row],[Currency]])</f>
        <v>2025-09NGN</v>
      </c>
      <c r="P1247" s="25">
        <f>_xlfn.XLOOKUP(tbl_Ledger[[#This Row],[Key]], tbl_FX[Key], tbl_FX[Rate_to_NGN])</f>
        <v>1</v>
      </c>
      <c r="Q1247" s="37">
        <f>IF(tbl_Ledger[[#This Row],[Account_Type]]="Expense",-ABS(tbl_Ledger[[#This Row],[Amount]]*tbl_Ledger[[#This Row],[Rate_to_NGN]]),tbl_Ledger[[#This Row],[Amount]]*tbl_Ledger[[#This Row],[Rate_to_NGN]])</f>
        <v>-748000</v>
      </c>
      <c r="R1247" s="25" t="str">
        <f>_xlfn.XLOOKUP(tbl_Ledger[[#This Row],[Account_Code]], tbl_Accounts[Account_Code], tbl_Accounts[Type])</f>
        <v>COGS</v>
      </c>
      <c r="S1247" s="25" t="str">
        <f>_xlfn.XLOOKUP(tbl_Ledger[[#This Row],[Account_Code]], tbl_Accounts[Account_Code], tbl_Accounts[PL_Bucket])</f>
        <v>COGS</v>
      </c>
      <c r="T1247" s="25">
        <f t="shared" si="19"/>
        <v>-748000</v>
      </c>
    </row>
    <row r="1248" spans="1:20">
      <c r="A1248" t="s">
        <v>3315</v>
      </c>
      <c r="B1248" s="7">
        <v>45919</v>
      </c>
      <c r="C1248" t="s">
        <v>93</v>
      </c>
      <c r="D1248" t="s">
        <v>94</v>
      </c>
      <c r="E1248" t="s">
        <v>95</v>
      </c>
      <c r="F1248" s="12" t="s">
        <v>24</v>
      </c>
      <c r="G1248" t="s">
        <v>25</v>
      </c>
      <c r="H1248" t="s">
        <v>3316</v>
      </c>
      <c r="I1248" t="s">
        <v>71</v>
      </c>
      <c r="J1248" s="6">
        <v>31800</v>
      </c>
      <c r="K1248" t="s">
        <v>3</v>
      </c>
      <c r="L1248" t="s">
        <v>3317</v>
      </c>
      <c r="M1248" t="s">
        <v>3</v>
      </c>
      <c r="N1248" s="25" t="str">
        <f>TEXT(tbl_Ledger[[#This Row],[Date]],"yyyy-mm")</f>
        <v>2025-09</v>
      </c>
      <c r="O1248" s="25" t="str">
        <f>TEXT(tbl_Ledger[[#This Row],[Date]],"yyyy-mm") &amp; TRIM(tbl_Ledger[[#This Row],[Currency]])</f>
        <v>2025-09NGN</v>
      </c>
      <c r="P1248" s="25">
        <f>_xlfn.XLOOKUP(tbl_Ledger[[#This Row],[Key]], tbl_FX[Key], tbl_FX[Rate_to_NGN])</f>
        <v>1</v>
      </c>
      <c r="Q1248" s="37">
        <f>IF(tbl_Ledger[[#This Row],[Account_Type]]="Expense",-ABS(tbl_Ledger[[#This Row],[Amount]]*tbl_Ledger[[#This Row],[Rate_to_NGN]]),tbl_Ledger[[#This Row],[Amount]]*tbl_Ledger[[#This Row],[Rate_to_NGN]])</f>
        <v>31800</v>
      </c>
      <c r="R1248" s="25" t="str">
        <f>_xlfn.XLOOKUP(tbl_Ledger[[#This Row],[Account_Code]], tbl_Accounts[Account_Code], tbl_Accounts[Type])</f>
        <v>Revenue</v>
      </c>
      <c r="S1248" s="25" t="str">
        <f>_xlfn.XLOOKUP(tbl_Ledger[[#This Row],[Account_Code]], tbl_Accounts[Account_Code], tbl_Accounts[PL_Bucket])</f>
        <v>Revenue</v>
      </c>
      <c r="T1248" s="25">
        <f t="shared" si="19"/>
        <v>31800</v>
      </c>
    </row>
    <row r="1249" spans="1:20">
      <c r="A1249" t="s">
        <v>3318</v>
      </c>
      <c r="B1249" s="7">
        <v>45919</v>
      </c>
      <c r="C1249" t="s">
        <v>93</v>
      </c>
      <c r="D1249" t="s">
        <v>94</v>
      </c>
      <c r="E1249" t="s">
        <v>99</v>
      </c>
      <c r="F1249" s="12" t="s">
        <v>24</v>
      </c>
      <c r="G1249" t="s">
        <v>25</v>
      </c>
      <c r="H1249" t="s">
        <v>3319</v>
      </c>
      <c r="I1249" t="s">
        <v>71</v>
      </c>
      <c r="J1249" s="6">
        <v>32500</v>
      </c>
      <c r="K1249" t="s">
        <v>3</v>
      </c>
      <c r="L1249" t="s">
        <v>3320</v>
      </c>
      <c r="M1249" t="s">
        <v>3</v>
      </c>
      <c r="N1249" s="25" t="str">
        <f>TEXT(tbl_Ledger[[#This Row],[Date]],"yyyy-mm")</f>
        <v>2025-09</v>
      </c>
      <c r="O1249" s="25" t="str">
        <f>TEXT(tbl_Ledger[[#This Row],[Date]],"yyyy-mm") &amp; TRIM(tbl_Ledger[[#This Row],[Currency]])</f>
        <v>2025-09NGN</v>
      </c>
      <c r="P1249" s="25">
        <f>_xlfn.XLOOKUP(tbl_Ledger[[#This Row],[Key]], tbl_FX[Key], tbl_FX[Rate_to_NGN])</f>
        <v>1</v>
      </c>
      <c r="Q1249" s="37">
        <f>IF(tbl_Ledger[[#This Row],[Account_Type]]="Expense",-ABS(tbl_Ledger[[#This Row],[Amount]]*tbl_Ledger[[#This Row],[Rate_to_NGN]]),tbl_Ledger[[#This Row],[Amount]]*tbl_Ledger[[#This Row],[Rate_to_NGN]])</f>
        <v>32500</v>
      </c>
      <c r="R1249" s="25" t="str">
        <f>_xlfn.XLOOKUP(tbl_Ledger[[#This Row],[Account_Code]], tbl_Accounts[Account_Code], tbl_Accounts[Type])</f>
        <v>Revenue</v>
      </c>
      <c r="S1249" s="25" t="str">
        <f>_xlfn.XLOOKUP(tbl_Ledger[[#This Row],[Account_Code]], tbl_Accounts[Account_Code], tbl_Accounts[PL_Bucket])</f>
        <v>Revenue</v>
      </c>
      <c r="T1249" s="25">
        <f t="shared" si="19"/>
        <v>32500</v>
      </c>
    </row>
    <row r="1250" spans="1:20">
      <c r="A1250" t="s">
        <v>3321</v>
      </c>
      <c r="B1250" s="7">
        <v>45919</v>
      </c>
      <c r="C1250" t="s">
        <v>93</v>
      </c>
      <c r="D1250" t="s">
        <v>94</v>
      </c>
      <c r="E1250" t="s">
        <v>160</v>
      </c>
      <c r="F1250" s="12" t="s">
        <v>24</v>
      </c>
      <c r="G1250" t="s">
        <v>25</v>
      </c>
      <c r="H1250" t="s">
        <v>3322</v>
      </c>
      <c r="I1250" t="s">
        <v>71</v>
      </c>
      <c r="J1250" s="6">
        <v>30500</v>
      </c>
      <c r="K1250" t="s">
        <v>3</v>
      </c>
      <c r="L1250" t="s">
        <v>3323</v>
      </c>
      <c r="M1250" t="s">
        <v>3</v>
      </c>
      <c r="N1250" s="25" t="str">
        <f>TEXT(tbl_Ledger[[#This Row],[Date]],"yyyy-mm")</f>
        <v>2025-09</v>
      </c>
      <c r="O1250" s="25" t="str">
        <f>TEXT(tbl_Ledger[[#This Row],[Date]],"yyyy-mm") &amp; TRIM(tbl_Ledger[[#This Row],[Currency]])</f>
        <v>2025-09NGN</v>
      </c>
      <c r="P1250" s="25">
        <f>_xlfn.XLOOKUP(tbl_Ledger[[#This Row],[Key]], tbl_FX[Key], tbl_FX[Rate_to_NGN])</f>
        <v>1</v>
      </c>
      <c r="Q1250" s="37">
        <f>IF(tbl_Ledger[[#This Row],[Account_Type]]="Expense",-ABS(tbl_Ledger[[#This Row],[Amount]]*tbl_Ledger[[#This Row],[Rate_to_NGN]]),tbl_Ledger[[#This Row],[Amount]]*tbl_Ledger[[#This Row],[Rate_to_NGN]])</f>
        <v>30500</v>
      </c>
      <c r="R1250" s="25" t="str">
        <f>_xlfn.XLOOKUP(tbl_Ledger[[#This Row],[Account_Code]], tbl_Accounts[Account_Code], tbl_Accounts[Type])</f>
        <v>Revenue</v>
      </c>
      <c r="S1250" s="25" t="str">
        <f>_xlfn.XLOOKUP(tbl_Ledger[[#This Row],[Account_Code]], tbl_Accounts[Account_Code], tbl_Accounts[PL_Bucket])</f>
        <v>Revenue</v>
      </c>
      <c r="T1250" s="25">
        <f t="shared" si="19"/>
        <v>30500</v>
      </c>
    </row>
    <row r="1251" spans="1:20">
      <c r="A1251" t="s">
        <v>3324</v>
      </c>
      <c r="B1251" s="7">
        <v>45919</v>
      </c>
      <c r="C1251" t="s">
        <v>93</v>
      </c>
      <c r="D1251" t="s">
        <v>94</v>
      </c>
      <c r="E1251" t="s">
        <v>107</v>
      </c>
      <c r="F1251" s="12" t="s">
        <v>24</v>
      </c>
      <c r="G1251" t="s">
        <v>25</v>
      </c>
      <c r="H1251" t="s">
        <v>3325</v>
      </c>
      <c r="I1251" t="s">
        <v>71</v>
      </c>
      <c r="J1251" s="6">
        <v>31500</v>
      </c>
      <c r="K1251" t="s">
        <v>3</v>
      </c>
      <c r="L1251" t="s">
        <v>3326</v>
      </c>
      <c r="M1251" t="s">
        <v>3</v>
      </c>
      <c r="N1251" s="25" t="str">
        <f>TEXT(tbl_Ledger[[#This Row],[Date]],"yyyy-mm")</f>
        <v>2025-09</v>
      </c>
      <c r="O1251" s="25" t="str">
        <f>TEXT(tbl_Ledger[[#This Row],[Date]],"yyyy-mm") &amp; TRIM(tbl_Ledger[[#This Row],[Currency]])</f>
        <v>2025-09NGN</v>
      </c>
      <c r="P1251" s="25">
        <f>_xlfn.XLOOKUP(tbl_Ledger[[#This Row],[Key]], tbl_FX[Key], tbl_FX[Rate_to_NGN])</f>
        <v>1</v>
      </c>
      <c r="Q1251" s="37">
        <f>IF(tbl_Ledger[[#This Row],[Account_Type]]="Expense",-ABS(tbl_Ledger[[#This Row],[Amount]]*tbl_Ledger[[#This Row],[Rate_to_NGN]]),tbl_Ledger[[#This Row],[Amount]]*tbl_Ledger[[#This Row],[Rate_to_NGN]])</f>
        <v>31500</v>
      </c>
      <c r="R1251" s="25" t="str">
        <f>_xlfn.XLOOKUP(tbl_Ledger[[#This Row],[Account_Code]], tbl_Accounts[Account_Code], tbl_Accounts[Type])</f>
        <v>Revenue</v>
      </c>
      <c r="S1251" s="25" t="str">
        <f>_xlfn.XLOOKUP(tbl_Ledger[[#This Row],[Account_Code]], tbl_Accounts[Account_Code], tbl_Accounts[PL_Bucket])</f>
        <v>Revenue</v>
      </c>
      <c r="T1251" s="25">
        <f t="shared" si="19"/>
        <v>31500</v>
      </c>
    </row>
    <row r="1252" spans="1:20">
      <c r="A1252" t="s">
        <v>3327</v>
      </c>
      <c r="B1252" s="7">
        <v>45919</v>
      </c>
      <c r="C1252" t="s">
        <v>93</v>
      </c>
      <c r="D1252" t="s">
        <v>111</v>
      </c>
      <c r="E1252" t="s">
        <v>112</v>
      </c>
      <c r="F1252" s="12" t="s">
        <v>24</v>
      </c>
      <c r="G1252" t="s">
        <v>25</v>
      </c>
      <c r="H1252" t="s">
        <v>3328</v>
      </c>
      <c r="I1252" t="s">
        <v>71</v>
      </c>
      <c r="J1252" s="6">
        <v>49200</v>
      </c>
      <c r="K1252" t="s">
        <v>3</v>
      </c>
      <c r="L1252" t="s">
        <v>3329</v>
      </c>
      <c r="M1252" t="s">
        <v>3</v>
      </c>
      <c r="N1252" s="25" t="str">
        <f>TEXT(tbl_Ledger[[#This Row],[Date]],"yyyy-mm")</f>
        <v>2025-09</v>
      </c>
      <c r="O1252" s="25" t="str">
        <f>TEXT(tbl_Ledger[[#This Row],[Date]],"yyyy-mm") &amp; TRIM(tbl_Ledger[[#This Row],[Currency]])</f>
        <v>2025-09NGN</v>
      </c>
      <c r="P1252" s="25">
        <f>_xlfn.XLOOKUP(tbl_Ledger[[#This Row],[Key]], tbl_FX[Key], tbl_FX[Rate_to_NGN])</f>
        <v>1</v>
      </c>
      <c r="Q1252" s="37">
        <f>IF(tbl_Ledger[[#This Row],[Account_Type]]="Expense",-ABS(tbl_Ledger[[#This Row],[Amount]]*tbl_Ledger[[#This Row],[Rate_to_NGN]]),tbl_Ledger[[#This Row],[Amount]]*tbl_Ledger[[#This Row],[Rate_to_NGN]])</f>
        <v>49200</v>
      </c>
      <c r="R1252" s="25" t="str">
        <f>_xlfn.XLOOKUP(tbl_Ledger[[#This Row],[Account_Code]], tbl_Accounts[Account_Code], tbl_Accounts[Type])</f>
        <v>Revenue</v>
      </c>
      <c r="S1252" s="25" t="str">
        <f>_xlfn.XLOOKUP(tbl_Ledger[[#This Row],[Account_Code]], tbl_Accounts[Account_Code], tbl_Accounts[PL_Bucket])</f>
        <v>Revenue</v>
      </c>
      <c r="T1252" s="25">
        <f t="shared" si="19"/>
        <v>49200</v>
      </c>
    </row>
    <row r="1253" spans="1:20">
      <c r="A1253" t="s">
        <v>3330</v>
      </c>
      <c r="B1253" s="7">
        <v>45919</v>
      </c>
      <c r="C1253" t="s">
        <v>93</v>
      </c>
      <c r="D1253" t="s">
        <v>111</v>
      </c>
      <c r="E1253" t="s">
        <v>116</v>
      </c>
      <c r="F1253" s="12" t="s">
        <v>24</v>
      </c>
      <c r="G1253" t="s">
        <v>25</v>
      </c>
      <c r="H1253" t="s">
        <v>3331</v>
      </c>
      <c r="I1253" t="s">
        <v>71</v>
      </c>
      <c r="J1253" s="6">
        <v>48000</v>
      </c>
      <c r="K1253" t="s">
        <v>3</v>
      </c>
      <c r="L1253" t="s">
        <v>3329</v>
      </c>
      <c r="M1253" t="s">
        <v>3</v>
      </c>
      <c r="N1253" s="25" t="str">
        <f>TEXT(tbl_Ledger[[#This Row],[Date]],"yyyy-mm")</f>
        <v>2025-09</v>
      </c>
      <c r="O1253" s="25" t="str">
        <f>TEXT(tbl_Ledger[[#This Row],[Date]],"yyyy-mm") &amp; TRIM(tbl_Ledger[[#This Row],[Currency]])</f>
        <v>2025-09NGN</v>
      </c>
      <c r="P1253" s="25">
        <f>_xlfn.XLOOKUP(tbl_Ledger[[#This Row],[Key]], tbl_FX[Key], tbl_FX[Rate_to_NGN])</f>
        <v>1</v>
      </c>
      <c r="Q1253" s="37">
        <f>IF(tbl_Ledger[[#This Row],[Account_Type]]="Expense",-ABS(tbl_Ledger[[#This Row],[Amount]]*tbl_Ledger[[#This Row],[Rate_to_NGN]]),tbl_Ledger[[#This Row],[Amount]]*tbl_Ledger[[#This Row],[Rate_to_NGN]])</f>
        <v>48000</v>
      </c>
      <c r="R1253" s="25" t="str">
        <f>_xlfn.XLOOKUP(tbl_Ledger[[#This Row],[Account_Code]], tbl_Accounts[Account_Code], tbl_Accounts[Type])</f>
        <v>Revenue</v>
      </c>
      <c r="S1253" s="25" t="str">
        <f>_xlfn.XLOOKUP(tbl_Ledger[[#This Row],[Account_Code]], tbl_Accounts[Account_Code], tbl_Accounts[PL_Bucket])</f>
        <v>Revenue</v>
      </c>
      <c r="T1253" s="25">
        <f t="shared" si="19"/>
        <v>48000</v>
      </c>
    </row>
    <row r="1254" spans="1:20">
      <c r="A1254" t="s">
        <v>3332</v>
      </c>
      <c r="B1254" s="7">
        <v>45919</v>
      </c>
      <c r="C1254" t="s">
        <v>93</v>
      </c>
      <c r="D1254" t="s">
        <v>111</v>
      </c>
      <c r="E1254" t="s">
        <v>119</v>
      </c>
      <c r="F1254" s="12" t="s">
        <v>24</v>
      </c>
      <c r="G1254" t="s">
        <v>25</v>
      </c>
      <c r="H1254" t="s">
        <v>3333</v>
      </c>
      <c r="I1254" t="s">
        <v>71</v>
      </c>
      <c r="J1254" s="6">
        <v>47700</v>
      </c>
      <c r="K1254" t="s">
        <v>3</v>
      </c>
      <c r="L1254" t="s">
        <v>3329</v>
      </c>
      <c r="M1254" t="s">
        <v>3</v>
      </c>
      <c r="N1254" s="25" t="str">
        <f>TEXT(tbl_Ledger[[#This Row],[Date]],"yyyy-mm")</f>
        <v>2025-09</v>
      </c>
      <c r="O1254" s="25" t="str">
        <f>TEXT(tbl_Ledger[[#This Row],[Date]],"yyyy-mm") &amp; TRIM(tbl_Ledger[[#This Row],[Currency]])</f>
        <v>2025-09NGN</v>
      </c>
      <c r="P1254" s="25">
        <f>_xlfn.XLOOKUP(tbl_Ledger[[#This Row],[Key]], tbl_FX[Key], tbl_FX[Rate_to_NGN])</f>
        <v>1</v>
      </c>
      <c r="Q1254" s="37">
        <f>IF(tbl_Ledger[[#This Row],[Account_Type]]="Expense",-ABS(tbl_Ledger[[#This Row],[Amount]]*tbl_Ledger[[#This Row],[Rate_to_NGN]]),tbl_Ledger[[#This Row],[Amount]]*tbl_Ledger[[#This Row],[Rate_to_NGN]])</f>
        <v>47700</v>
      </c>
      <c r="R1254" s="25" t="str">
        <f>_xlfn.XLOOKUP(tbl_Ledger[[#This Row],[Account_Code]], tbl_Accounts[Account_Code], tbl_Accounts[Type])</f>
        <v>Revenue</v>
      </c>
      <c r="S1254" s="25" t="str">
        <f>_xlfn.XLOOKUP(tbl_Ledger[[#This Row],[Account_Code]], tbl_Accounts[Account_Code], tbl_Accounts[PL_Bucket])</f>
        <v>Revenue</v>
      </c>
      <c r="T1254" s="25">
        <f t="shared" si="19"/>
        <v>47700</v>
      </c>
    </row>
    <row r="1255" spans="1:20">
      <c r="A1255" t="s">
        <v>3334</v>
      </c>
      <c r="B1255" s="7">
        <v>45919</v>
      </c>
      <c r="C1255" t="s">
        <v>93</v>
      </c>
      <c r="D1255" t="s">
        <v>111</v>
      </c>
      <c r="E1255" t="s">
        <v>170</v>
      </c>
      <c r="F1255" s="12" t="s">
        <v>24</v>
      </c>
      <c r="G1255" t="s">
        <v>25</v>
      </c>
      <c r="H1255" t="s">
        <v>3335</v>
      </c>
      <c r="I1255" t="s">
        <v>71</v>
      </c>
      <c r="J1255" s="6">
        <v>50300</v>
      </c>
      <c r="K1255" t="s">
        <v>3</v>
      </c>
      <c r="L1255" t="s">
        <v>3329</v>
      </c>
      <c r="M1255" t="s">
        <v>3</v>
      </c>
      <c r="N1255" s="25" t="str">
        <f>TEXT(tbl_Ledger[[#This Row],[Date]],"yyyy-mm")</f>
        <v>2025-09</v>
      </c>
      <c r="O1255" s="25" t="str">
        <f>TEXT(tbl_Ledger[[#This Row],[Date]],"yyyy-mm") &amp; TRIM(tbl_Ledger[[#This Row],[Currency]])</f>
        <v>2025-09NGN</v>
      </c>
      <c r="P1255" s="25">
        <f>_xlfn.XLOOKUP(tbl_Ledger[[#This Row],[Key]], tbl_FX[Key], tbl_FX[Rate_to_NGN])</f>
        <v>1</v>
      </c>
      <c r="Q1255" s="37">
        <f>IF(tbl_Ledger[[#This Row],[Account_Type]]="Expense",-ABS(tbl_Ledger[[#This Row],[Amount]]*tbl_Ledger[[#This Row],[Rate_to_NGN]]),tbl_Ledger[[#This Row],[Amount]]*tbl_Ledger[[#This Row],[Rate_to_NGN]])</f>
        <v>50300</v>
      </c>
      <c r="R1255" s="25" t="str">
        <f>_xlfn.XLOOKUP(tbl_Ledger[[#This Row],[Account_Code]], tbl_Accounts[Account_Code], tbl_Accounts[Type])</f>
        <v>Revenue</v>
      </c>
      <c r="S1255" s="25" t="str">
        <f>_xlfn.XLOOKUP(tbl_Ledger[[#This Row],[Account_Code]], tbl_Accounts[Account_Code], tbl_Accounts[PL_Bucket])</f>
        <v>Revenue</v>
      </c>
      <c r="T1255" s="25">
        <f t="shared" si="19"/>
        <v>50300</v>
      </c>
    </row>
    <row r="1256" spans="1:20">
      <c r="A1256" t="s">
        <v>3336</v>
      </c>
      <c r="B1256" s="7">
        <v>45919</v>
      </c>
      <c r="C1256" t="s">
        <v>93</v>
      </c>
      <c r="D1256" t="s">
        <v>111</v>
      </c>
      <c r="E1256" t="s">
        <v>122</v>
      </c>
      <c r="F1256" s="12" t="s">
        <v>24</v>
      </c>
      <c r="G1256" t="s">
        <v>25</v>
      </c>
      <c r="H1256" t="s">
        <v>3337</v>
      </c>
      <c r="I1256" t="s">
        <v>71</v>
      </c>
      <c r="J1256" s="6">
        <v>48200</v>
      </c>
      <c r="K1256" t="s">
        <v>3</v>
      </c>
      <c r="L1256" t="s">
        <v>3338</v>
      </c>
      <c r="M1256" t="s">
        <v>3</v>
      </c>
      <c r="N1256" s="25" t="str">
        <f>TEXT(tbl_Ledger[[#This Row],[Date]],"yyyy-mm")</f>
        <v>2025-09</v>
      </c>
      <c r="O1256" s="25" t="str">
        <f>TEXT(tbl_Ledger[[#This Row],[Date]],"yyyy-mm") &amp; TRIM(tbl_Ledger[[#This Row],[Currency]])</f>
        <v>2025-09NGN</v>
      </c>
      <c r="P1256" s="25">
        <f>_xlfn.XLOOKUP(tbl_Ledger[[#This Row],[Key]], tbl_FX[Key], tbl_FX[Rate_to_NGN])</f>
        <v>1</v>
      </c>
      <c r="Q1256" s="37">
        <f>IF(tbl_Ledger[[#This Row],[Account_Type]]="Expense",-ABS(tbl_Ledger[[#This Row],[Amount]]*tbl_Ledger[[#This Row],[Rate_to_NGN]]),tbl_Ledger[[#This Row],[Amount]]*tbl_Ledger[[#This Row],[Rate_to_NGN]])</f>
        <v>48200</v>
      </c>
      <c r="R1256" s="25" t="str">
        <f>_xlfn.XLOOKUP(tbl_Ledger[[#This Row],[Account_Code]], tbl_Accounts[Account_Code], tbl_Accounts[Type])</f>
        <v>Revenue</v>
      </c>
      <c r="S1256" s="25" t="str">
        <f>_xlfn.XLOOKUP(tbl_Ledger[[#This Row],[Account_Code]], tbl_Accounts[Account_Code], tbl_Accounts[PL_Bucket])</f>
        <v>Revenue</v>
      </c>
      <c r="T1256" s="25">
        <f t="shared" si="19"/>
        <v>48200</v>
      </c>
    </row>
    <row r="1257" spans="1:20">
      <c r="A1257" t="s">
        <v>3339</v>
      </c>
      <c r="B1257" s="7">
        <v>45919</v>
      </c>
      <c r="C1257" t="s">
        <v>126</v>
      </c>
      <c r="D1257" t="s">
        <v>88</v>
      </c>
      <c r="E1257" t="s">
        <v>127</v>
      </c>
      <c r="F1257" s="12" t="s">
        <v>29</v>
      </c>
      <c r="G1257" t="s">
        <v>30</v>
      </c>
      <c r="H1257" t="s">
        <v>3340</v>
      </c>
      <c r="I1257" t="s">
        <v>71</v>
      </c>
      <c r="J1257" s="6">
        <v>52700</v>
      </c>
      <c r="K1257" t="s">
        <v>129</v>
      </c>
      <c r="L1257" t="s">
        <v>3341</v>
      </c>
      <c r="M1257" t="s">
        <v>3</v>
      </c>
      <c r="N1257" s="25" t="str">
        <f>TEXT(tbl_Ledger[[#This Row],[Date]],"yyyy-mm")</f>
        <v>2025-09</v>
      </c>
      <c r="O1257" s="25" t="str">
        <f>TEXT(tbl_Ledger[[#This Row],[Date]],"yyyy-mm") &amp; TRIM(tbl_Ledger[[#This Row],[Currency]])</f>
        <v>2025-09NGN</v>
      </c>
      <c r="P1257" s="25">
        <f>_xlfn.XLOOKUP(tbl_Ledger[[#This Row],[Key]], tbl_FX[Key], tbl_FX[Rate_to_NGN])</f>
        <v>1</v>
      </c>
      <c r="Q1257" s="37">
        <f>IF(tbl_Ledger[[#This Row],[Account_Type]]="Expense",-ABS(tbl_Ledger[[#This Row],[Amount]]*tbl_Ledger[[#This Row],[Rate_to_NGN]]),tbl_Ledger[[#This Row],[Amount]]*tbl_Ledger[[#This Row],[Rate_to_NGN]])</f>
        <v>52700</v>
      </c>
      <c r="R1257" s="25" t="str">
        <f>_xlfn.XLOOKUP(tbl_Ledger[[#This Row],[Account_Code]], tbl_Accounts[Account_Code], tbl_Accounts[Type])</f>
        <v>Revenue</v>
      </c>
      <c r="S1257" s="25" t="str">
        <f>_xlfn.XLOOKUP(tbl_Ledger[[#This Row],[Account_Code]], tbl_Accounts[Account_Code], tbl_Accounts[PL_Bucket])</f>
        <v>Revenue</v>
      </c>
      <c r="T1257" s="25">
        <f t="shared" si="19"/>
        <v>52700</v>
      </c>
    </row>
    <row r="1258" spans="1:20">
      <c r="A1258" t="s">
        <v>3342</v>
      </c>
      <c r="B1258" s="7">
        <v>45919</v>
      </c>
      <c r="C1258" t="s">
        <v>126</v>
      </c>
      <c r="D1258" t="s">
        <v>88</v>
      </c>
      <c r="E1258" t="s">
        <v>132</v>
      </c>
      <c r="F1258" s="12" t="s">
        <v>29</v>
      </c>
      <c r="G1258" t="s">
        <v>30</v>
      </c>
      <c r="H1258" t="s">
        <v>3343</v>
      </c>
      <c r="I1258" t="s">
        <v>71</v>
      </c>
      <c r="J1258" s="6">
        <v>47900</v>
      </c>
      <c r="K1258" t="s">
        <v>134</v>
      </c>
      <c r="L1258" t="s">
        <v>3341</v>
      </c>
      <c r="M1258" t="s">
        <v>3</v>
      </c>
      <c r="N1258" s="25" t="str">
        <f>TEXT(tbl_Ledger[[#This Row],[Date]],"yyyy-mm")</f>
        <v>2025-09</v>
      </c>
      <c r="O1258" s="25" t="str">
        <f>TEXT(tbl_Ledger[[#This Row],[Date]],"yyyy-mm") &amp; TRIM(tbl_Ledger[[#This Row],[Currency]])</f>
        <v>2025-09NGN</v>
      </c>
      <c r="P1258" s="25">
        <f>_xlfn.XLOOKUP(tbl_Ledger[[#This Row],[Key]], tbl_FX[Key], tbl_FX[Rate_to_NGN])</f>
        <v>1</v>
      </c>
      <c r="Q1258" s="37">
        <f>IF(tbl_Ledger[[#This Row],[Account_Type]]="Expense",-ABS(tbl_Ledger[[#This Row],[Amount]]*tbl_Ledger[[#This Row],[Rate_to_NGN]]),tbl_Ledger[[#This Row],[Amount]]*tbl_Ledger[[#This Row],[Rate_to_NGN]])</f>
        <v>47900</v>
      </c>
      <c r="R1258" s="25" t="str">
        <f>_xlfn.XLOOKUP(tbl_Ledger[[#This Row],[Account_Code]], tbl_Accounts[Account_Code], tbl_Accounts[Type])</f>
        <v>Revenue</v>
      </c>
      <c r="S1258" s="25" t="str">
        <f>_xlfn.XLOOKUP(tbl_Ledger[[#This Row],[Account_Code]], tbl_Accounts[Account_Code], tbl_Accounts[PL_Bucket])</f>
        <v>Revenue</v>
      </c>
      <c r="T1258" s="25">
        <f t="shared" si="19"/>
        <v>47900</v>
      </c>
    </row>
    <row r="1259" spans="1:20">
      <c r="A1259" t="s">
        <v>3344</v>
      </c>
      <c r="B1259" s="7">
        <v>45919</v>
      </c>
      <c r="C1259" t="s">
        <v>126</v>
      </c>
      <c r="D1259" t="s">
        <v>88</v>
      </c>
      <c r="E1259" t="s">
        <v>136</v>
      </c>
      <c r="F1259" s="12" t="s">
        <v>29</v>
      </c>
      <c r="G1259" t="s">
        <v>30</v>
      </c>
      <c r="H1259" t="s">
        <v>3345</v>
      </c>
      <c r="I1259" t="s">
        <v>72</v>
      </c>
      <c r="J1259" s="6">
        <v>35.75</v>
      </c>
      <c r="K1259" t="s">
        <v>138</v>
      </c>
      <c r="L1259" t="s">
        <v>3341</v>
      </c>
      <c r="M1259" t="s">
        <v>3</v>
      </c>
      <c r="N1259" s="25" t="str">
        <f>TEXT(tbl_Ledger[[#This Row],[Date]],"yyyy-mm")</f>
        <v>2025-09</v>
      </c>
      <c r="O1259" s="25" t="str">
        <f>TEXT(tbl_Ledger[[#This Row],[Date]],"yyyy-mm") &amp; TRIM(tbl_Ledger[[#This Row],[Currency]])</f>
        <v>2025-09USD</v>
      </c>
      <c r="P1259" s="25">
        <f>_xlfn.XLOOKUP(tbl_Ledger[[#This Row],[Key]], tbl_FX[Key], tbl_FX[Rate_to_NGN])</f>
        <v>1611</v>
      </c>
      <c r="Q1259" s="37">
        <f>IF(tbl_Ledger[[#This Row],[Account_Type]]="Expense",-ABS(tbl_Ledger[[#This Row],[Amount]]*tbl_Ledger[[#This Row],[Rate_to_NGN]]),tbl_Ledger[[#This Row],[Amount]]*tbl_Ledger[[#This Row],[Rate_to_NGN]])</f>
        <v>57593.25</v>
      </c>
      <c r="R1259" s="25" t="str">
        <f>_xlfn.XLOOKUP(tbl_Ledger[[#This Row],[Account_Code]], tbl_Accounts[Account_Code], tbl_Accounts[Type])</f>
        <v>Revenue</v>
      </c>
      <c r="S1259" s="25" t="str">
        <f>_xlfn.XLOOKUP(tbl_Ledger[[#This Row],[Account_Code]], tbl_Accounts[Account_Code], tbl_Accounts[PL_Bucket])</f>
        <v>Revenue</v>
      </c>
      <c r="T1259" s="25">
        <f t="shared" si="19"/>
        <v>57593.25</v>
      </c>
    </row>
    <row r="1260" spans="1:20">
      <c r="A1260" t="s">
        <v>3346</v>
      </c>
      <c r="B1260" s="7">
        <v>45919</v>
      </c>
      <c r="C1260" t="s">
        <v>126</v>
      </c>
      <c r="D1260" t="s">
        <v>88</v>
      </c>
      <c r="E1260" t="s">
        <v>140</v>
      </c>
      <c r="F1260" s="12" t="s">
        <v>29</v>
      </c>
      <c r="G1260" t="s">
        <v>30</v>
      </c>
      <c r="H1260" t="s">
        <v>3347</v>
      </c>
      <c r="I1260" t="s">
        <v>71</v>
      </c>
      <c r="J1260" s="6">
        <v>56400</v>
      </c>
      <c r="K1260" t="s">
        <v>3</v>
      </c>
      <c r="L1260" t="s">
        <v>3348</v>
      </c>
      <c r="M1260" t="s">
        <v>3</v>
      </c>
      <c r="N1260" s="25" t="str">
        <f>TEXT(tbl_Ledger[[#This Row],[Date]],"yyyy-mm")</f>
        <v>2025-09</v>
      </c>
      <c r="O1260" s="25" t="str">
        <f>TEXT(tbl_Ledger[[#This Row],[Date]],"yyyy-mm") &amp; TRIM(tbl_Ledger[[#This Row],[Currency]])</f>
        <v>2025-09NGN</v>
      </c>
      <c r="P1260" s="25">
        <f>_xlfn.XLOOKUP(tbl_Ledger[[#This Row],[Key]], tbl_FX[Key], tbl_FX[Rate_to_NGN])</f>
        <v>1</v>
      </c>
      <c r="Q1260" s="37">
        <f>IF(tbl_Ledger[[#This Row],[Account_Type]]="Expense",-ABS(tbl_Ledger[[#This Row],[Amount]]*tbl_Ledger[[#This Row],[Rate_to_NGN]]),tbl_Ledger[[#This Row],[Amount]]*tbl_Ledger[[#This Row],[Rate_to_NGN]])</f>
        <v>56400</v>
      </c>
      <c r="R1260" s="25" t="str">
        <f>_xlfn.XLOOKUP(tbl_Ledger[[#This Row],[Account_Code]], tbl_Accounts[Account_Code], tbl_Accounts[Type])</f>
        <v>Revenue</v>
      </c>
      <c r="S1260" s="25" t="str">
        <f>_xlfn.XLOOKUP(tbl_Ledger[[#This Row],[Account_Code]], tbl_Accounts[Account_Code], tbl_Accounts[PL_Bucket])</f>
        <v>Revenue</v>
      </c>
      <c r="T1260" s="25">
        <f t="shared" si="19"/>
        <v>56400</v>
      </c>
    </row>
    <row r="1261" spans="1:20">
      <c r="A1261" t="s">
        <v>3349</v>
      </c>
      <c r="B1261" s="7">
        <v>45919</v>
      </c>
      <c r="C1261" t="s">
        <v>87</v>
      </c>
      <c r="D1261" t="s">
        <v>111</v>
      </c>
      <c r="E1261" t="s">
        <v>3</v>
      </c>
      <c r="F1261" s="12" t="s">
        <v>38</v>
      </c>
      <c r="G1261" t="s">
        <v>39</v>
      </c>
      <c r="H1261" t="s">
        <v>2694</v>
      </c>
      <c r="I1261" t="s">
        <v>71</v>
      </c>
      <c r="J1261" s="6">
        <v>-68000</v>
      </c>
      <c r="K1261" t="s">
        <v>276</v>
      </c>
      <c r="L1261" t="s">
        <v>3350</v>
      </c>
      <c r="M1261" t="s">
        <v>3</v>
      </c>
      <c r="N1261" s="25" t="str">
        <f>TEXT(tbl_Ledger[[#This Row],[Date]],"yyyy-mm")</f>
        <v>2025-09</v>
      </c>
      <c r="O1261" s="25" t="str">
        <f>TEXT(tbl_Ledger[[#This Row],[Date]],"yyyy-mm") &amp; TRIM(tbl_Ledger[[#This Row],[Currency]])</f>
        <v>2025-09NGN</v>
      </c>
      <c r="P1261" s="25">
        <f>_xlfn.XLOOKUP(tbl_Ledger[[#This Row],[Key]], tbl_FX[Key], tbl_FX[Rate_to_NGN])</f>
        <v>1</v>
      </c>
      <c r="Q1261" s="37">
        <f>IF(tbl_Ledger[[#This Row],[Account_Type]]="Expense",-ABS(tbl_Ledger[[#This Row],[Amount]]*tbl_Ledger[[#This Row],[Rate_to_NGN]]),tbl_Ledger[[#This Row],[Amount]]*tbl_Ledger[[#This Row],[Rate_to_NGN]])</f>
        <v>-68000</v>
      </c>
      <c r="R1261" s="25" t="str">
        <f>_xlfn.XLOOKUP(tbl_Ledger[[#This Row],[Account_Code]], tbl_Accounts[Account_Code], tbl_Accounts[Type])</f>
        <v>COGS</v>
      </c>
      <c r="S1261" s="25" t="str">
        <f>_xlfn.XLOOKUP(tbl_Ledger[[#This Row],[Account_Code]], tbl_Accounts[Account_Code], tbl_Accounts[PL_Bucket])</f>
        <v>COGS</v>
      </c>
      <c r="T1261" s="25">
        <f t="shared" si="19"/>
        <v>-68000</v>
      </c>
    </row>
    <row r="1262" spans="1:20">
      <c r="A1262" t="s">
        <v>3351</v>
      </c>
      <c r="B1262" s="7">
        <v>45919</v>
      </c>
      <c r="C1262" t="s">
        <v>87</v>
      </c>
      <c r="D1262" t="s">
        <v>88</v>
      </c>
      <c r="E1262" t="s">
        <v>3</v>
      </c>
      <c r="F1262" s="12" t="s">
        <v>40</v>
      </c>
      <c r="G1262" t="s">
        <v>41</v>
      </c>
      <c r="H1262" t="s">
        <v>2656</v>
      </c>
      <c r="I1262" t="s">
        <v>71</v>
      </c>
      <c r="J1262" s="6">
        <v>-516000</v>
      </c>
      <c r="K1262" t="s">
        <v>90</v>
      </c>
      <c r="L1262" t="s">
        <v>3352</v>
      </c>
      <c r="M1262" t="s">
        <v>3</v>
      </c>
      <c r="N1262" s="25" t="str">
        <f>TEXT(tbl_Ledger[[#This Row],[Date]],"yyyy-mm")</f>
        <v>2025-09</v>
      </c>
      <c r="O1262" s="25" t="str">
        <f>TEXT(tbl_Ledger[[#This Row],[Date]],"yyyy-mm") &amp; TRIM(tbl_Ledger[[#This Row],[Currency]])</f>
        <v>2025-09NGN</v>
      </c>
      <c r="P1262" s="25">
        <f>_xlfn.XLOOKUP(tbl_Ledger[[#This Row],[Key]], tbl_FX[Key], tbl_FX[Rate_to_NGN])</f>
        <v>1</v>
      </c>
      <c r="Q1262" s="37">
        <f>IF(tbl_Ledger[[#This Row],[Account_Type]]="Expense",-ABS(tbl_Ledger[[#This Row],[Amount]]*tbl_Ledger[[#This Row],[Rate_to_NGN]]),tbl_Ledger[[#This Row],[Amount]]*tbl_Ledger[[#This Row],[Rate_to_NGN]])</f>
        <v>-516000</v>
      </c>
      <c r="R1262" s="25" t="str">
        <f>_xlfn.XLOOKUP(tbl_Ledger[[#This Row],[Account_Code]], tbl_Accounts[Account_Code], tbl_Accounts[Type])</f>
        <v>COGS</v>
      </c>
      <c r="S1262" s="25" t="str">
        <f>_xlfn.XLOOKUP(tbl_Ledger[[#This Row],[Account_Code]], tbl_Accounts[Account_Code], tbl_Accounts[PL_Bucket])</f>
        <v>COGS</v>
      </c>
      <c r="T1262" s="25">
        <f t="shared" si="19"/>
        <v>-516000</v>
      </c>
    </row>
    <row r="1263" spans="1:20">
      <c r="A1263" t="s">
        <v>3353</v>
      </c>
      <c r="B1263" s="7">
        <v>45919</v>
      </c>
      <c r="C1263" t="s">
        <v>87</v>
      </c>
      <c r="D1263" t="s">
        <v>111</v>
      </c>
      <c r="E1263" t="s">
        <v>3</v>
      </c>
      <c r="F1263" s="12" t="s">
        <v>53</v>
      </c>
      <c r="G1263" t="s">
        <v>54</v>
      </c>
      <c r="H1263" t="s">
        <v>3354</v>
      </c>
      <c r="I1263" t="s">
        <v>71</v>
      </c>
      <c r="J1263" s="6">
        <v>-797080</v>
      </c>
      <c r="K1263" t="s">
        <v>870</v>
      </c>
      <c r="L1263" t="s">
        <v>3355</v>
      </c>
      <c r="M1263" t="s">
        <v>3</v>
      </c>
      <c r="N1263" s="25" t="str">
        <f>TEXT(tbl_Ledger[[#This Row],[Date]],"yyyy-mm")</f>
        <v>2025-09</v>
      </c>
      <c r="O1263" s="25" t="str">
        <f>TEXT(tbl_Ledger[[#This Row],[Date]],"yyyy-mm") &amp; TRIM(tbl_Ledger[[#This Row],[Currency]])</f>
        <v>2025-09NGN</v>
      </c>
      <c r="P1263" s="25">
        <f>_xlfn.XLOOKUP(tbl_Ledger[[#This Row],[Key]], tbl_FX[Key], tbl_FX[Rate_to_NGN])</f>
        <v>1</v>
      </c>
      <c r="Q1263" s="37">
        <f>IF(tbl_Ledger[[#This Row],[Account_Type]]="Expense",-ABS(tbl_Ledger[[#This Row],[Amount]]*tbl_Ledger[[#This Row],[Rate_to_NGN]]),tbl_Ledger[[#This Row],[Amount]]*tbl_Ledger[[#This Row],[Rate_to_NGN]])</f>
        <v>-797080</v>
      </c>
      <c r="R1263" s="25" t="str">
        <f>_xlfn.XLOOKUP(tbl_Ledger[[#This Row],[Account_Code]], tbl_Accounts[Account_Code], tbl_Accounts[Type])</f>
        <v>Opex</v>
      </c>
      <c r="S1263" s="25" t="str">
        <f>_xlfn.XLOOKUP(tbl_Ledger[[#This Row],[Account_Code]], tbl_Accounts[Account_Code], tbl_Accounts[PL_Bucket])</f>
        <v>Opex</v>
      </c>
      <c r="T1263" s="25">
        <f t="shared" si="19"/>
        <v>-797080</v>
      </c>
    </row>
    <row r="1264" spans="1:20">
      <c r="A1264" t="s">
        <v>3356</v>
      </c>
      <c r="B1264" s="7">
        <v>45920</v>
      </c>
      <c r="C1264" t="s">
        <v>93</v>
      </c>
      <c r="D1264" t="s">
        <v>94</v>
      </c>
      <c r="E1264" t="s">
        <v>95</v>
      </c>
      <c r="F1264" s="12" t="s">
        <v>24</v>
      </c>
      <c r="G1264" t="s">
        <v>25</v>
      </c>
      <c r="H1264" t="s">
        <v>3357</v>
      </c>
      <c r="I1264" t="s">
        <v>71</v>
      </c>
      <c r="J1264" s="6">
        <v>41400</v>
      </c>
      <c r="K1264" t="s">
        <v>3</v>
      </c>
      <c r="L1264" t="s">
        <v>3358</v>
      </c>
      <c r="M1264" t="s">
        <v>3</v>
      </c>
      <c r="N1264" s="25" t="str">
        <f>TEXT(tbl_Ledger[[#This Row],[Date]],"yyyy-mm")</f>
        <v>2025-09</v>
      </c>
      <c r="O1264" s="25" t="str">
        <f>TEXT(tbl_Ledger[[#This Row],[Date]],"yyyy-mm") &amp; TRIM(tbl_Ledger[[#This Row],[Currency]])</f>
        <v>2025-09NGN</v>
      </c>
      <c r="P1264" s="25">
        <f>_xlfn.XLOOKUP(tbl_Ledger[[#This Row],[Key]], tbl_FX[Key], tbl_FX[Rate_to_NGN])</f>
        <v>1</v>
      </c>
      <c r="Q1264" s="37">
        <f>IF(tbl_Ledger[[#This Row],[Account_Type]]="Expense",-ABS(tbl_Ledger[[#This Row],[Amount]]*tbl_Ledger[[#This Row],[Rate_to_NGN]]),tbl_Ledger[[#This Row],[Amount]]*tbl_Ledger[[#This Row],[Rate_to_NGN]])</f>
        <v>41400</v>
      </c>
      <c r="R1264" s="25" t="str">
        <f>_xlfn.XLOOKUP(tbl_Ledger[[#This Row],[Account_Code]], tbl_Accounts[Account_Code], tbl_Accounts[Type])</f>
        <v>Revenue</v>
      </c>
      <c r="S1264" s="25" t="str">
        <f>_xlfn.XLOOKUP(tbl_Ledger[[#This Row],[Account_Code]], tbl_Accounts[Account_Code], tbl_Accounts[PL_Bucket])</f>
        <v>Revenue</v>
      </c>
      <c r="T1264" s="25">
        <f t="shared" si="19"/>
        <v>41400</v>
      </c>
    </row>
    <row r="1265" spans="1:20">
      <c r="A1265" t="s">
        <v>3359</v>
      </c>
      <c r="B1265" s="7">
        <v>45920</v>
      </c>
      <c r="C1265" t="s">
        <v>93</v>
      </c>
      <c r="D1265" t="s">
        <v>94</v>
      </c>
      <c r="E1265" t="s">
        <v>99</v>
      </c>
      <c r="F1265" s="12" t="s">
        <v>24</v>
      </c>
      <c r="G1265" t="s">
        <v>25</v>
      </c>
      <c r="H1265" t="s">
        <v>3360</v>
      </c>
      <c r="I1265" t="s">
        <v>71</v>
      </c>
      <c r="J1265" s="6">
        <v>42000</v>
      </c>
      <c r="K1265" t="s">
        <v>3</v>
      </c>
      <c r="L1265" t="s">
        <v>3361</v>
      </c>
      <c r="M1265" t="s">
        <v>3</v>
      </c>
      <c r="N1265" s="25" t="str">
        <f>TEXT(tbl_Ledger[[#This Row],[Date]],"yyyy-mm")</f>
        <v>2025-09</v>
      </c>
      <c r="O1265" s="25" t="str">
        <f>TEXT(tbl_Ledger[[#This Row],[Date]],"yyyy-mm") &amp; TRIM(tbl_Ledger[[#This Row],[Currency]])</f>
        <v>2025-09NGN</v>
      </c>
      <c r="P1265" s="25">
        <f>_xlfn.XLOOKUP(tbl_Ledger[[#This Row],[Key]], tbl_FX[Key], tbl_FX[Rate_to_NGN])</f>
        <v>1</v>
      </c>
      <c r="Q1265" s="37">
        <f>IF(tbl_Ledger[[#This Row],[Account_Type]]="Expense",-ABS(tbl_Ledger[[#This Row],[Amount]]*tbl_Ledger[[#This Row],[Rate_to_NGN]]),tbl_Ledger[[#This Row],[Amount]]*tbl_Ledger[[#This Row],[Rate_to_NGN]])</f>
        <v>42000</v>
      </c>
      <c r="R1265" s="25" t="str">
        <f>_xlfn.XLOOKUP(tbl_Ledger[[#This Row],[Account_Code]], tbl_Accounts[Account_Code], tbl_Accounts[Type])</f>
        <v>Revenue</v>
      </c>
      <c r="S1265" s="25" t="str">
        <f>_xlfn.XLOOKUP(tbl_Ledger[[#This Row],[Account_Code]], tbl_Accounts[Account_Code], tbl_Accounts[PL_Bucket])</f>
        <v>Revenue</v>
      </c>
      <c r="T1265" s="25">
        <f t="shared" si="19"/>
        <v>42000</v>
      </c>
    </row>
    <row r="1266" spans="1:20">
      <c r="A1266" t="s">
        <v>3362</v>
      </c>
      <c r="B1266" s="7">
        <v>45920</v>
      </c>
      <c r="C1266" t="s">
        <v>93</v>
      </c>
      <c r="D1266" t="s">
        <v>94</v>
      </c>
      <c r="E1266" t="s">
        <v>160</v>
      </c>
      <c r="F1266" s="12" t="s">
        <v>24</v>
      </c>
      <c r="G1266" t="s">
        <v>25</v>
      </c>
      <c r="H1266" t="s">
        <v>3363</v>
      </c>
      <c r="I1266" t="s">
        <v>71</v>
      </c>
      <c r="J1266" s="6">
        <v>39900</v>
      </c>
      <c r="K1266" t="s">
        <v>3</v>
      </c>
      <c r="L1266" t="s">
        <v>3364</v>
      </c>
      <c r="M1266" t="s">
        <v>3</v>
      </c>
      <c r="N1266" s="25" t="str">
        <f>TEXT(tbl_Ledger[[#This Row],[Date]],"yyyy-mm")</f>
        <v>2025-09</v>
      </c>
      <c r="O1266" s="25" t="str">
        <f>TEXT(tbl_Ledger[[#This Row],[Date]],"yyyy-mm") &amp; TRIM(tbl_Ledger[[#This Row],[Currency]])</f>
        <v>2025-09NGN</v>
      </c>
      <c r="P1266" s="25">
        <f>_xlfn.XLOOKUP(tbl_Ledger[[#This Row],[Key]], tbl_FX[Key], tbl_FX[Rate_to_NGN])</f>
        <v>1</v>
      </c>
      <c r="Q1266" s="37">
        <f>IF(tbl_Ledger[[#This Row],[Account_Type]]="Expense",-ABS(tbl_Ledger[[#This Row],[Amount]]*tbl_Ledger[[#This Row],[Rate_to_NGN]]),tbl_Ledger[[#This Row],[Amount]]*tbl_Ledger[[#This Row],[Rate_to_NGN]])</f>
        <v>39900</v>
      </c>
      <c r="R1266" s="25" t="str">
        <f>_xlfn.XLOOKUP(tbl_Ledger[[#This Row],[Account_Code]], tbl_Accounts[Account_Code], tbl_Accounts[Type])</f>
        <v>Revenue</v>
      </c>
      <c r="S1266" s="25" t="str">
        <f>_xlfn.XLOOKUP(tbl_Ledger[[#This Row],[Account_Code]], tbl_Accounts[Account_Code], tbl_Accounts[PL_Bucket])</f>
        <v>Revenue</v>
      </c>
      <c r="T1266" s="25">
        <f t="shared" si="19"/>
        <v>39900</v>
      </c>
    </row>
    <row r="1267" spans="1:20">
      <c r="A1267" t="s">
        <v>3365</v>
      </c>
      <c r="B1267" s="7">
        <v>45920</v>
      </c>
      <c r="C1267" t="s">
        <v>93</v>
      </c>
      <c r="D1267" t="s">
        <v>94</v>
      </c>
      <c r="E1267" t="s">
        <v>107</v>
      </c>
      <c r="F1267" s="12" t="s">
        <v>24</v>
      </c>
      <c r="G1267" t="s">
        <v>25</v>
      </c>
      <c r="H1267" t="s">
        <v>3366</v>
      </c>
      <c r="I1267" t="s">
        <v>71</v>
      </c>
      <c r="J1267" s="6">
        <v>36300</v>
      </c>
      <c r="K1267" t="s">
        <v>3</v>
      </c>
      <c r="L1267" t="s">
        <v>3367</v>
      </c>
      <c r="M1267" t="s">
        <v>3</v>
      </c>
      <c r="N1267" s="25" t="str">
        <f>TEXT(tbl_Ledger[[#This Row],[Date]],"yyyy-mm")</f>
        <v>2025-09</v>
      </c>
      <c r="O1267" s="25" t="str">
        <f>TEXT(tbl_Ledger[[#This Row],[Date]],"yyyy-mm") &amp; TRIM(tbl_Ledger[[#This Row],[Currency]])</f>
        <v>2025-09NGN</v>
      </c>
      <c r="P1267" s="25">
        <f>_xlfn.XLOOKUP(tbl_Ledger[[#This Row],[Key]], tbl_FX[Key], tbl_FX[Rate_to_NGN])</f>
        <v>1</v>
      </c>
      <c r="Q1267" s="37">
        <f>IF(tbl_Ledger[[#This Row],[Account_Type]]="Expense",-ABS(tbl_Ledger[[#This Row],[Amount]]*tbl_Ledger[[#This Row],[Rate_to_NGN]]),tbl_Ledger[[#This Row],[Amount]]*tbl_Ledger[[#This Row],[Rate_to_NGN]])</f>
        <v>36300</v>
      </c>
      <c r="R1267" s="25" t="str">
        <f>_xlfn.XLOOKUP(tbl_Ledger[[#This Row],[Account_Code]], tbl_Accounts[Account_Code], tbl_Accounts[Type])</f>
        <v>Revenue</v>
      </c>
      <c r="S1267" s="25" t="str">
        <f>_xlfn.XLOOKUP(tbl_Ledger[[#This Row],[Account_Code]], tbl_Accounts[Account_Code], tbl_Accounts[PL_Bucket])</f>
        <v>Revenue</v>
      </c>
      <c r="T1267" s="25">
        <f t="shared" si="19"/>
        <v>36300</v>
      </c>
    </row>
    <row r="1268" spans="1:20">
      <c r="A1268" t="s">
        <v>3368</v>
      </c>
      <c r="B1268" s="7">
        <v>45920</v>
      </c>
      <c r="C1268" t="s">
        <v>93</v>
      </c>
      <c r="D1268" t="s">
        <v>111</v>
      </c>
      <c r="E1268" t="s">
        <v>112</v>
      </c>
      <c r="F1268" s="12" t="s">
        <v>24</v>
      </c>
      <c r="G1268" t="s">
        <v>25</v>
      </c>
      <c r="H1268" t="s">
        <v>3369</v>
      </c>
      <c r="I1268" t="s">
        <v>71</v>
      </c>
      <c r="J1268" s="6">
        <v>64900</v>
      </c>
      <c r="K1268" t="s">
        <v>3</v>
      </c>
      <c r="L1268" t="s">
        <v>3370</v>
      </c>
      <c r="M1268" t="s">
        <v>3</v>
      </c>
      <c r="N1268" s="25" t="str">
        <f>TEXT(tbl_Ledger[[#This Row],[Date]],"yyyy-mm")</f>
        <v>2025-09</v>
      </c>
      <c r="O1268" s="25" t="str">
        <f>TEXT(tbl_Ledger[[#This Row],[Date]],"yyyy-mm") &amp; TRIM(tbl_Ledger[[#This Row],[Currency]])</f>
        <v>2025-09NGN</v>
      </c>
      <c r="P1268" s="25">
        <f>_xlfn.XLOOKUP(tbl_Ledger[[#This Row],[Key]], tbl_FX[Key], tbl_FX[Rate_to_NGN])</f>
        <v>1</v>
      </c>
      <c r="Q1268" s="37">
        <f>IF(tbl_Ledger[[#This Row],[Account_Type]]="Expense",-ABS(tbl_Ledger[[#This Row],[Amount]]*tbl_Ledger[[#This Row],[Rate_to_NGN]]),tbl_Ledger[[#This Row],[Amount]]*tbl_Ledger[[#This Row],[Rate_to_NGN]])</f>
        <v>64900</v>
      </c>
      <c r="R1268" s="25" t="str">
        <f>_xlfn.XLOOKUP(tbl_Ledger[[#This Row],[Account_Code]], tbl_Accounts[Account_Code], tbl_Accounts[Type])</f>
        <v>Revenue</v>
      </c>
      <c r="S1268" s="25" t="str">
        <f>_xlfn.XLOOKUP(tbl_Ledger[[#This Row],[Account_Code]], tbl_Accounts[Account_Code], tbl_Accounts[PL_Bucket])</f>
        <v>Revenue</v>
      </c>
      <c r="T1268" s="25">
        <f t="shared" si="19"/>
        <v>64900</v>
      </c>
    </row>
    <row r="1269" spans="1:20">
      <c r="A1269" t="s">
        <v>3371</v>
      </c>
      <c r="B1269" s="7">
        <v>45920</v>
      </c>
      <c r="C1269" t="s">
        <v>93</v>
      </c>
      <c r="D1269" t="s">
        <v>111</v>
      </c>
      <c r="E1269" t="s">
        <v>116</v>
      </c>
      <c r="F1269" s="12" t="s">
        <v>24</v>
      </c>
      <c r="G1269" t="s">
        <v>25</v>
      </c>
      <c r="H1269" t="s">
        <v>3372</v>
      </c>
      <c r="I1269" t="s">
        <v>71</v>
      </c>
      <c r="J1269" s="6">
        <v>66700</v>
      </c>
      <c r="K1269" t="s">
        <v>3</v>
      </c>
      <c r="L1269" t="s">
        <v>3370</v>
      </c>
      <c r="M1269" t="s">
        <v>3</v>
      </c>
      <c r="N1269" s="25" t="str">
        <f>TEXT(tbl_Ledger[[#This Row],[Date]],"yyyy-mm")</f>
        <v>2025-09</v>
      </c>
      <c r="O1269" s="25" t="str">
        <f>TEXT(tbl_Ledger[[#This Row],[Date]],"yyyy-mm") &amp; TRIM(tbl_Ledger[[#This Row],[Currency]])</f>
        <v>2025-09NGN</v>
      </c>
      <c r="P1269" s="25">
        <f>_xlfn.XLOOKUP(tbl_Ledger[[#This Row],[Key]], tbl_FX[Key], tbl_FX[Rate_to_NGN])</f>
        <v>1</v>
      </c>
      <c r="Q1269" s="37">
        <f>IF(tbl_Ledger[[#This Row],[Account_Type]]="Expense",-ABS(tbl_Ledger[[#This Row],[Amount]]*tbl_Ledger[[#This Row],[Rate_to_NGN]]),tbl_Ledger[[#This Row],[Amount]]*tbl_Ledger[[#This Row],[Rate_to_NGN]])</f>
        <v>66700</v>
      </c>
      <c r="R1269" s="25" t="str">
        <f>_xlfn.XLOOKUP(tbl_Ledger[[#This Row],[Account_Code]], tbl_Accounts[Account_Code], tbl_Accounts[Type])</f>
        <v>Revenue</v>
      </c>
      <c r="S1269" s="25" t="str">
        <f>_xlfn.XLOOKUP(tbl_Ledger[[#This Row],[Account_Code]], tbl_Accounts[Account_Code], tbl_Accounts[PL_Bucket])</f>
        <v>Revenue</v>
      </c>
      <c r="T1269" s="25">
        <f t="shared" si="19"/>
        <v>66700</v>
      </c>
    </row>
    <row r="1270" spans="1:20">
      <c r="A1270" t="s">
        <v>3373</v>
      </c>
      <c r="B1270" s="7">
        <v>45920</v>
      </c>
      <c r="C1270" t="s">
        <v>93</v>
      </c>
      <c r="D1270" t="s">
        <v>111</v>
      </c>
      <c r="E1270" t="s">
        <v>119</v>
      </c>
      <c r="F1270" s="12" t="s">
        <v>24</v>
      </c>
      <c r="G1270" t="s">
        <v>25</v>
      </c>
      <c r="H1270" t="s">
        <v>3374</v>
      </c>
      <c r="I1270" t="s">
        <v>71</v>
      </c>
      <c r="J1270" s="6">
        <v>65600</v>
      </c>
      <c r="K1270" t="s">
        <v>3</v>
      </c>
      <c r="L1270" t="s">
        <v>3370</v>
      </c>
      <c r="M1270" t="s">
        <v>3</v>
      </c>
      <c r="N1270" s="25" t="str">
        <f>TEXT(tbl_Ledger[[#This Row],[Date]],"yyyy-mm")</f>
        <v>2025-09</v>
      </c>
      <c r="O1270" s="25" t="str">
        <f>TEXT(tbl_Ledger[[#This Row],[Date]],"yyyy-mm") &amp; TRIM(tbl_Ledger[[#This Row],[Currency]])</f>
        <v>2025-09NGN</v>
      </c>
      <c r="P1270" s="25">
        <f>_xlfn.XLOOKUP(tbl_Ledger[[#This Row],[Key]], tbl_FX[Key], tbl_FX[Rate_to_NGN])</f>
        <v>1</v>
      </c>
      <c r="Q1270" s="37">
        <f>IF(tbl_Ledger[[#This Row],[Account_Type]]="Expense",-ABS(tbl_Ledger[[#This Row],[Amount]]*tbl_Ledger[[#This Row],[Rate_to_NGN]]),tbl_Ledger[[#This Row],[Amount]]*tbl_Ledger[[#This Row],[Rate_to_NGN]])</f>
        <v>65600</v>
      </c>
      <c r="R1270" s="25" t="str">
        <f>_xlfn.XLOOKUP(tbl_Ledger[[#This Row],[Account_Code]], tbl_Accounts[Account_Code], tbl_Accounts[Type])</f>
        <v>Revenue</v>
      </c>
      <c r="S1270" s="25" t="str">
        <f>_xlfn.XLOOKUP(tbl_Ledger[[#This Row],[Account_Code]], tbl_Accounts[Account_Code], tbl_Accounts[PL_Bucket])</f>
        <v>Revenue</v>
      </c>
      <c r="T1270" s="25">
        <f t="shared" si="19"/>
        <v>65600</v>
      </c>
    </row>
    <row r="1271" spans="1:20">
      <c r="A1271" t="s">
        <v>3375</v>
      </c>
      <c r="B1271" s="7">
        <v>45920</v>
      </c>
      <c r="C1271" t="s">
        <v>93</v>
      </c>
      <c r="D1271" t="s">
        <v>111</v>
      </c>
      <c r="E1271" t="s">
        <v>170</v>
      </c>
      <c r="F1271" s="12" t="s">
        <v>24</v>
      </c>
      <c r="G1271" t="s">
        <v>25</v>
      </c>
      <c r="H1271" t="s">
        <v>3376</v>
      </c>
      <c r="I1271" t="s">
        <v>71</v>
      </c>
      <c r="J1271" s="6">
        <v>63300</v>
      </c>
      <c r="K1271" t="s">
        <v>3</v>
      </c>
      <c r="L1271" t="s">
        <v>3370</v>
      </c>
      <c r="M1271" t="s">
        <v>3</v>
      </c>
      <c r="N1271" s="25" t="str">
        <f>TEXT(tbl_Ledger[[#This Row],[Date]],"yyyy-mm")</f>
        <v>2025-09</v>
      </c>
      <c r="O1271" s="25" t="str">
        <f>TEXT(tbl_Ledger[[#This Row],[Date]],"yyyy-mm") &amp; TRIM(tbl_Ledger[[#This Row],[Currency]])</f>
        <v>2025-09NGN</v>
      </c>
      <c r="P1271" s="25">
        <f>_xlfn.XLOOKUP(tbl_Ledger[[#This Row],[Key]], tbl_FX[Key], tbl_FX[Rate_to_NGN])</f>
        <v>1</v>
      </c>
      <c r="Q1271" s="37">
        <f>IF(tbl_Ledger[[#This Row],[Account_Type]]="Expense",-ABS(tbl_Ledger[[#This Row],[Amount]]*tbl_Ledger[[#This Row],[Rate_to_NGN]]),tbl_Ledger[[#This Row],[Amount]]*tbl_Ledger[[#This Row],[Rate_to_NGN]])</f>
        <v>63300</v>
      </c>
      <c r="R1271" s="25" t="str">
        <f>_xlfn.XLOOKUP(tbl_Ledger[[#This Row],[Account_Code]], tbl_Accounts[Account_Code], tbl_Accounts[Type])</f>
        <v>Revenue</v>
      </c>
      <c r="S1271" s="25" t="str">
        <f>_xlfn.XLOOKUP(tbl_Ledger[[#This Row],[Account_Code]], tbl_Accounts[Account_Code], tbl_Accounts[PL_Bucket])</f>
        <v>Revenue</v>
      </c>
      <c r="T1271" s="25">
        <f t="shared" si="19"/>
        <v>63300</v>
      </c>
    </row>
    <row r="1272" spans="1:20">
      <c r="A1272" t="s">
        <v>3377</v>
      </c>
      <c r="B1272" s="7">
        <v>45920</v>
      </c>
      <c r="C1272" t="s">
        <v>126</v>
      </c>
      <c r="D1272" t="s">
        <v>88</v>
      </c>
      <c r="E1272" t="s">
        <v>127</v>
      </c>
      <c r="F1272" s="12" t="s">
        <v>29</v>
      </c>
      <c r="G1272" t="s">
        <v>30</v>
      </c>
      <c r="H1272" t="s">
        <v>3378</v>
      </c>
      <c r="I1272" t="s">
        <v>71</v>
      </c>
      <c r="J1272" s="6">
        <v>54700</v>
      </c>
      <c r="K1272" t="s">
        <v>129</v>
      </c>
      <c r="L1272" t="s">
        <v>3379</v>
      </c>
      <c r="M1272" t="s">
        <v>3</v>
      </c>
      <c r="N1272" s="25" t="str">
        <f>TEXT(tbl_Ledger[[#This Row],[Date]],"yyyy-mm")</f>
        <v>2025-09</v>
      </c>
      <c r="O1272" s="25" t="str">
        <f>TEXT(tbl_Ledger[[#This Row],[Date]],"yyyy-mm") &amp; TRIM(tbl_Ledger[[#This Row],[Currency]])</f>
        <v>2025-09NGN</v>
      </c>
      <c r="P1272" s="25">
        <f>_xlfn.XLOOKUP(tbl_Ledger[[#This Row],[Key]], tbl_FX[Key], tbl_FX[Rate_to_NGN])</f>
        <v>1</v>
      </c>
      <c r="Q1272" s="37">
        <f>IF(tbl_Ledger[[#This Row],[Account_Type]]="Expense",-ABS(tbl_Ledger[[#This Row],[Amount]]*tbl_Ledger[[#This Row],[Rate_to_NGN]]),tbl_Ledger[[#This Row],[Amount]]*tbl_Ledger[[#This Row],[Rate_to_NGN]])</f>
        <v>54700</v>
      </c>
      <c r="R1272" s="25" t="str">
        <f>_xlfn.XLOOKUP(tbl_Ledger[[#This Row],[Account_Code]], tbl_Accounts[Account_Code], tbl_Accounts[Type])</f>
        <v>Revenue</v>
      </c>
      <c r="S1272" s="25" t="str">
        <f>_xlfn.XLOOKUP(tbl_Ledger[[#This Row],[Account_Code]], tbl_Accounts[Account_Code], tbl_Accounts[PL_Bucket])</f>
        <v>Revenue</v>
      </c>
      <c r="T1272" s="25">
        <f t="shared" si="19"/>
        <v>54700</v>
      </c>
    </row>
    <row r="1273" spans="1:20">
      <c r="A1273" t="s">
        <v>3380</v>
      </c>
      <c r="B1273" s="7">
        <v>45920</v>
      </c>
      <c r="C1273" t="s">
        <v>126</v>
      </c>
      <c r="D1273" t="s">
        <v>88</v>
      </c>
      <c r="E1273" t="s">
        <v>132</v>
      </c>
      <c r="F1273" s="12" t="s">
        <v>29</v>
      </c>
      <c r="G1273" t="s">
        <v>30</v>
      </c>
      <c r="H1273" t="s">
        <v>3381</v>
      </c>
      <c r="I1273" t="s">
        <v>72</v>
      </c>
      <c r="J1273" s="6">
        <v>34.39</v>
      </c>
      <c r="K1273" t="s">
        <v>134</v>
      </c>
      <c r="L1273" t="s">
        <v>3379</v>
      </c>
      <c r="M1273" t="s">
        <v>3</v>
      </c>
      <c r="N1273" s="25" t="str">
        <f>TEXT(tbl_Ledger[[#This Row],[Date]],"yyyy-mm")</f>
        <v>2025-09</v>
      </c>
      <c r="O1273" s="25" t="str">
        <f>TEXT(tbl_Ledger[[#This Row],[Date]],"yyyy-mm") &amp; TRIM(tbl_Ledger[[#This Row],[Currency]])</f>
        <v>2025-09USD</v>
      </c>
      <c r="P1273" s="25">
        <f>_xlfn.XLOOKUP(tbl_Ledger[[#This Row],[Key]], tbl_FX[Key], tbl_FX[Rate_to_NGN])</f>
        <v>1611</v>
      </c>
      <c r="Q1273" s="37">
        <f>IF(tbl_Ledger[[#This Row],[Account_Type]]="Expense",-ABS(tbl_Ledger[[#This Row],[Amount]]*tbl_Ledger[[#This Row],[Rate_to_NGN]]),tbl_Ledger[[#This Row],[Amount]]*tbl_Ledger[[#This Row],[Rate_to_NGN]])</f>
        <v>55402.29</v>
      </c>
      <c r="R1273" s="25" t="str">
        <f>_xlfn.XLOOKUP(tbl_Ledger[[#This Row],[Account_Code]], tbl_Accounts[Account_Code], tbl_Accounts[Type])</f>
        <v>Revenue</v>
      </c>
      <c r="S1273" s="25" t="str">
        <f>_xlfn.XLOOKUP(tbl_Ledger[[#This Row],[Account_Code]], tbl_Accounts[Account_Code], tbl_Accounts[PL_Bucket])</f>
        <v>Revenue</v>
      </c>
      <c r="T1273" s="25">
        <f t="shared" si="19"/>
        <v>55402.29</v>
      </c>
    </row>
    <row r="1274" spans="1:20">
      <c r="A1274" t="s">
        <v>3382</v>
      </c>
      <c r="B1274" s="7">
        <v>45920</v>
      </c>
      <c r="C1274" t="s">
        <v>126</v>
      </c>
      <c r="D1274" t="s">
        <v>88</v>
      </c>
      <c r="E1274" t="s">
        <v>136</v>
      </c>
      <c r="F1274" s="12" t="s">
        <v>29</v>
      </c>
      <c r="G1274" t="s">
        <v>30</v>
      </c>
      <c r="H1274" t="s">
        <v>3383</v>
      </c>
      <c r="I1274" t="s">
        <v>72</v>
      </c>
      <c r="J1274" s="6">
        <v>29.92</v>
      </c>
      <c r="K1274" t="s">
        <v>138</v>
      </c>
      <c r="L1274" t="s">
        <v>3379</v>
      </c>
      <c r="M1274" t="s">
        <v>3</v>
      </c>
      <c r="N1274" s="25" t="str">
        <f>TEXT(tbl_Ledger[[#This Row],[Date]],"yyyy-mm")</f>
        <v>2025-09</v>
      </c>
      <c r="O1274" s="25" t="str">
        <f>TEXT(tbl_Ledger[[#This Row],[Date]],"yyyy-mm") &amp; TRIM(tbl_Ledger[[#This Row],[Currency]])</f>
        <v>2025-09USD</v>
      </c>
      <c r="P1274" s="25">
        <f>_xlfn.XLOOKUP(tbl_Ledger[[#This Row],[Key]], tbl_FX[Key], tbl_FX[Rate_to_NGN])</f>
        <v>1611</v>
      </c>
      <c r="Q1274" s="37">
        <f>IF(tbl_Ledger[[#This Row],[Account_Type]]="Expense",-ABS(tbl_Ledger[[#This Row],[Amount]]*tbl_Ledger[[#This Row],[Rate_to_NGN]]),tbl_Ledger[[#This Row],[Amount]]*tbl_Ledger[[#This Row],[Rate_to_NGN]])</f>
        <v>48201.120000000003</v>
      </c>
      <c r="R1274" s="25" t="str">
        <f>_xlfn.XLOOKUP(tbl_Ledger[[#This Row],[Account_Code]], tbl_Accounts[Account_Code], tbl_Accounts[Type])</f>
        <v>Revenue</v>
      </c>
      <c r="S1274" s="25" t="str">
        <f>_xlfn.XLOOKUP(tbl_Ledger[[#This Row],[Account_Code]], tbl_Accounts[Account_Code], tbl_Accounts[PL_Bucket])</f>
        <v>Revenue</v>
      </c>
      <c r="T1274" s="25">
        <f t="shared" si="19"/>
        <v>48201.120000000003</v>
      </c>
    </row>
    <row r="1275" spans="1:20">
      <c r="A1275" t="s">
        <v>3384</v>
      </c>
      <c r="B1275" s="7">
        <v>45920</v>
      </c>
      <c r="C1275" t="s">
        <v>87</v>
      </c>
      <c r="D1275" t="s">
        <v>111</v>
      </c>
      <c r="E1275" t="s">
        <v>3</v>
      </c>
      <c r="F1275" s="12" t="s">
        <v>36</v>
      </c>
      <c r="G1275" t="s">
        <v>37</v>
      </c>
      <c r="H1275" t="s">
        <v>2732</v>
      </c>
      <c r="I1275" t="s">
        <v>71</v>
      </c>
      <c r="J1275" s="6">
        <v>-653000</v>
      </c>
      <c r="K1275" t="s">
        <v>195</v>
      </c>
      <c r="L1275" t="s">
        <v>3385</v>
      </c>
      <c r="M1275" t="s">
        <v>3</v>
      </c>
      <c r="N1275" s="25" t="str">
        <f>TEXT(tbl_Ledger[[#This Row],[Date]],"yyyy-mm")</f>
        <v>2025-09</v>
      </c>
      <c r="O1275" s="25" t="str">
        <f>TEXT(tbl_Ledger[[#This Row],[Date]],"yyyy-mm") &amp; TRIM(tbl_Ledger[[#This Row],[Currency]])</f>
        <v>2025-09NGN</v>
      </c>
      <c r="P1275" s="25">
        <f>_xlfn.XLOOKUP(tbl_Ledger[[#This Row],[Key]], tbl_FX[Key], tbl_FX[Rate_to_NGN])</f>
        <v>1</v>
      </c>
      <c r="Q1275" s="37">
        <f>IF(tbl_Ledger[[#This Row],[Account_Type]]="Expense",-ABS(tbl_Ledger[[#This Row],[Amount]]*tbl_Ledger[[#This Row],[Rate_to_NGN]]),tbl_Ledger[[#This Row],[Amount]]*tbl_Ledger[[#This Row],[Rate_to_NGN]])</f>
        <v>-653000</v>
      </c>
      <c r="R1275" s="25" t="str">
        <f>_xlfn.XLOOKUP(tbl_Ledger[[#This Row],[Account_Code]], tbl_Accounts[Account_Code], tbl_Accounts[Type])</f>
        <v>COGS</v>
      </c>
      <c r="S1275" s="25" t="str">
        <f>_xlfn.XLOOKUP(tbl_Ledger[[#This Row],[Account_Code]], tbl_Accounts[Account_Code], tbl_Accounts[PL_Bucket])</f>
        <v>COGS</v>
      </c>
      <c r="T1275" s="25">
        <f t="shared" si="19"/>
        <v>-653000</v>
      </c>
    </row>
    <row r="1276" spans="1:20">
      <c r="A1276" t="s">
        <v>3386</v>
      </c>
      <c r="B1276" s="7">
        <v>45921</v>
      </c>
      <c r="C1276" t="s">
        <v>93</v>
      </c>
      <c r="D1276" t="s">
        <v>94</v>
      </c>
      <c r="E1276" t="s">
        <v>95</v>
      </c>
      <c r="F1276" s="12" t="s">
        <v>24</v>
      </c>
      <c r="G1276" t="s">
        <v>25</v>
      </c>
      <c r="H1276" t="s">
        <v>3387</v>
      </c>
      <c r="I1276" t="s">
        <v>71</v>
      </c>
      <c r="J1276" s="6">
        <v>38200</v>
      </c>
      <c r="K1276" t="s">
        <v>3</v>
      </c>
      <c r="L1276" t="s">
        <v>3388</v>
      </c>
      <c r="M1276" t="s">
        <v>3</v>
      </c>
      <c r="N1276" s="25" t="str">
        <f>TEXT(tbl_Ledger[[#This Row],[Date]],"yyyy-mm")</f>
        <v>2025-09</v>
      </c>
      <c r="O1276" s="25" t="str">
        <f>TEXT(tbl_Ledger[[#This Row],[Date]],"yyyy-mm") &amp; TRIM(tbl_Ledger[[#This Row],[Currency]])</f>
        <v>2025-09NGN</v>
      </c>
      <c r="P1276" s="25">
        <f>_xlfn.XLOOKUP(tbl_Ledger[[#This Row],[Key]], tbl_FX[Key], tbl_FX[Rate_to_NGN])</f>
        <v>1</v>
      </c>
      <c r="Q1276" s="37">
        <f>IF(tbl_Ledger[[#This Row],[Account_Type]]="Expense",-ABS(tbl_Ledger[[#This Row],[Amount]]*tbl_Ledger[[#This Row],[Rate_to_NGN]]),tbl_Ledger[[#This Row],[Amount]]*tbl_Ledger[[#This Row],[Rate_to_NGN]])</f>
        <v>38200</v>
      </c>
      <c r="R1276" s="25" t="str">
        <f>_xlfn.XLOOKUP(tbl_Ledger[[#This Row],[Account_Code]], tbl_Accounts[Account_Code], tbl_Accounts[Type])</f>
        <v>Revenue</v>
      </c>
      <c r="S1276" s="25" t="str">
        <f>_xlfn.XLOOKUP(tbl_Ledger[[#This Row],[Account_Code]], tbl_Accounts[Account_Code], tbl_Accounts[PL_Bucket])</f>
        <v>Revenue</v>
      </c>
      <c r="T1276" s="25">
        <f t="shared" si="19"/>
        <v>38200</v>
      </c>
    </row>
    <row r="1277" spans="1:20">
      <c r="A1277" t="s">
        <v>3389</v>
      </c>
      <c r="B1277" s="7">
        <v>45921</v>
      </c>
      <c r="C1277" t="s">
        <v>93</v>
      </c>
      <c r="D1277" t="s">
        <v>94</v>
      </c>
      <c r="E1277" t="s">
        <v>99</v>
      </c>
      <c r="F1277" s="12" t="s">
        <v>24</v>
      </c>
      <c r="G1277" t="s">
        <v>25</v>
      </c>
      <c r="H1277" t="s">
        <v>3390</v>
      </c>
      <c r="I1277" t="s">
        <v>71</v>
      </c>
      <c r="J1277" s="6">
        <v>36100</v>
      </c>
      <c r="K1277" t="s">
        <v>3</v>
      </c>
      <c r="L1277" t="s">
        <v>3391</v>
      </c>
      <c r="M1277" t="s">
        <v>3</v>
      </c>
      <c r="N1277" s="25" t="str">
        <f>TEXT(tbl_Ledger[[#This Row],[Date]],"yyyy-mm")</f>
        <v>2025-09</v>
      </c>
      <c r="O1277" s="25" t="str">
        <f>TEXT(tbl_Ledger[[#This Row],[Date]],"yyyy-mm") &amp; TRIM(tbl_Ledger[[#This Row],[Currency]])</f>
        <v>2025-09NGN</v>
      </c>
      <c r="P1277" s="25">
        <f>_xlfn.XLOOKUP(tbl_Ledger[[#This Row],[Key]], tbl_FX[Key], tbl_FX[Rate_to_NGN])</f>
        <v>1</v>
      </c>
      <c r="Q1277" s="37">
        <f>IF(tbl_Ledger[[#This Row],[Account_Type]]="Expense",-ABS(tbl_Ledger[[#This Row],[Amount]]*tbl_Ledger[[#This Row],[Rate_to_NGN]]),tbl_Ledger[[#This Row],[Amount]]*tbl_Ledger[[#This Row],[Rate_to_NGN]])</f>
        <v>36100</v>
      </c>
      <c r="R1277" s="25" t="str">
        <f>_xlfn.XLOOKUP(tbl_Ledger[[#This Row],[Account_Code]], tbl_Accounts[Account_Code], tbl_Accounts[Type])</f>
        <v>Revenue</v>
      </c>
      <c r="S1277" s="25" t="str">
        <f>_xlfn.XLOOKUP(tbl_Ledger[[#This Row],[Account_Code]], tbl_Accounts[Account_Code], tbl_Accounts[PL_Bucket])</f>
        <v>Revenue</v>
      </c>
      <c r="T1277" s="25">
        <f t="shared" si="19"/>
        <v>36100</v>
      </c>
    </row>
    <row r="1278" spans="1:20">
      <c r="A1278" t="s">
        <v>3392</v>
      </c>
      <c r="B1278" s="7">
        <v>45921</v>
      </c>
      <c r="C1278" t="s">
        <v>93</v>
      </c>
      <c r="D1278" t="s">
        <v>94</v>
      </c>
      <c r="E1278" t="s">
        <v>103</v>
      </c>
      <c r="F1278" s="12" t="s">
        <v>24</v>
      </c>
      <c r="G1278" t="s">
        <v>25</v>
      </c>
      <c r="H1278" t="s">
        <v>3393</v>
      </c>
      <c r="I1278" t="s">
        <v>71</v>
      </c>
      <c r="J1278" s="6">
        <v>35600</v>
      </c>
      <c r="K1278" t="s">
        <v>3</v>
      </c>
      <c r="L1278" t="s">
        <v>3394</v>
      </c>
      <c r="M1278" t="s">
        <v>3</v>
      </c>
      <c r="N1278" s="25" t="str">
        <f>TEXT(tbl_Ledger[[#This Row],[Date]],"yyyy-mm")</f>
        <v>2025-09</v>
      </c>
      <c r="O1278" s="25" t="str">
        <f>TEXT(tbl_Ledger[[#This Row],[Date]],"yyyy-mm") &amp; TRIM(tbl_Ledger[[#This Row],[Currency]])</f>
        <v>2025-09NGN</v>
      </c>
      <c r="P1278" s="25">
        <f>_xlfn.XLOOKUP(tbl_Ledger[[#This Row],[Key]], tbl_FX[Key], tbl_FX[Rate_to_NGN])</f>
        <v>1</v>
      </c>
      <c r="Q1278" s="37">
        <f>IF(tbl_Ledger[[#This Row],[Account_Type]]="Expense",-ABS(tbl_Ledger[[#This Row],[Amount]]*tbl_Ledger[[#This Row],[Rate_to_NGN]]),tbl_Ledger[[#This Row],[Amount]]*tbl_Ledger[[#This Row],[Rate_to_NGN]])</f>
        <v>35600</v>
      </c>
      <c r="R1278" s="25" t="str">
        <f>_xlfn.XLOOKUP(tbl_Ledger[[#This Row],[Account_Code]], tbl_Accounts[Account_Code], tbl_Accounts[Type])</f>
        <v>Revenue</v>
      </c>
      <c r="S1278" s="25" t="str">
        <f>_xlfn.XLOOKUP(tbl_Ledger[[#This Row],[Account_Code]], tbl_Accounts[Account_Code], tbl_Accounts[PL_Bucket])</f>
        <v>Revenue</v>
      </c>
      <c r="T1278" s="25">
        <f t="shared" si="19"/>
        <v>35600</v>
      </c>
    </row>
    <row r="1279" spans="1:20">
      <c r="A1279" t="s">
        <v>3395</v>
      </c>
      <c r="B1279" s="7">
        <v>45921</v>
      </c>
      <c r="C1279" t="s">
        <v>93</v>
      </c>
      <c r="D1279" t="s">
        <v>94</v>
      </c>
      <c r="E1279" t="s">
        <v>160</v>
      </c>
      <c r="F1279" s="12" t="s">
        <v>24</v>
      </c>
      <c r="G1279" t="s">
        <v>25</v>
      </c>
      <c r="H1279" t="s">
        <v>3396</v>
      </c>
      <c r="I1279" t="s">
        <v>71</v>
      </c>
      <c r="J1279" s="6">
        <v>39200</v>
      </c>
      <c r="K1279" t="s">
        <v>3</v>
      </c>
      <c r="L1279" t="s">
        <v>3394</v>
      </c>
      <c r="M1279" t="s">
        <v>3</v>
      </c>
      <c r="N1279" s="25" t="str">
        <f>TEXT(tbl_Ledger[[#This Row],[Date]],"yyyy-mm")</f>
        <v>2025-09</v>
      </c>
      <c r="O1279" s="25" t="str">
        <f>TEXT(tbl_Ledger[[#This Row],[Date]],"yyyy-mm") &amp; TRIM(tbl_Ledger[[#This Row],[Currency]])</f>
        <v>2025-09NGN</v>
      </c>
      <c r="P1279" s="25">
        <f>_xlfn.XLOOKUP(tbl_Ledger[[#This Row],[Key]], tbl_FX[Key], tbl_FX[Rate_to_NGN])</f>
        <v>1</v>
      </c>
      <c r="Q1279" s="37">
        <f>IF(tbl_Ledger[[#This Row],[Account_Type]]="Expense",-ABS(tbl_Ledger[[#This Row],[Amount]]*tbl_Ledger[[#This Row],[Rate_to_NGN]]),tbl_Ledger[[#This Row],[Amount]]*tbl_Ledger[[#This Row],[Rate_to_NGN]])</f>
        <v>39200</v>
      </c>
      <c r="R1279" s="25" t="str">
        <f>_xlfn.XLOOKUP(tbl_Ledger[[#This Row],[Account_Code]], tbl_Accounts[Account_Code], tbl_Accounts[Type])</f>
        <v>Revenue</v>
      </c>
      <c r="S1279" s="25" t="str">
        <f>_xlfn.XLOOKUP(tbl_Ledger[[#This Row],[Account_Code]], tbl_Accounts[Account_Code], tbl_Accounts[PL_Bucket])</f>
        <v>Revenue</v>
      </c>
      <c r="T1279" s="25">
        <f t="shared" si="19"/>
        <v>39200</v>
      </c>
    </row>
    <row r="1280" spans="1:20">
      <c r="A1280" t="s">
        <v>3397</v>
      </c>
      <c r="B1280" s="7">
        <v>45921</v>
      </c>
      <c r="C1280" t="s">
        <v>93</v>
      </c>
      <c r="D1280" t="s">
        <v>94</v>
      </c>
      <c r="E1280" t="s">
        <v>107</v>
      </c>
      <c r="F1280" s="12" t="s">
        <v>24</v>
      </c>
      <c r="G1280" t="s">
        <v>25</v>
      </c>
      <c r="H1280" t="s">
        <v>3398</v>
      </c>
      <c r="I1280" t="s">
        <v>71</v>
      </c>
      <c r="J1280" s="6">
        <v>39800</v>
      </c>
      <c r="K1280" t="s">
        <v>3</v>
      </c>
      <c r="L1280" t="s">
        <v>3399</v>
      </c>
      <c r="M1280" t="s">
        <v>3</v>
      </c>
      <c r="N1280" s="25" t="str">
        <f>TEXT(tbl_Ledger[[#This Row],[Date]],"yyyy-mm")</f>
        <v>2025-09</v>
      </c>
      <c r="O1280" s="25" t="str">
        <f>TEXT(tbl_Ledger[[#This Row],[Date]],"yyyy-mm") &amp; TRIM(tbl_Ledger[[#This Row],[Currency]])</f>
        <v>2025-09NGN</v>
      </c>
      <c r="P1280" s="25">
        <f>_xlfn.XLOOKUP(tbl_Ledger[[#This Row],[Key]], tbl_FX[Key], tbl_FX[Rate_to_NGN])</f>
        <v>1</v>
      </c>
      <c r="Q1280" s="37">
        <f>IF(tbl_Ledger[[#This Row],[Account_Type]]="Expense",-ABS(tbl_Ledger[[#This Row],[Amount]]*tbl_Ledger[[#This Row],[Rate_to_NGN]]),tbl_Ledger[[#This Row],[Amount]]*tbl_Ledger[[#This Row],[Rate_to_NGN]])</f>
        <v>39800</v>
      </c>
      <c r="R1280" s="25" t="str">
        <f>_xlfn.XLOOKUP(tbl_Ledger[[#This Row],[Account_Code]], tbl_Accounts[Account_Code], tbl_Accounts[Type])</f>
        <v>Revenue</v>
      </c>
      <c r="S1280" s="25" t="str">
        <f>_xlfn.XLOOKUP(tbl_Ledger[[#This Row],[Account_Code]], tbl_Accounts[Account_Code], tbl_Accounts[PL_Bucket])</f>
        <v>Revenue</v>
      </c>
      <c r="T1280" s="25">
        <f t="shared" si="19"/>
        <v>39800</v>
      </c>
    </row>
    <row r="1281" spans="1:20">
      <c r="A1281" t="s">
        <v>3400</v>
      </c>
      <c r="B1281" s="7">
        <v>45921</v>
      </c>
      <c r="C1281" t="s">
        <v>93</v>
      </c>
      <c r="D1281" t="s">
        <v>111</v>
      </c>
      <c r="E1281" t="s">
        <v>112</v>
      </c>
      <c r="F1281" s="12" t="s">
        <v>24</v>
      </c>
      <c r="G1281" t="s">
        <v>25</v>
      </c>
      <c r="H1281" t="s">
        <v>3401</v>
      </c>
      <c r="I1281" t="s">
        <v>71</v>
      </c>
      <c r="J1281" s="6">
        <v>63600</v>
      </c>
      <c r="K1281" t="s">
        <v>3</v>
      </c>
      <c r="L1281" t="s">
        <v>3402</v>
      </c>
      <c r="M1281" t="s">
        <v>3</v>
      </c>
      <c r="N1281" s="25" t="str">
        <f>TEXT(tbl_Ledger[[#This Row],[Date]],"yyyy-mm")</f>
        <v>2025-09</v>
      </c>
      <c r="O1281" s="25" t="str">
        <f>TEXT(tbl_Ledger[[#This Row],[Date]],"yyyy-mm") &amp; TRIM(tbl_Ledger[[#This Row],[Currency]])</f>
        <v>2025-09NGN</v>
      </c>
      <c r="P1281" s="25">
        <f>_xlfn.XLOOKUP(tbl_Ledger[[#This Row],[Key]], tbl_FX[Key], tbl_FX[Rate_to_NGN])</f>
        <v>1</v>
      </c>
      <c r="Q1281" s="37">
        <f>IF(tbl_Ledger[[#This Row],[Account_Type]]="Expense",-ABS(tbl_Ledger[[#This Row],[Amount]]*tbl_Ledger[[#This Row],[Rate_to_NGN]]),tbl_Ledger[[#This Row],[Amount]]*tbl_Ledger[[#This Row],[Rate_to_NGN]])</f>
        <v>63600</v>
      </c>
      <c r="R1281" s="25" t="str">
        <f>_xlfn.XLOOKUP(tbl_Ledger[[#This Row],[Account_Code]], tbl_Accounts[Account_Code], tbl_Accounts[Type])</f>
        <v>Revenue</v>
      </c>
      <c r="S1281" s="25" t="str">
        <f>_xlfn.XLOOKUP(tbl_Ledger[[#This Row],[Account_Code]], tbl_Accounts[Account_Code], tbl_Accounts[PL_Bucket])</f>
        <v>Revenue</v>
      </c>
      <c r="T1281" s="25">
        <f t="shared" si="19"/>
        <v>63600</v>
      </c>
    </row>
    <row r="1282" spans="1:20">
      <c r="A1282" t="s">
        <v>3403</v>
      </c>
      <c r="B1282" s="7">
        <v>45921</v>
      </c>
      <c r="C1282" t="s">
        <v>93</v>
      </c>
      <c r="D1282" t="s">
        <v>111</v>
      </c>
      <c r="E1282" t="s">
        <v>116</v>
      </c>
      <c r="F1282" s="12" t="s">
        <v>24</v>
      </c>
      <c r="G1282" t="s">
        <v>25</v>
      </c>
      <c r="H1282" t="s">
        <v>3404</v>
      </c>
      <c r="I1282" t="s">
        <v>71</v>
      </c>
      <c r="J1282" s="6">
        <v>59700</v>
      </c>
      <c r="K1282" t="s">
        <v>3</v>
      </c>
      <c r="L1282" t="s">
        <v>3402</v>
      </c>
      <c r="M1282" t="s">
        <v>3</v>
      </c>
      <c r="N1282" s="25" t="str">
        <f>TEXT(tbl_Ledger[[#This Row],[Date]],"yyyy-mm")</f>
        <v>2025-09</v>
      </c>
      <c r="O1282" s="25" t="str">
        <f>TEXT(tbl_Ledger[[#This Row],[Date]],"yyyy-mm") &amp; TRIM(tbl_Ledger[[#This Row],[Currency]])</f>
        <v>2025-09NGN</v>
      </c>
      <c r="P1282" s="25">
        <f>_xlfn.XLOOKUP(tbl_Ledger[[#This Row],[Key]], tbl_FX[Key], tbl_FX[Rate_to_NGN])</f>
        <v>1</v>
      </c>
      <c r="Q1282" s="37">
        <f>IF(tbl_Ledger[[#This Row],[Account_Type]]="Expense",-ABS(tbl_Ledger[[#This Row],[Amount]]*tbl_Ledger[[#This Row],[Rate_to_NGN]]),tbl_Ledger[[#This Row],[Amount]]*tbl_Ledger[[#This Row],[Rate_to_NGN]])</f>
        <v>59700</v>
      </c>
      <c r="R1282" s="25" t="str">
        <f>_xlfn.XLOOKUP(tbl_Ledger[[#This Row],[Account_Code]], tbl_Accounts[Account_Code], tbl_Accounts[Type])</f>
        <v>Revenue</v>
      </c>
      <c r="S1282" s="25" t="str">
        <f>_xlfn.XLOOKUP(tbl_Ledger[[#This Row],[Account_Code]], tbl_Accounts[Account_Code], tbl_Accounts[PL_Bucket])</f>
        <v>Revenue</v>
      </c>
      <c r="T1282" s="25">
        <f t="shared" ref="T1282:T1345" si="20">IF(AND(S1282="Revenue",F1282&lt;&gt;4900),ABS(Q1282),-ABS(Q1282))</f>
        <v>59700</v>
      </c>
    </row>
    <row r="1283" spans="1:20">
      <c r="A1283" t="s">
        <v>3405</v>
      </c>
      <c r="B1283" s="7">
        <v>45921</v>
      </c>
      <c r="C1283" t="s">
        <v>93</v>
      </c>
      <c r="D1283" t="s">
        <v>111</v>
      </c>
      <c r="E1283" t="s">
        <v>119</v>
      </c>
      <c r="F1283" s="12" t="s">
        <v>24</v>
      </c>
      <c r="G1283" t="s">
        <v>25</v>
      </c>
      <c r="H1283" t="s">
        <v>3406</v>
      </c>
      <c r="I1283" t="s">
        <v>71</v>
      </c>
      <c r="J1283" s="6">
        <v>59300</v>
      </c>
      <c r="K1283" t="s">
        <v>3</v>
      </c>
      <c r="L1283" t="s">
        <v>3402</v>
      </c>
      <c r="M1283" t="s">
        <v>3</v>
      </c>
      <c r="N1283" s="25" t="str">
        <f>TEXT(tbl_Ledger[[#This Row],[Date]],"yyyy-mm")</f>
        <v>2025-09</v>
      </c>
      <c r="O1283" s="25" t="str">
        <f>TEXT(tbl_Ledger[[#This Row],[Date]],"yyyy-mm") &amp; TRIM(tbl_Ledger[[#This Row],[Currency]])</f>
        <v>2025-09NGN</v>
      </c>
      <c r="P1283" s="25">
        <f>_xlfn.XLOOKUP(tbl_Ledger[[#This Row],[Key]], tbl_FX[Key], tbl_FX[Rate_to_NGN])</f>
        <v>1</v>
      </c>
      <c r="Q1283" s="37">
        <f>IF(tbl_Ledger[[#This Row],[Account_Type]]="Expense",-ABS(tbl_Ledger[[#This Row],[Amount]]*tbl_Ledger[[#This Row],[Rate_to_NGN]]),tbl_Ledger[[#This Row],[Amount]]*tbl_Ledger[[#This Row],[Rate_to_NGN]])</f>
        <v>59300</v>
      </c>
      <c r="R1283" s="25" t="str">
        <f>_xlfn.XLOOKUP(tbl_Ledger[[#This Row],[Account_Code]], tbl_Accounts[Account_Code], tbl_Accounts[Type])</f>
        <v>Revenue</v>
      </c>
      <c r="S1283" s="25" t="str">
        <f>_xlfn.XLOOKUP(tbl_Ledger[[#This Row],[Account_Code]], tbl_Accounts[Account_Code], tbl_Accounts[PL_Bucket])</f>
        <v>Revenue</v>
      </c>
      <c r="T1283" s="25">
        <f t="shared" si="20"/>
        <v>59300</v>
      </c>
    </row>
    <row r="1284" spans="1:20">
      <c r="A1284" t="s">
        <v>3407</v>
      </c>
      <c r="B1284" s="7">
        <v>45921</v>
      </c>
      <c r="C1284" t="s">
        <v>93</v>
      </c>
      <c r="D1284" t="s">
        <v>111</v>
      </c>
      <c r="E1284" t="s">
        <v>170</v>
      </c>
      <c r="F1284" s="12" t="s">
        <v>24</v>
      </c>
      <c r="G1284" t="s">
        <v>25</v>
      </c>
      <c r="H1284" t="s">
        <v>3408</v>
      </c>
      <c r="I1284" t="s">
        <v>71</v>
      </c>
      <c r="J1284" s="6">
        <v>61500</v>
      </c>
      <c r="K1284" t="s">
        <v>3</v>
      </c>
      <c r="L1284" t="s">
        <v>3402</v>
      </c>
      <c r="M1284" t="s">
        <v>3</v>
      </c>
      <c r="N1284" s="25" t="str">
        <f>TEXT(tbl_Ledger[[#This Row],[Date]],"yyyy-mm")</f>
        <v>2025-09</v>
      </c>
      <c r="O1284" s="25" t="str">
        <f>TEXT(tbl_Ledger[[#This Row],[Date]],"yyyy-mm") &amp; TRIM(tbl_Ledger[[#This Row],[Currency]])</f>
        <v>2025-09NGN</v>
      </c>
      <c r="P1284" s="25">
        <f>_xlfn.XLOOKUP(tbl_Ledger[[#This Row],[Key]], tbl_FX[Key], tbl_FX[Rate_to_NGN])</f>
        <v>1</v>
      </c>
      <c r="Q1284" s="37">
        <f>IF(tbl_Ledger[[#This Row],[Account_Type]]="Expense",-ABS(tbl_Ledger[[#This Row],[Amount]]*tbl_Ledger[[#This Row],[Rate_to_NGN]]),tbl_Ledger[[#This Row],[Amount]]*tbl_Ledger[[#This Row],[Rate_to_NGN]])</f>
        <v>61500</v>
      </c>
      <c r="R1284" s="25" t="str">
        <f>_xlfn.XLOOKUP(tbl_Ledger[[#This Row],[Account_Code]], tbl_Accounts[Account_Code], tbl_Accounts[Type])</f>
        <v>Revenue</v>
      </c>
      <c r="S1284" s="25" t="str">
        <f>_xlfn.XLOOKUP(tbl_Ledger[[#This Row],[Account_Code]], tbl_Accounts[Account_Code], tbl_Accounts[PL_Bucket])</f>
        <v>Revenue</v>
      </c>
      <c r="T1284" s="25">
        <f t="shared" si="20"/>
        <v>61500</v>
      </c>
    </row>
    <row r="1285" spans="1:20">
      <c r="A1285" t="s">
        <v>3409</v>
      </c>
      <c r="B1285" s="7">
        <v>45921</v>
      </c>
      <c r="C1285" t="s">
        <v>93</v>
      </c>
      <c r="D1285" t="s">
        <v>111</v>
      </c>
      <c r="E1285" t="s">
        <v>122</v>
      </c>
      <c r="F1285" s="12" t="s">
        <v>24</v>
      </c>
      <c r="G1285" t="s">
        <v>25</v>
      </c>
      <c r="H1285" t="s">
        <v>3410</v>
      </c>
      <c r="I1285" t="s">
        <v>71</v>
      </c>
      <c r="J1285" s="6">
        <v>59800</v>
      </c>
      <c r="K1285" t="s">
        <v>3</v>
      </c>
      <c r="L1285" t="s">
        <v>3411</v>
      </c>
      <c r="M1285" t="s">
        <v>3</v>
      </c>
      <c r="N1285" s="25" t="str">
        <f>TEXT(tbl_Ledger[[#This Row],[Date]],"yyyy-mm")</f>
        <v>2025-09</v>
      </c>
      <c r="O1285" s="25" t="str">
        <f>TEXT(tbl_Ledger[[#This Row],[Date]],"yyyy-mm") &amp; TRIM(tbl_Ledger[[#This Row],[Currency]])</f>
        <v>2025-09NGN</v>
      </c>
      <c r="P1285" s="25">
        <f>_xlfn.XLOOKUP(tbl_Ledger[[#This Row],[Key]], tbl_FX[Key], tbl_FX[Rate_to_NGN])</f>
        <v>1</v>
      </c>
      <c r="Q1285" s="37">
        <f>IF(tbl_Ledger[[#This Row],[Account_Type]]="Expense",-ABS(tbl_Ledger[[#This Row],[Amount]]*tbl_Ledger[[#This Row],[Rate_to_NGN]]),tbl_Ledger[[#This Row],[Amount]]*tbl_Ledger[[#This Row],[Rate_to_NGN]])</f>
        <v>59800</v>
      </c>
      <c r="R1285" s="25" t="str">
        <f>_xlfn.XLOOKUP(tbl_Ledger[[#This Row],[Account_Code]], tbl_Accounts[Account_Code], tbl_Accounts[Type])</f>
        <v>Revenue</v>
      </c>
      <c r="S1285" s="25" t="str">
        <f>_xlfn.XLOOKUP(tbl_Ledger[[#This Row],[Account_Code]], tbl_Accounts[Account_Code], tbl_Accounts[PL_Bucket])</f>
        <v>Revenue</v>
      </c>
      <c r="T1285" s="25">
        <f t="shared" si="20"/>
        <v>59800</v>
      </c>
    </row>
    <row r="1286" spans="1:20">
      <c r="A1286" t="s">
        <v>3412</v>
      </c>
      <c r="B1286" s="7">
        <v>45921</v>
      </c>
      <c r="C1286" t="s">
        <v>126</v>
      </c>
      <c r="D1286" t="s">
        <v>88</v>
      </c>
      <c r="E1286" t="s">
        <v>127</v>
      </c>
      <c r="F1286" s="12" t="s">
        <v>29</v>
      </c>
      <c r="G1286" t="s">
        <v>30</v>
      </c>
      <c r="H1286" t="s">
        <v>3413</v>
      </c>
      <c r="I1286" t="s">
        <v>72</v>
      </c>
      <c r="J1286" s="6">
        <v>34.33</v>
      </c>
      <c r="K1286" t="s">
        <v>129</v>
      </c>
      <c r="L1286" t="s">
        <v>3414</v>
      </c>
      <c r="M1286" t="s">
        <v>3</v>
      </c>
      <c r="N1286" s="25" t="str">
        <f>TEXT(tbl_Ledger[[#This Row],[Date]],"yyyy-mm")</f>
        <v>2025-09</v>
      </c>
      <c r="O1286" s="25" t="str">
        <f>TEXT(tbl_Ledger[[#This Row],[Date]],"yyyy-mm") &amp; TRIM(tbl_Ledger[[#This Row],[Currency]])</f>
        <v>2025-09USD</v>
      </c>
      <c r="P1286" s="25">
        <f>_xlfn.XLOOKUP(tbl_Ledger[[#This Row],[Key]], tbl_FX[Key], tbl_FX[Rate_to_NGN])</f>
        <v>1611</v>
      </c>
      <c r="Q1286" s="37">
        <f>IF(tbl_Ledger[[#This Row],[Account_Type]]="Expense",-ABS(tbl_Ledger[[#This Row],[Amount]]*tbl_Ledger[[#This Row],[Rate_to_NGN]]),tbl_Ledger[[#This Row],[Amount]]*tbl_Ledger[[#This Row],[Rate_to_NGN]])</f>
        <v>55305.63</v>
      </c>
      <c r="R1286" s="25" t="str">
        <f>_xlfn.XLOOKUP(tbl_Ledger[[#This Row],[Account_Code]], tbl_Accounts[Account_Code], tbl_Accounts[Type])</f>
        <v>Revenue</v>
      </c>
      <c r="S1286" s="25" t="str">
        <f>_xlfn.XLOOKUP(tbl_Ledger[[#This Row],[Account_Code]], tbl_Accounts[Account_Code], tbl_Accounts[PL_Bucket])</f>
        <v>Revenue</v>
      </c>
      <c r="T1286" s="25">
        <f t="shared" si="20"/>
        <v>55305.63</v>
      </c>
    </row>
    <row r="1287" spans="1:20">
      <c r="A1287" t="s">
        <v>3415</v>
      </c>
      <c r="B1287" s="7">
        <v>45921</v>
      </c>
      <c r="C1287" t="s">
        <v>126</v>
      </c>
      <c r="D1287" t="s">
        <v>88</v>
      </c>
      <c r="E1287" t="s">
        <v>132</v>
      </c>
      <c r="F1287" s="12" t="s">
        <v>29</v>
      </c>
      <c r="G1287" t="s">
        <v>30</v>
      </c>
      <c r="H1287" t="s">
        <v>3416</v>
      </c>
      <c r="I1287" t="s">
        <v>72</v>
      </c>
      <c r="J1287" s="6">
        <v>31.72</v>
      </c>
      <c r="K1287" t="s">
        <v>134</v>
      </c>
      <c r="L1287" t="s">
        <v>3414</v>
      </c>
      <c r="M1287" t="s">
        <v>3</v>
      </c>
      <c r="N1287" s="25" t="str">
        <f>TEXT(tbl_Ledger[[#This Row],[Date]],"yyyy-mm")</f>
        <v>2025-09</v>
      </c>
      <c r="O1287" s="25" t="str">
        <f>TEXT(tbl_Ledger[[#This Row],[Date]],"yyyy-mm") &amp; TRIM(tbl_Ledger[[#This Row],[Currency]])</f>
        <v>2025-09USD</v>
      </c>
      <c r="P1287" s="25">
        <f>_xlfn.XLOOKUP(tbl_Ledger[[#This Row],[Key]], tbl_FX[Key], tbl_FX[Rate_to_NGN])</f>
        <v>1611</v>
      </c>
      <c r="Q1287" s="37">
        <f>IF(tbl_Ledger[[#This Row],[Account_Type]]="Expense",-ABS(tbl_Ledger[[#This Row],[Amount]]*tbl_Ledger[[#This Row],[Rate_to_NGN]]),tbl_Ledger[[#This Row],[Amount]]*tbl_Ledger[[#This Row],[Rate_to_NGN]])</f>
        <v>51100.92</v>
      </c>
      <c r="R1287" s="25" t="str">
        <f>_xlfn.XLOOKUP(tbl_Ledger[[#This Row],[Account_Code]], tbl_Accounts[Account_Code], tbl_Accounts[Type])</f>
        <v>Revenue</v>
      </c>
      <c r="S1287" s="25" t="str">
        <f>_xlfn.XLOOKUP(tbl_Ledger[[#This Row],[Account_Code]], tbl_Accounts[Account_Code], tbl_Accounts[PL_Bucket])</f>
        <v>Revenue</v>
      </c>
      <c r="T1287" s="25">
        <f t="shared" si="20"/>
        <v>51100.92</v>
      </c>
    </row>
    <row r="1288" spans="1:20">
      <c r="A1288" t="s">
        <v>3417</v>
      </c>
      <c r="B1288" s="7">
        <v>45921</v>
      </c>
      <c r="C1288" t="s">
        <v>126</v>
      </c>
      <c r="D1288" t="s">
        <v>88</v>
      </c>
      <c r="E1288" t="s">
        <v>136</v>
      </c>
      <c r="F1288" s="12" t="s">
        <v>29</v>
      </c>
      <c r="G1288" t="s">
        <v>30</v>
      </c>
      <c r="H1288" t="s">
        <v>3418</v>
      </c>
      <c r="I1288" t="s">
        <v>72</v>
      </c>
      <c r="J1288" s="6">
        <v>35.01</v>
      </c>
      <c r="K1288" t="s">
        <v>138</v>
      </c>
      <c r="L1288" t="s">
        <v>3414</v>
      </c>
      <c r="M1288" t="s">
        <v>3</v>
      </c>
      <c r="N1288" s="25" t="str">
        <f>TEXT(tbl_Ledger[[#This Row],[Date]],"yyyy-mm")</f>
        <v>2025-09</v>
      </c>
      <c r="O1288" s="25" t="str">
        <f>TEXT(tbl_Ledger[[#This Row],[Date]],"yyyy-mm") &amp; TRIM(tbl_Ledger[[#This Row],[Currency]])</f>
        <v>2025-09USD</v>
      </c>
      <c r="P1288" s="25">
        <f>_xlfn.XLOOKUP(tbl_Ledger[[#This Row],[Key]], tbl_FX[Key], tbl_FX[Rate_to_NGN])</f>
        <v>1611</v>
      </c>
      <c r="Q1288" s="37">
        <f>IF(tbl_Ledger[[#This Row],[Account_Type]]="Expense",-ABS(tbl_Ledger[[#This Row],[Amount]]*tbl_Ledger[[#This Row],[Rate_to_NGN]]),tbl_Ledger[[#This Row],[Amount]]*tbl_Ledger[[#This Row],[Rate_to_NGN]])</f>
        <v>56401.109999999993</v>
      </c>
      <c r="R1288" s="25" t="str">
        <f>_xlfn.XLOOKUP(tbl_Ledger[[#This Row],[Account_Code]], tbl_Accounts[Account_Code], tbl_Accounts[Type])</f>
        <v>Revenue</v>
      </c>
      <c r="S1288" s="25" t="str">
        <f>_xlfn.XLOOKUP(tbl_Ledger[[#This Row],[Account_Code]], tbl_Accounts[Account_Code], tbl_Accounts[PL_Bucket])</f>
        <v>Revenue</v>
      </c>
      <c r="T1288" s="25">
        <f t="shared" si="20"/>
        <v>56401.109999999993</v>
      </c>
    </row>
    <row r="1289" spans="1:20">
      <c r="A1289" t="s">
        <v>3419</v>
      </c>
      <c r="B1289" s="7">
        <v>45921</v>
      </c>
      <c r="C1289" t="s">
        <v>126</v>
      </c>
      <c r="D1289" t="s">
        <v>88</v>
      </c>
      <c r="E1289" t="s">
        <v>140</v>
      </c>
      <c r="F1289" s="12" t="s">
        <v>29</v>
      </c>
      <c r="G1289" t="s">
        <v>30</v>
      </c>
      <c r="H1289" t="s">
        <v>3420</v>
      </c>
      <c r="I1289" t="s">
        <v>71</v>
      </c>
      <c r="J1289" s="6">
        <v>59600</v>
      </c>
      <c r="K1289" t="s">
        <v>3</v>
      </c>
      <c r="L1289" t="s">
        <v>3421</v>
      </c>
      <c r="M1289" t="s">
        <v>3</v>
      </c>
      <c r="N1289" s="25" t="str">
        <f>TEXT(tbl_Ledger[[#This Row],[Date]],"yyyy-mm")</f>
        <v>2025-09</v>
      </c>
      <c r="O1289" s="25" t="str">
        <f>TEXT(tbl_Ledger[[#This Row],[Date]],"yyyy-mm") &amp; TRIM(tbl_Ledger[[#This Row],[Currency]])</f>
        <v>2025-09NGN</v>
      </c>
      <c r="P1289" s="25">
        <f>_xlfn.XLOOKUP(tbl_Ledger[[#This Row],[Key]], tbl_FX[Key], tbl_FX[Rate_to_NGN])</f>
        <v>1</v>
      </c>
      <c r="Q1289" s="37">
        <f>IF(tbl_Ledger[[#This Row],[Account_Type]]="Expense",-ABS(tbl_Ledger[[#This Row],[Amount]]*tbl_Ledger[[#This Row],[Rate_to_NGN]]),tbl_Ledger[[#This Row],[Amount]]*tbl_Ledger[[#This Row],[Rate_to_NGN]])</f>
        <v>59600</v>
      </c>
      <c r="R1289" s="25" t="str">
        <f>_xlfn.XLOOKUP(tbl_Ledger[[#This Row],[Account_Code]], tbl_Accounts[Account_Code], tbl_Accounts[Type])</f>
        <v>Revenue</v>
      </c>
      <c r="S1289" s="25" t="str">
        <f>_xlfn.XLOOKUP(tbl_Ledger[[#This Row],[Account_Code]], tbl_Accounts[Account_Code], tbl_Accounts[PL_Bucket])</f>
        <v>Revenue</v>
      </c>
      <c r="T1289" s="25">
        <f t="shared" si="20"/>
        <v>59600</v>
      </c>
    </row>
    <row r="1290" spans="1:20">
      <c r="A1290" t="s">
        <v>3422</v>
      </c>
      <c r="B1290" s="7">
        <v>45921</v>
      </c>
      <c r="C1290" t="s">
        <v>93</v>
      </c>
      <c r="D1290" t="s">
        <v>111</v>
      </c>
      <c r="E1290" t="s">
        <v>112</v>
      </c>
      <c r="F1290" s="12" t="s">
        <v>31</v>
      </c>
      <c r="G1290" t="s">
        <v>32</v>
      </c>
      <c r="H1290" t="s">
        <v>3423</v>
      </c>
      <c r="I1290" t="s">
        <v>71</v>
      </c>
      <c r="J1290" s="6">
        <v>128143</v>
      </c>
      <c r="K1290" t="s">
        <v>3</v>
      </c>
      <c r="L1290" t="s">
        <v>3424</v>
      </c>
      <c r="M1290" t="s">
        <v>237</v>
      </c>
      <c r="N1290" s="25" t="str">
        <f>TEXT(tbl_Ledger[[#This Row],[Date]],"yyyy-mm")</f>
        <v>2025-09</v>
      </c>
      <c r="O1290" s="25" t="str">
        <f>TEXT(tbl_Ledger[[#This Row],[Date]],"yyyy-mm") &amp; TRIM(tbl_Ledger[[#This Row],[Currency]])</f>
        <v>2025-09NGN</v>
      </c>
      <c r="P1290" s="25">
        <f>_xlfn.XLOOKUP(tbl_Ledger[[#This Row],[Key]], tbl_FX[Key], tbl_FX[Rate_to_NGN])</f>
        <v>1</v>
      </c>
      <c r="Q1290" s="37">
        <f>IF(tbl_Ledger[[#This Row],[Account_Type]]="Expense",-ABS(tbl_Ledger[[#This Row],[Amount]]*tbl_Ledger[[#This Row],[Rate_to_NGN]]),tbl_Ledger[[#This Row],[Amount]]*tbl_Ledger[[#This Row],[Rate_to_NGN]])</f>
        <v>128143</v>
      </c>
      <c r="R1290" s="25" t="str">
        <f>_xlfn.XLOOKUP(tbl_Ledger[[#This Row],[Account_Code]], tbl_Accounts[Account_Code], tbl_Accounts[Type])</f>
        <v>Revenue</v>
      </c>
      <c r="S1290" s="25" t="str">
        <f>_xlfn.XLOOKUP(tbl_Ledger[[#This Row],[Account_Code]], tbl_Accounts[Account_Code], tbl_Accounts[PL_Bucket])</f>
        <v>Revenue</v>
      </c>
      <c r="T1290" s="25">
        <f t="shared" si="20"/>
        <v>128143</v>
      </c>
    </row>
    <row r="1291" spans="1:20">
      <c r="A1291" t="s">
        <v>3425</v>
      </c>
      <c r="B1291" s="7">
        <v>45921</v>
      </c>
      <c r="C1291" t="s">
        <v>93</v>
      </c>
      <c r="D1291" t="s">
        <v>111</v>
      </c>
      <c r="E1291" t="s">
        <v>112</v>
      </c>
      <c r="F1291" s="12" t="s">
        <v>31</v>
      </c>
      <c r="G1291" t="s">
        <v>32</v>
      </c>
      <c r="H1291" t="s">
        <v>3426</v>
      </c>
      <c r="I1291" t="s">
        <v>71</v>
      </c>
      <c r="J1291" s="6">
        <v>74452</v>
      </c>
      <c r="K1291" t="s">
        <v>3</v>
      </c>
      <c r="L1291" t="s">
        <v>3427</v>
      </c>
      <c r="M1291" t="s">
        <v>237</v>
      </c>
      <c r="N1291" s="25" t="str">
        <f>TEXT(tbl_Ledger[[#This Row],[Date]],"yyyy-mm")</f>
        <v>2025-09</v>
      </c>
      <c r="O1291" s="25" t="str">
        <f>TEXT(tbl_Ledger[[#This Row],[Date]],"yyyy-mm") &amp; TRIM(tbl_Ledger[[#This Row],[Currency]])</f>
        <v>2025-09NGN</v>
      </c>
      <c r="P1291" s="25">
        <f>_xlfn.XLOOKUP(tbl_Ledger[[#This Row],[Key]], tbl_FX[Key], tbl_FX[Rate_to_NGN])</f>
        <v>1</v>
      </c>
      <c r="Q1291" s="37">
        <f>IF(tbl_Ledger[[#This Row],[Account_Type]]="Expense",-ABS(tbl_Ledger[[#This Row],[Amount]]*tbl_Ledger[[#This Row],[Rate_to_NGN]]),tbl_Ledger[[#This Row],[Amount]]*tbl_Ledger[[#This Row],[Rate_to_NGN]])</f>
        <v>74452</v>
      </c>
      <c r="R1291" s="25" t="str">
        <f>_xlfn.XLOOKUP(tbl_Ledger[[#This Row],[Account_Code]], tbl_Accounts[Account_Code], tbl_Accounts[Type])</f>
        <v>Revenue</v>
      </c>
      <c r="S1291" s="25" t="str">
        <f>_xlfn.XLOOKUP(tbl_Ledger[[#This Row],[Account_Code]], tbl_Accounts[Account_Code], tbl_Accounts[PL_Bucket])</f>
        <v>Revenue</v>
      </c>
      <c r="T1291" s="25">
        <f t="shared" si="20"/>
        <v>74452</v>
      </c>
    </row>
    <row r="1292" spans="1:20">
      <c r="A1292" t="s">
        <v>3428</v>
      </c>
      <c r="B1292" s="7">
        <v>45921</v>
      </c>
      <c r="C1292" t="s">
        <v>87</v>
      </c>
      <c r="D1292" t="s">
        <v>94</v>
      </c>
      <c r="E1292" t="s">
        <v>3</v>
      </c>
      <c r="F1292" s="12" t="s">
        <v>33</v>
      </c>
      <c r="G1292" t="s">
        <v>34</v>
      </c>
      <c r="H1292" t="s">
        <v>2691</v>
      </c>
      <c r="I1292" t="s">
        <v>71</v>
      </c>
      <c r="J1292" s="6">
        <v>-697000</v>
      </c>
      <c r="K1292" t="s">
        <v>316</v>
      </c>
      <c r="L1292" t="s">
        <v>3429</v>
      </c>
      <c r="M1292" t="s">
        <v>3</v>
      </c>
      <c r="N1292" s="25" t="str">
        <f>TEXT(tbl_Ledger[[#This Row],[Date]],"yyyy-mm")</f>
        <v>2025-09</v>
      </c>
      <c r="O1292" s="25" t="str">
        <f>TEXT(tbl_Ledger[[#This Row],[Date]],"yyyy-mm") &amp; TRIM(tbl_Ledger[[#This Row],[Currency]])</f>
        <v>2025-09NGN</v>
      </c>
      <c r="P1292" s="25">
        <f>_xlfn.XLOOKUP(tbl_Ledger[[#This Row],[Key]], tbl_FX[Key], tbl_FX[Rate_to_NGN])</f>
        <v>1</v>
      </c>
      <c r="Q1292" s="37">
        <f>IF(tbl_Ledger[[#This Row],[Account_Type]]="Expense",-ABS(tbl_Ledger[[#This Row],[Amount]]*tbl_Ledger[[#This Row],[Rate_to_NGN]]),tbl_Ledger[[#This Row],[Amount]]*tbl_Ledger[[#This Row],[Rate_to_NGN]])</f>
        <v>-697000</v>
      </c>
      <c r="R1292" s="25" t="str">
        <f>_xlfn.XLOOKUP(tbl_Ledger[[#This Row],[Account_Code]], tbl_Accounts[Account_Code], tbl_Accounts[Type])</f>
        <v>COGS</v>
      </c>
      <c r="S1292" s="25" t="str">
        <f>_xlfn.XLOOKUP(tbl_Ledger[[#This Row],[Account_Code]], tbl_Accounts[Account_Code], tbl_Accounts[PL_Bucket])</f>
        <v>COGS</v>
      </c>
      <c r="T1292" s="25">
        <f t="shared" si="20"/>
        <v>-697000</v>
      </c>
    </row>
    <row r="1293" spans="1:20">
      <c r="A1293" t="s">
        <v>3430</v>
      </c>
      <c r="B1293" s="7">
        <v>45922</v>
      </c>
      <c r="C1293" t="s">
        <v>93</v>
      </c>
      <c r="D1293" t="s">
        <v>94</v>
      </c>
      <c r="E1293" t="s">
        <v>95</v>
      </c>
      <c r="F1293" s="12" t="s">
        <v>24</v>
      </c>
      <c r="G1293" t="s">
        <v>25</v>
      </c>
      <c r="H1293" t="s">
        <v>3431</v>
      </c>
      <c r="I1293" t="s">
        <v>71</v>
      </c>
      <c r="J1293" s="6">
        <v>32000</v>
      </c>
      <c r="K1293" t="s">
        <v>3</v>
      </c>
      <c r="L1293" t="s">
        <v>3432</v>
      </c>
      <c r="M1293" t="s">
        <v>3</v>
      </c>
      <c r="N1293" s="25" t="str">
        <f>TEXT(tbl_Ledger[[#This Row],[Date]],"yyyy-mm")</f>
        <v>2025-09</v>
      </c>
      <c r="O1293" s="25" t="str">
        <f>TEXT(tbl_Ledger[[#This Row],[Date]],"yyyy-mm") &amp; TRIM(tbl_Ledger[[#This Row],[Currency]])</f>
        <v>2025-09NGN</v>
      </c>
      <c r="P1293" s="25">
        <f>_xlfn.XLOOKUP(tbl_Ledger[[#This Row],[Key]], tbl_FX[Key], tbl_FX[Rate_to_NGN])</f>
        <v>1</v>
      </c>
      <c r="Q1293" s="37">
        <f>IF(tbl_Ledger[[#This Row],[Account_Type]]="Expense",-ABS(tbl_Ledger[[#This Row],[Amount]]*tbl_Ledger[[#This Row],[Rate_to_NGN]]),tbl_Ledger[[#This Row],[Amount]]*tbl_Ledger[[#This Row],[Rate_to_NGN]])</f>
        <v>32000</v>
      </c>
      <c r="R1293" s="25" t="str">
        <f>_xlfn.XLOOKUP(tbl_Ledger[[#This Row],[Account_Code]], tbl_Accounts[Account_Code], tbl_Accounts[Type])</f>
        <v>Revenue</v>
      </c>
      <c r="S1293" s="25" t="str">
        <f>_xlfn.XLOOKUP(tbl_Ledger[[#This Row],[Account_Code]], tbl_Accounts[Account_Code], tbl_Accounts[PL_Bucket])</f>
        <v>Revenue</v>
      </c>
      <c r="T1293" s="25">
        <f t="shared" si="20"/>
        <v>32000</v>
      </c>
    </row>
    <row r="1294" spans="1:20">
      <c r="A1294" t="s">
        <v>3433</v>
      </c>
      <c r="B1294" s="7">
        <v>45922</v>
      </c>
      <c r="C1294" t="s">
        <v>93</v>
      </c>
      <c r="D1294" t="s">
        <v>94</v>
      </c>
      <c r="E1294" t="s">
        <v>99</v>
      </c>
      <c r="F1294" s="12" t="s">
        <v>24</v>
      </c>
      <c r="G1294" t="s">
        <v>25</v>
      </c>
      <c r="H1294" t="s">
        <v>3434</v>
      </c>
      <c r="I1294" t="s">
        <v>71</v>
      </c>
      <c r="J1294" s="6">
        <v>29300</v>
      </c>
      <c r="K1294" t="s">
        <v>3</v>
      </c>
      <c r="L1294" t="s">
        <v>3435</v>
      </c>
      <c r="M1294" t="s">
        <v>3</v>
      </c>
      <c r="N1294" s="25" t="str">
        <f>TEXT(tbl_Ledger[[#This Row],[Date]],"yyyy-mm")</f>
        <v>2025-09</v>
      </c>
      <c r="O1294" s="25" t="str">
        <f>TEXT(tbl_Ledger[[#This Row],[Date]],"yyyy-mm") &amp; TRIM(tbl_Ledger[[#This Row],[Currency]])</f>
        <v>2025-09NGN</v>
      </c>
      <c r="P1294" s="25">
        <f>_xlfn.XLOOKUP(tbl_Ledger[[#This Row],[Key]], tbl_FX[Key], tbl_FX[Rate_to_NGN])</f>
        <v>1</v>
      </c>
      <c r="Q1294" s="37">
        <f>IF(tbl_Ledger[[#This Row],[Account_Type]]="Expense",-ABS(tbl_Ledger[[#This Row],[Amount]]*tbl_Ledger[[#This Row],[Rate_to_NGN]]),tbl_Ledger[[#This Row],[Amount]]*tbl_Ledger[[#This Row],[Rate_to_NGN]])</f>
        <v>29300</v>
      </c>
      <c r="R1294" s="25" t="str">
        <f>_xlfn.XLOOKUP(tbl_Ledger[[#This Row],[Account_Code]], tbl_Accounts[Account_Code], tbl_Accounts[Type])</f>
        <v>Revenue</v>
      </c>
      <c r="S1294" s="25" t="str">
        <f>_xlfn.XLOOKUP(tbl_Ledger[[#This Row],[Account_Code]], tbl_Accounts[Account_Code], tbl_Accounts[PL_Bucket])</f>
        <v>Revenue</v>
      </c>
      <c r="T1294" s="25">
        <f t="shared" si="20"/>
        <v>29300</v>
      </c>
    </row>
    <row r="1295" spans="1:20">
      <c r="A1295" t="s">
        <v>3436</v>
      </c>
      <c r="B1295" s="7">
        <v>45922</v>
      </c>
      <c r="C1295" t="s">
        <v>93</v>
      </c>
      <c r="D1295" t="s">
        <v>94</v>
      </c>
      <c r="E1295" t="s">
        <v>103</v>
      </c>
      <c r="F1295" s="12" t="s">
        <v>24</v>
      </c>
      <c r="G1295" t="s">
        <v>25</v>
      </c>
      <c r="H1295" t="s">
        <v>3437</v>
      </c>
      <c r="I1295" t="s">
        <v>71</v>
      </c>
      <c r="J1295" s="6">
        <v>33400</v>
      </c>
      <c r="K1295" t="s">
        <v>3</v>
      </c>
      <c r="L1295" t="s">
        <v>3438</v>
      </c>
      <c r="M1295" t="s">
        <v>3</v>
      </c>
      <c r="N1295" s="25" t="str">
        <f>TEXT(tbl_Ledger[[#This Row],[Date]],"yyyy-mm")</f>
        <v>2025-09</v>
      </c>
      <c r="O1295" s="25" t="str">
        <f>TEXT(tbl_Ledger[[#This Row],[Date]],"yyyy-mm") &amp; TRIM(tbl_Ledger[[#This Row],[Currency]])</f>
        <v>2025-09NGN</v>
      </c>
      <c r="P1295" s="25">
        <f>_xlfn.XLOOKUP(tbl_Ledger[[#This Row],[Key]], tbl_FX[Key], tbl_FX[Rate_to_NGN])</f>
        <v>1</v>
      </c>
      <c r="Q1295" s="37">
        <f>IF(tbl_Ledger[[#This Row],[Account_Type]]="Expense",-ABS(tbl_Ledger[[#This Row],[Amount]]*tbl_Ledger[[#This Row],[Rate_to_NGN]]),tbl_Ledger[[#This Row],[Amount]]*tbl_Ledger[[#This Row],[Rate_to_NGN]])</f>
        <v>33400</v>
      </c>
      <c r="R1295" s="25" t="str">
        <f>_xlfn.XLOOKUP(tbl_Ledger[[#This Row],[Account_Code]], tbl_Accounts[Account_Code], tbl_Accounts[Type])</f>
        <v>Revenue</v>
      </c>
      <c r="S1295" s="25" t="str">
        <f>_xlfn.XLOOKUP(tbl_Ledger[[#This Row],[Account_Code]], tbl_Accounts[Account_Code], tbl_Accounts[PL_Bucket])</f>
        <v>Revenue</v>
      </c>
      <c r="T1295" s="25">
        <f t="shared" si="20"/>
        <v>33400</v>
      </c>
    </row>
    <row r="1296" spans="1:20">
      <c r="A1296" t="s">
        <v>3439</v>
      </c>
      <c r="B1296" s="7">
        <v>45922</v>
      </c>
      <c r="C1296" t="s">
        <v>93</v>
      </c>
      <c r="D1296" t="s">
        <v>94</v>
      </c>
      <c r="E1296" t="s">
        <v>160</v>
      </c>
      <c r="F1296" s="12" t="s">
        <v>24</v>
      </c>
      <c r="G1296" t="s">
        <v>25</v>
      </c>
      <c r="H1296" t="s">
        <v>3440</v>
      </c>
      <c r="I1296" t="s">
        <v>71</v>
      </c>
      <c r="J1296" s="6">
        <v>28200</v>
      </c>
      <c r="K1296" t="s">
        <v>3</v>
      </c>
      <c r="L1296" t="s">
        <v>3438</v>
      </c>
      <c r="M1296" t="s">
        <v>3</v>
      </c>
      <c r="N1296" s="25" t="str">
        <f>TEXT(tbl_Ledger[[#This Row],[Date]],"yyyy-mm")</f>
        <v>2025-09</v>
      </c>
      <c r="O1296" s="25" t="str">
        <f>TEXT(tbl_Ledger[[#This Row],[Date]],"yyyy-mm") &amp; TRIM(tbl_Ledger[[#This Row],[Currency]])</f>
        <v>2025-09NGN</v>
      </c>
      <c r="P1296" s="25">
        <f>_xlfn.XLOOKUP(tbl_Ledger[[#This Row],[Key]], tbl_FX[Key], tbl_FX[Rate_to_NGN])</f>
        <v>1</v>
      </c>
      <c r="Q1296" s="37">
        <f>IF(tbl_Ledger[[#This Row],[Account_Type]]="Expense",-ABS(tbl_Ledger[[#This Row],[Amount]]*tbl_Ledger[[#This Row],[Rate_to_NGN]]),tbl_Ledger[[#This Row],[Amount]]*tbl_Ledger[[#This Row],[Rate_to_NGN]])</f>
        <v>28200</v>
      </c>
      <c r="R1296" s="25" t="str">
        <f>_xlfn.XLOOKUP(tbl_Ledger[[#This Row],[Account_Code]], tbl_Accounts[Account_Code], tbl_Accounts[Type])</f>
        <v>Revenue</v>
      </c>
      <c r="S1296" s="25" t="str">
        <f>_xlfn.XLOOKUP(tbl_Ledger[[#This Row],[Account_Code]], tbl_Accounts[Account_Code], tbl_Accounts[PL_Bucket])</f>
        <v>Revenue</v>
      </c>
      <c r="T1296" s="25">
        <f t="shared" si="20"/>
        <v>28200</v>
      </c>
    </row>
    <row r="1297" spans="1:20">
      <c r="A1297" t="s">
        <v>3441</v>
      </c>
      <c r="B1297" s="7">
        <v>45922</v>
      </c>
      <c r="C1297" t="s">
        <v>93</v>
      </c>
      <c r="D1297" t="s">
        <v>94</v>
      </c>
      <c r="E1297" t="s">
        <v>107</v>
      </c>
      <c r="F1297" s="12" t="s">
        <v>24</v>
      </c>
      <c r="G1297" t="s">
        <v>25</v>
      </c>
      <c r="H1297" t="s">
        <v>3442</v>
      </c>
      <c r="I1297" t="s">
        <v>71</v>
      </c>
      <c r="J1297" s="6">
        <v>33800</v>
      </c>
      <c r="K1297" t="s">
        <v>3</v>
      </c>
      <c r="L1297" t="s">
        <v>3443</v>
      </c>
      <c r="M1297" t="s">
        <v>3</v>
      </c>
      <c r="N1297" s="25" t="str">
        <f>TEXT(tbl_Ledger[[#This Row],[Date]],"yyyy-mm")</f>
        <v>2025-09</v>
      </c>
      <c r="O1297" s="25" t="str">
        <f>TEXT(tbl_Ledger[[#This Row],[Date]],"yyyy-mm") &amp; TRIM(tbl_Ledger[[#This Row],[Currency]])</f>
        <v>2025-09NGN</v>
      </c>
      <c r="P1297" s="25">
        <f>_xlfn.XLOOKUP(tbl_Ledger[[#This Row],[Key]], tbl_FX[Key], tbl_FX[Rate_to_NGN])</f>
        <v>1</v>
      </c>
      <c r="Q1297" s="37">
        <f>IF(tbl_Ledger[[#This Row],[Account_Type]]="Expense",-ABS(tbl_Ledger[[#This Row],[Amount]]*tbl_Ledger[[#This Row],[Rate_to_NGN]]),tbl_Ledger[[#This Row],[Amount]]*tbl_Ledger[[#This Row],[Rate_to_NGN]])</f>
        <v>33800</v>
      </c>
      <c r="R1297" s="25" t="str">
        <f>_xlfn.XLOOKUP(tbl_Ledger[[#This Row],[Account_Code]], tbl_Accounts[Account_Code], tbl_Accounts[Type])</f>
        <v>Revenue</v>
      </c>
      <c r="S1297" s="25" t="str">
        <f>_xlfn.XLOOKUP(tbl_Ledger[[#This Row],[Account_Code]], tbl_Accounts[Account_Code], tbl_Accounts[PL_Bucket])</f>
        <v>Revenue</v>
      </c>
      <c r="T1297" s="25">
        <f t="shared" si="20"/>
        <v>33800</v>
      </c>
    </row>
    <row r="1298" spans="1:20">
      <c r="A1298" t="s">
        <v>3444</v>
      </c>
      <c r="B1298" s="7">
        <v>45922</v>
      </c>
      <c r="C1298" t="s">
        <v>93</v>
      </c>
      <c r="D1298" t="s">
        <v>111</v>
      </c>
      <c r="E1298" t="s">
        <v>112</v>
      </c>
      <c r="F1298" s="12" t="s">
        <v>24</v>
      </c>
      <c r="G1298" t="s">
        <v>25</v>
      </c>
      <c r="H1298" t="s">
        <v>3445</v>
      </c>
      <c r="I1298" t="s">
        <v>71</v>
      </c>
      <c r="J1298" s="6">
        <v>49200</v>
      </c>
      <c r="K1298" t="s">
        <v>3</v>
      </c>
      <c r="L1298" t="s">
        <v>3446</v>
      </c>
      <c r="M1298" t="s">
        <v>3</v>
      </c>
      <c r="N1298" s="25" t="str">
        <f>TEXT(tbl_Ledger[[#This Row],[Date]],"yyyy-mm")</f>
        <v>2025-09</v>
      </c>
      <c r="O1298" s="25" t="str">
        <f>TEXT(tbl_Ledger[[#This Row],[Date]],"yyyy-mm") &amp; TRIM(tbl_Ledger[[#This Row],[Currency]])</f>
        <v>2025-09NGN</v>
      </c>
      <c r="P1298" s="25">
        <f>_xlfn.XLOOKUP(tbl_Ledger[[#This Row],[Key]], tbl_FX[Key], tbl_FX[Rate_to_NGN])</f>
        <v>1</v>
      </c>
      <c r="Q1298" s="37">
        <f>IF(tbl_Ledger[[#This Row],[Account_Type]]="Expense",-ABS(tbl_Ledger[[#This Row],[Amount]]*tbl_Ledger[[#This Row],[Rate_to_NGN]]),tbl_Ledger[[#This Row],[Amount]]*tbl_Ledger[[#This Row],[Rate_to_NGN]])</f>
        <v>49200</v>
      </c>
      <c r="R1298" s="25" t="str">
        <f>_xlfn.XLOOKUP(tbl_Ledger[[#This Row],[Account_Code]], tbl_Accounts[Account_Code], tbl_Accounts[Type])</f>
        <v>Revenue</v>
      </c>
      <c r="S1298" s="25" t="str">
        <f>_xlfn.XLOOKUP(tbl_Ledger[[#This Row],[Account_Code]], tbl_Accounts[Account_Code], tbl_Accounts[PL_Bucket])</f>
        <v>Revenue</v>
      </c>
      <c r="T1298" s="25">
        <f t="shared" si="20"/>
        <v>49200</v>
      </c>
    </row>
    <row r="1299" spans="1:20">
      <c r="A1299" t="s">
        <v>3447</v>
      </c>
      <c r="B1299" s="7">
        <v>45922</v>
      </c>
      <c r="C1299" t="s">
        <v>93</v>
      </c>
      <c r="D1299" t="s">
        <v>111</v>
      </c>
      <c r="E1299" t="s">
        <v>116</v>
      </c>
      <c r="F1299" s="12" t="s">
        <v>24</v>
      </c>
      <c r="G1299" t="s">
        <v>25</v>
      </c>
      <c r="H1299" t="s">
        <v>3448</v>
      </c>
      <c r="I1299" t="s">
        <v>71</v>
      </c>
      <c r="J1299" s="6">
        <v>53000</v>
      </c>
      <c r="K1299" t="s">
        <v>3</v>
      </c>
      <c r="L1299" t="s">
        <v>3446</v>
      </c>
      <c r="M1299" t="s">
        <v>3</v>
      </c>
      <c r="N1299" s="25" t="str">
        <f>TEXT(tbl_Ledger[[#This Row],[Date]],"yyyy-mm")</f>
        <v>2025-09</v>
      </c>
      <c r="O1299" s="25" t="str">
        <f>TEXT(tbl_Ledger[[#This Row],[Date]],"yyyy-mm") &amp; TRIM(tbl_Ledger[[#This Row],[Currency]])</f>
        <v>2025-09NGN</v>
      </c>
      <c r="P1299" s="25">
        <f>_xlfn.XLOOKUP(tbl_Ledger[[#This Row],[Key]], tbl_FX[Key], tbl_FX[Rate_to_NGN])</f>
        <v>1</v>
      </c>
      <c r="Q1299" s="37">
        <f>IF(tbl_Ledger[[#This Row],[Account_Type]]="Expense",-ABS(tbl_Ledger[[#This Row],[Amount]]*tbl_Ledger[[#This Row],[Rate_to_NGN]]),tbl_Ledger[[#This Row],[Amount]]*tbl_Ledger[[#This Row],[Rate_to_NGN]])</f>
        <v>53000</v>
      </c>
      <c r="R1299" s="25" t="str">
        <f>_xlfn.XLOOKUP(tbl_Ledger[[#This Row],[Account_Code]], tbl_Accounts[Account_Code], tbl_Accounts[Type])</f>
        <v>Revenue</v>
      </c>
      <c r="S1299" s="25" t="str">
        <f>_xlfn.XLOOKUP(tbl_Ledger[[#This Row],[Account_Code]], tbl_Accounts[Account_Code], tbl_Accounts[PL_Bucket])</f>
        <v>Revenue</v>
      </c>
      <c r="T1299" s="25">
        <f t="shared" si="20"/>
        <v>53000</v>
      </c>
    </row>
    <row r="1300" spans="1:20">
      <c r="A1300" t="s">
        <v>3449</v>
      </c>
      <c r="B1300" s="7">
        <v>45922</v>
      </c>
      <c r="C1300" t="s">
        <v>93</v>
      </c>
      <c r="D1300" t="s">
        <v>111</v>
      </c>
      <c r="E1300" t="s">
        <v>119</v>
      </c>
      <c r="F1300" s="12" t="s">
        <v>24</v>
      </c>
      <c r="G1300" t="s">
        <v>25</v>
      </c>
      <c r="H1300" t="s">
        <v>3450</v>
      </c>
      <c r="I1300" t="s">
        <v>71</v>
      </c>
      <c r="J1300" s="6">
        <v>52200</v>
      </c>
      <c r="K1300" t="s">
        <v>3</v>
      </c>
      <c r="L1300" t="s">
        <v>3446</v>
      </c>
      <c r="M1300" t="s">
        <v>3</v>
      </c>
      <c r="N1300" s="25" t="str">
        <f>TEXT(tbl_Ledger[[#This Row],[Date]],"yyyy-mm")</f>
        <v>2025-09</v>
      </c>
      <c r="O1300" s="25" t="str">
        <f>TEXT(tbl_Ledger[[#This Row],[Date]],"yyyy-mm") &amp; TRIM(tbl_Ledger[[#This Row],[Currency]])</f>
        <v>2025-09NGN</v>
      </c>
      <c r="P1300" s="25">
        <f>_xlfn.XLOOKUP(tbl_Ledger[[#This Row],[Key]], tbl_FX[Key], tbl_FX[Rate_to_NGN])</f>
        <v>1</v>
      </c>
      <c r="Q1300" s="37">
        <f>IF(tbl_Ledger[[#This Row],[Account_Type]]="Expense",-ABS(tbl_Ledger[[#This Row],[Amount]]*tbl_Ledger[[#This Row],[Rate_to_NGN]]),tbl_Ledger[[#This Row],[Amount]]*tbl_Ledger[[#This Row],[Rate_to_NGN]])</f>
        <v>52200</v>
      </c>
      <c r="R1300" s="25" t="str">
        <f>_xlfn.XLOOKUP(tbl_Ledger[[#This Row],[Account_Code]], tbl_Accounts[Account_Code], tbl_Accounts[Type])</f>
        <v>Revenue</v>
      </c>
      <c r="S1300" s="25" t="str">
        <f>_xlfn.XLOOKUP(tbl_Ledger[[#This Row],[Account_Code]], tbl_Accounts[Account_Code], tbl_Accounts[PL_Bucket])</f>
        <v>Revenue</v>
      </c>
      <c r="T1300" s="25">
        <f t="shared" si="20"/>
        <v>52200</v>
      </c>
    </row>
    <row r="1301" spans="1:20">
      <c r="A1301" t="s">
        <v>3451</v>
      </c>
      <c r="B1301" s="7">
        <v>45922</v>
      </c>
      <c r="C1301" t="s">
        <v>93</v>
      </c>
      <c r="D1301" t="s">
        <v>111</v>
      </c>
      <c r="E1301" t="s">
        <v>170</v>
      </c>
      <c r="F1301" s="12" t="s">
        <v>24</v>
      </c>
      <c r="G1301" t="s">
        <v>25</v>
      </c>
      <c r="H1301" t="s">
        <v>3452</v>
      </c>
      <c r="I1301" t="s">
        <v>71</v>
      </c>
      <c r="J1301" s="6">
        <v>51600</v>
      </c>
      <c r="K1301" t="s">
        <v>3</v>
      </c>
      <c r="L1301" t="s">
        <v>3446</v>
      </c>
      <c r="M1301" t="s">
        <v>3</v>
      </c>
      <c r="N1301" s="25" t="str">
        <f>TEXT(tbl_Ledger[[#This Row],[Date]],"yyyy-mm")</f>
        <v>2025-09</v>
      </c>
      <c r="O1301" s="25" t="str">
        <f>TEXT(tbl_Ledger[[#This Row],[Date]],"yyyy-mm") &amp; TRIM(tbl_Ledger[[#This Row],[Currency]])</f>
        <v>2025-09NGN</v>
      </c>
      <c r="P1301" s="25">
        <f>_xlfn.XLOOKUP(tbl_Ledger[[#This Row],[Key]], tbl_FX[Key], tbl_FX[Rate_to_NGN])</f>
        <v>1</v>
      </c>
      <c r="Q1301" s="37">
        <f>IF(tbl_Ledger[[#This Row],[Account_Type]]="Expense",-ABS(tbl_Ledger[[#This Row],[Amount]]*tbl_Ledger[[#This Row],[Rate_to_NGN]]),tbl_Ledger[[#This Row],[Amount]]*tbl_Ledger[[#This Row],[Rate_to_NGN]])</f>
        <v>51600</v>
      </c>
      <c r="R1301" s="25" t="str">
        <f>_xlfn.XLOOKUP(tbl_Ledger[[#This Row],[Account_Code]], tbl_Accounts[Account_Code], tbl_Accounts[Type])</f>
        <v>Revenue</v>
      </c>
      <c r="S1301" s="25" t="str">
        <f>_xlfn.XLOOKUP(tbl_Ledger[[#This Row],[Account_Code]], tbl_Accounts[Account_Code], tbl_Accounts[PL_Bucket])</f>
        <v>Revenue</v>
      </c>
      <c r="T1301" s="25">
        <f t="shared" si="20"/>
        <v>51600</v>
      </c>
    </row>
    <row r="1302" spans="1:20">
      <c r="A1302" t="s">
        <v>3453</v>
      </c>
      <c r="B1302" s="7">
        <v>45922</v>
      </c>
      <c r="C1302" t="s">
        <v>93</v>
      </c>
      <c r="D1302" t="s">
        <v>111</v>
      </c>
      <c r="E1302" t="s">
        <v>122</v>
      </c>
      <c r="F1302" s="12" t="s">
        <v>24</v>
      </c>
      <c r="G1302" t="s">
        <v>25</v>
      </c>
      <c r="H1302" t="s">
        <v>3454</v>
      </c>
      <c r="I1302" t="s">
        <v>71</v>
      </c>
      <c r="J1302" s="6">
        <v>49100</v>
      </c>
      <c r="K1302" t="s">
        <v>3</v>
      </c>
      <c r="L1302" t="s">
        <v>3455</v>
      </c>
      <c r="M1302" t="s">
        <v>3</v>
      </c>
      <c r="N1302" s="25" t="str">
        <f>TEXT(tbl_Ledger[[#This Row],[Date]],"yyyy-mm")</f>
        <v>2025-09</v>
      </c>
      <c r="O1302" s="25" t="str">
        <f>TEXT(tbl_Ledger[[#This Row],[Date]],"yyyy-mm") &amp; TRIM(tbl_Ledger[[#This Row],[Currency]])</f>
        <v>2025-09NGN</v>
      </c>
      <c r="P1302" s="25">
        <f>_xlfn.XLOOKUP(tbl_Ledger[[#This Row],[Key]], tbl_FX[Key], tbl_FX[Rate_to_NGN])</f>
        <v>1</v>
      </c>
      <c r="Q1302" s="37">
        <f>IF(tbl_Ledger[[#This Row],[Account_Type]]="Expense",-ABS(tbl_Ledger[[#This Row],[Amount]]*tbl_Ledger[[#This Row],[Rate_to_NGN]]),tbl_Ledger[[#This Row],[Amount]]*tbl_Ledger[[#This Row],[Rate_to_NGN]])</f>
        <v>49100</v>
      </c>
      <c r="R1302" s="25" t="str">
        <f>_xlfn.XLOOKUP(tbl_Ledger[[#This Row],[Account_Code]], tbl_Accounts[Account_Code], tbl_Accounts[Type])</f>
        <v>Revenue</v>
      </c>
      <c r="S1302" s="25" t="str">
        <f>_xlfn.XLOOKUP(tbl_Ledger[[#This Row],[Account_Code]], tbl_Accounts[Account_Code], tbl_Accounts[PL_Bucket])</f>
        <v>Revenue</v>
      </c>
      <c r="T1302" s="25">
        <f t="shared" si="20"/>
        <v>49100</v>
      </c>
    </row>
    <row r="1303" spans="1:20">
      <c r="A1303" t="s">
        <v>3456</v>
      </c>
      <c r="B1303" s="7">
        <v>45922</v>
      </c>
      <c r="C1303" t="s">
        <v>126</v>
      </c>
      <c r="D1303" t="s">
        <v>88</v>
      </c>
      <c r="E1303" t="s">
        <v>127</v>
      </c>
      <c r="F1303" s="12" t="s">
        <v>29</v>
      </c>
      <c r="G1303" t="s">
        <v>30</v>
      </c>
      <c r="H1303" t="s">
        <v>3457</v>
      </c>
      <c r="I1303" t="s">
        <v>71</v>
      </c>
      <c r="J1303" s="6">
        <v>55700</v>
      </c>
      <c r="K1303" t="s">
        <v>129</v>
      </c>
      <c r="L1303" t="s">
        <v>3458</v>
      </c>
      <c r="M1303" t="s">
        <v>3</v>
      </c>
      <c r="N1303" s="25" t="str">
        <f>TEXT(tbl_Ledger[[#This Row],[Date]],"yyyy-mm")</f>
        <v>2025-09</v>
      </c>
      <c r="O1303" s="25" t="str">
        <f>TEXT(tbl_Ledger[[#This Row],[Date]],"yyyy-mm") &amp; TRIM(tbl_Ledger[[#This Row],[Currency]])</f>
        <v>2025-09NGN</v>
      </c>
      <c r="P1303" s="25">
        <f>_xlfn.XLOOKUP(tbl_Ledger[[#This Row],[Key]], tbl_FX[Key], tbl_FX[Rate_to_NGN])</f>
        <v>1</v>
      </c>
      <c r="Q1303" s="37">
        <f>IF(tbl_Ledger[[#This Row],[Account_Type]]="Expense",-ABS(tbl_Ledger[[#This Row],[Amount]]*tbl_Ledger[[#This Row],[Rate_to_NGN]]),tbl_Ledger[[#This Row],[Amount]]*tbl_Ledger[[#This Row],[Rate_to_NGN]])</f>
        <v>55700</v>
      </c>
      <c r="R1303" s="25" t="str">
        <f>_xlfn.XLOOKUP(tbl_Ledger[[#This Row],[Account_Code]], tbl_Accounts[Account_Code], tbl_Accounts[Type])</f>
        <v>Revenue</v>
      </c>
      <c r="S1303" s="25" t="str">
        <f>_xlfn.XLOOKUP(tbl_Ledger[[#This Row],[Account_Code]], tbl_Accounts[Account_Code], tbl_Accounts[PL_Bucket])</f>
        <v>Revenue</v>
      </c>
      <c r="T1303" s="25">
        <f t="shared" si="20"/>
        <v>55700</v>
      </c>
    </row>
    <row r="1304" spans="1:20">
      <c r="A1304" t="s">
        <v>3459</v>
      </c>
      <c r="B1304" s="7">
        <v>45922</v>
      </c>
      <c r="C1304" t="s">
        <v>126</v>
      </c>
      <c r="D1304" t="s">
        <v>88</v>
      </c>
      <c r="E1304" t="s">
        <v>132</v>
      </c>
      <c r="F1304" s="12" t="s">
        <v>29</v>
      </c>
      <c r="G1304" t="s">
        <v>30</v>
      </c>
      <c r="H1304" t="s">
        <v>3460</v>
      </c>
      <c r="I1304" t="s">
        <v>71</v>
      </c>
      <c r="J1304" s="6">
        <v>54700</v>
      </c>
      <c r="K1304" t="s">
        <v>134</v>
      </c>
      <c r="L1304" t="s">
        <v>3458</v>
      </c>
      <c r="M1304" t="s">
        <v>3</v>
      </c>
      <c r="N1304" s="25" t="str">
        <f>TEXT(tbl_Ledger[[#This Row],[Date]],"yyyy-mm")</f>
        <v>2025-09</v>
      </c>
      <c r="O1304" s="25" t="str">
        <f>TEXT(tbl_Ledger[[#This Row],[Date]],"yyyy-mm") &amp; TRIM(tbl_Ledger[[#This Row],[Currency]])</f>
        <v>2025-09NGN</v>
      </c>
      <c r="P1304" s="25">
        <f>_xlfn.XLOOKUP(tbl_Ledger[[#This Row],[Key]], tbl_FX[Key], tbl_FX[Rate_to_NGN])</f>
        <v>1</v>
      </c>
      <c r="Q1304" s="37">
        <f>IF(tbl_Ledger[[#This Row],[Account_Type]]="Expense",-ABS(tbl_Ledger[[#This Row],[Amount]]*tbl_Ledger[[#This Row],[Rate_to_NGN]]),tbl_Ledger[[#This Row],[Amount]]*tbl_Ledger[[#This Row],[Rate_to_NGN]])</f>
        <v>54700</v>
      </c>
      <c r="R1304" s="25" t="str">
        <f>_xlfn.XLOOKUP(tbl_Ledger[[#This Row],[Account_Code]], tbl_Accounts[Account_Code], tbl_Accounts[Type])</f>
        <v>Revenue</v>
      </c>
      <c r="S1304" s="25" t="str">
        <f>_xlfn.XLOOKUP(tbl_Ledger[[#This Row],[Account_Code]], tbl_Accounts[Account_Code], tbl_Accounts[PL_Bucket])</f>
        <v>Revenue</v>
      </c>
      <c r="T1304" s="25">
        <f t="shared" si="20"/>
        <v>54700</v>
      </c>
    </row>
    <row r="1305" spans="1:20">
      <c r="A1305" t="s">
        <v>3461</v>
      </c>
      <c r="B1305" s="7">
        <v>45922</v>
      </c>
      <c r="C1305" t="s">
        <v>126</v>
      </c>
      <c r="D1305" t="s">
        <v>88</v>
      </c>
      <c r="E1305" t="s">
        <v>136</v>
      </c>
      <c r="F1305" s="12" t="s">
        <v>29</v>
      </c>
      <c r="G1305" t="s">
        <v>30</v>
      </c>
      <c r="H1305" t="s">
        <v>3462</v>
      </c>
      <c r="I1305" t="s">
        <v>72</v>
      </c>
      <c r="J1305" s="6">
        <v>32.340000000000003</v>
      </c>
      <c r="K1305" t="s">
        <v>138</v>
      </c>
      <c r="L1305" t="s">
        <v>3458</v>
      </c>
      <c r="M1305" t="s">
        <v>3</v>
      </c>
      <c r="N1305" s="25" t="str">
        <f>TEXT(tbl_Ledger[[#This Row],[Date]],"yyyy-mm")</f>
        <v>2025-09</v>
      </c>
      <c r="O1305" s="25" t="str">
        <f>TEXT(tbl_Ledger[[#This Row],[Date]],"yyyy-mm") &amp; TRIM(tbl_Ledger[[#This Row],[Currency]])</f>
        <v>2025-09USD</v>
      </c>
      <c r="P1305" s="25">
        <f>_xlfn.XLOOKUP(tbl_Ledger[[#This Row],[Key]], tbl_FX[Key], tbl_FX[Rate_to_NGN])</f>
        <v>1611</v>
      </c>
      <c r="Q1305" s="37">
        <f>IF(tbl_Ledger[[#This Row],[Account_Type]]="Expense",-ABS(tbl_Ledger[[#This Row],[Amount]]*tbl_Ledger[[#This Row],[Rate_to_NGN]]),tbl_Ledger[[#This Row],[Amount]]*tbl_Ledger[[#This Row],[Rate_to_NGN]])</f>
        <v>52099.740000000005</v>
      </c>
      <c r="R1305" s="25" t="str">
        <f>_xlfn.XLOOKUP(tbl_Ledger[[#This Row],[Account_Code]], tbl_Accounts[Account_Code], tbl_Accounts[Type])</f>
        <v>Revenue</v>
      </c>
      <c r="S1305" s="25" t="str">
        <f>_xlfn.XLOOKUP(tbl_Ledger[[#This Row],[Account_Code]], tbl_Accounts[Account_Code], tbl_Accounts[PL_Bucket])</f>
        <v>Revenue</v>
      </c>
      <c r="T1305" s="25">
        <f t="shared" si="20"/>
        <v>52099.740000000005</v>
      </c>
    </row>
    <row r="1306" spans="1:20">
      <c r="A1306" t="s">
        <v>3463</v>
      </c>
      <c r="B1306" s="7">
        <v>45922</v>
      </c>
      <c r="C1306" t="s">
        <v>126</v>
      </c>
      <c r="D1306" t="s">
        <v>88</v>
      </c>
      <c r="E1306" t="s">
        <v>140</v>
      </c>
      <c r="F1306" s="12" t="s">
        <v>29</v>
      </c>
      <c r="G1306" t="s">
        <v>30</v>
      </c>
      <c r="H1306" t="s">
        <v>3464</v>
      </c>
      <c r="I1306" t="s">
        <v>71</v>
      </c>
      <c r="J1306" s="6">
        <v>57800</v>
      </c>
      <c r="K1306" t="s">
        <v>3</v>
      </c>
      <c r="L1306" t="s">
        <v>3465</v>
      </c>
      <c r="M1306" t="s">
        <v>3</v>
      </c>
      <c r="N1306" s="25" t="str">
        <f>TEXT(tbl_Ledger[[#This Row],[Date]],"yyyy-mm")</f>
        <v>2025-09</v>
      </c>
      <c r="O1306" s="25" t="str">
        <f>TEXT(tbl_Ledger[[#This Row],[Date]],"yyyy-mm") &amp; TRIM(tbl_Ledger[[#This Row],[Currency]])</f>
        <v>2025-09NGN</v>
      </c>
      <c r="P1306" s="25">
        <f>_xlfn.XLOOKUP(tbl_Ledger[[#This Row],[Key]], tbl_FX[Key], tbl_FX[Rate_to_NGN])</f>
        <v>1</v>
      </c>
      <c r="Q1306" s="37">
        <f>IF(tbl_Ledger[[#This Row],[Account_Type]]="Expense",-ABS(tbl_Ledger[[#This Row],[Amount]]*tbl_Ledger[[#This Row],[Rate_to_NGN]]),tbl_Ledger[[#This Row],[Amount]]*tbl_Ledger[[#This Row],[Rate_to_NGN]])</f>
        <v>57800</v>
      </c>
      <c r="R1306" s="25" t="str">
        <f>_xlfn.XLOOKUP(tbl_Ledger[[#This Row],[Account_Code]], tbl_Accounts[Account_Code], tbl_Accounts[Type])</f>
        <v>Revenue</v>
      </c>
      <c r="S1306" s="25" t="str">
        <f>_xlfn.XLOOKUP(tbl_Ledger[[#This Row],[Account_Code]], tbl_Accounts[Account_Code], tbl_Accounts[PL_Bucket])</f>
        <v>Revenue</v>
      </c>
      <c r="T1306" s="25">
        <f t="shared" si="20"/>
        <v>57800</v>
      </c>
    </row>
    <row r="1307" spans="1:20">
      <c r="A1307" t="s">
        <v>3466</v>
      </c>
      <c r="B1307" s="7">
        <v>45922</v>
      </c>
      <c r="C1307" t="s">
        <v>87</v>
      </c>
      <c r="D1307" t="s">
        <v>94</v>
      </c>
      <c r="E1307" t="s">
        <v>3</v>
      </c>
      <c r="F1307" s="12" t="s">
        <v>33</v>
      </c>
      <c r="G1307" t="s">
        <v>34</v>
      </c>
      <c r="H1307" t="s">
        <v>2691</v>
      </c>
      <c r="I1307" t="s">
        <v>71</v>
      </c>
      <c r="J1307" s="6">
        <v>-565000</v>
      </c>
      <c r="K1307" t="s">
        <v>316</v>
      </c>
      <c r="L1307" t="s">
        <v>3467</v>
      </c>
      <c r="M1307" t="s">
        <v>3</v>
      </c>
      <c r="N1307" s="25" t="str">
        <f>TEXT(tbl_Ledger[[#This Row],[Date]],"yyyy-mm")</f>
        <v>2025-09</v>
      </c>
      <c r="O1307" s="25" t="str">
        <f>TEXT(tbl_Ledger[[#This Row],[Date]],"yyyy-mm") &amp; TRIM(tbl_Ledger[[#This Row],[Currency]])</f>
        <v>2025-09NGN</v>
      </c>
      <c r="P1307" s="25">
        <f>_xlfn.XLOOKUP(tbl_Ledger[[#This Row],[Key]], tbl_FX[Key], tbl_FX[Rate_to_NGN])</f>
        <v>1</v>
      </c>
      <c r="Q1307" s="37">
        <f>IF(tbl_Ledger[[#This Row],[Account_Type]]="Expense",-ABS(tbl_Ledger[[#This Row],[Amount]]*tbl_Ledger[[#This Row],[Rate_to_NGN]]),tbl_Ledger[[#This Row],[Amount]]*tbl_Ledger[[#This Row],[Rate_to_NGN]])</f>
        <v>-565000</v>
      </c>
      <c r="R1307" s="25" t="str">
        <f>_xlfn.XLOOKUP(tbl_Ledger[[#This Row],[Account_Code]], tbl_Accounts[Account_Code], tbl_Accounts[Type])</f>
        <v>COGS</v>
      </c>
      <c r="S1307" s="25" t="str">
        <f>_xlfn.XLOOKUP(tbl_Ledger[[#This Row],[Account_Code]], tbl_Accounts[Account_Code], tbl_Accounts[PL_Bucket])</f>
        <v>COGS</v>
      </c>
      <c r="T1307" s="25">
        <f t="shared" si="20"/>
        <v>-565000</v>
      </c>
    </row>
    <row r="1308" spans="1:20">
      <c r="A1308" t="s">
        <v>3468</v>
      </c>
      <c r="B1308" s="7">
        <v>45922</v>
      </c>
      <c r="C1308" t="s">
        <v>87</v>
      </c>
      <c r="D1308" t="s">
        <v>94</v>
      </c>
      <c r="E1308" t="s">
        <v>3</v>
      </c>
      <c r="F1308" s="12" t="s">
        <v>38</v>
      </c>
      <c r="G1308" t="s">
        <v>39</v>
      </c>
      <c r="H1308" t="s">
        <v>2694</v>
      </c>
      <c r="I1308" t="s">
        <v>71</v>
      </c>
      <c r="J1308" s="6">
        <v>-159000</v>
      </c>
      <c r="K1308" t="s">
        <v>276</v>
      </c>
      <c r="L1308" t="s">
        <v>3469</v>
      </c>
      <c r="M1308" t="s">
        <v>3</v>
      </c>
      <c r="N1308" s="25" t="str">
        <f>TEXT(tbl_Ledger[[#This Row],[Date]],"yyyy-mm")</f>
        <v>2025-09</v>
      </c>
      <c r="O1308" s="25" t="str">
        <f>TEXT(tbl_Ledger[[#This Row],[Date]],"yyyy-mm") &amp; TRIM(tbl_Ledger[[#This Row],[Currency]])</f>
        <v>2025-09NGN</v>
      </c>
      <c r="P1308" s="25">
        <f>_xlfn.XLOOKUP(tbl_Ledger[[#This Row],[Key]], tbl_FX[Key], tbl_FX[Rate_to_NGN])</f>
        <v>1</v>
      </c>
      <c r="Q1308" s="37">
        <f>IF(tbl_Ledger[[#This Row],[Account_Type]]="Expense",-ABS(tbl_Ledger[[#This Row],[Amount]]*tbl_Ledger[[#This Row],[Rate_to_NGN]]),tbl_Ledger[[#This Row],[Amount]]*tbl_Ledger[[#This Row],[Rate_to_NGN]])</f>
        <v>-159000</v>
      </c>
      <c r="R1308" s="25" t="str">
        <f>_xlfn.XLOOKUP(tbl_Ledger[[#This Row],[Account_Code]], tbl_Accounts[Account_Code], tbl_Accounts[Type])</f>
        <v>COGS</v>
      </c>
      <c r="S1308" s="25" t="str">
        <f>_xlfn.XLOOKUP(tbl_Ledger[[#This Row],[Account_Code]], tbl_Accounts[Account_Code], tbl_Accounts[PL_Bucket])</f>
        <v>COGS</v>
      </c>
      <c r="T1308" s="25">
        <f t="shared" si="20"/>
        <v>-159000</v>
      </c>
    </row>
    <row r="1309" spans="1:20">
      <c r="A1309" t="s">
        <v>3470</v>
      </c>
      <c r="B1309" s="7">
        <v>45922</v>
      </c>
      <c r="C1309" t="s">
        <v>87</v>
      </c>
      <c r="D1309" t="s">
        <v>94</v>
      </c>
      <c r="E1309" t="s">
        <v>3</v>
      </c>
      <c r="F1309" s="12" t="s">
        <v>44</v>
      </c>
      <c r="G1309" t="s">
        <v>45</v>
      </c>
      <c r="H1309" t="s">
        <v>3073</v>
      </c>
      <c r="I1309" t="s">
        <v>71</v>
      </c>
      <c r="J1309" s="6">
        <v>-310000</v>
      </c>
      <c r="K1309" t="s">
        <v>668</v>
      </c>
      <c r="L1309" t="s">
        <v>3471</v>
      </c>
      <c r="M1309" t="s">
        <v>3</v>
      </c>
      <c r="N1309" s="25" t="str">
        <f>TEXT(tbl_Ledger[[#This Row],[Date]],"yyyy-mm")</f>
        <v>2025-09</v>
      </c>
      <c r="O1309" s="25" t="str">
        <f>TEXT(tbl_Ledger[[#This Row],[Date]],"yyyy-mm") &amp; TRIM(tbl_Ledger[[#This Row],[Currency]])</f>
        <v>2025-09NGN</v>
      </c>
      <c r="P1309" s="25">
        <f>_xlfn.XLOOKUP(tbl_Ledger[[#This Row],[Key]], tbl_FX[Key], tbl_FX[Rate_to_NGN])</f>
        <v>1</v>
      </c>
      <c r="Q1309" s="37">
        <f>IF(tbl_Ledger[[#This Row],[Account_Type]]="Expense",-ABS(tbl_Ledger[[#This Row],[Amount]]*tbl_Ledger[[#This Row],[Rate_to_NGN]]),tbl_Ledger[[#This Row],[Amount]]*tbl_Ledger[[#This Row],[Rate_to_NGN]])</f>
        <v>-310000</v>
      </c>
      <c r="R1309" s="25" t="str">
        <f>_xlfn.XLOOKUP(tbl_Ledger[[#This Row],[Account_Code]], tbl_Accounts[Account_Code], tbl_Accounts[Type])</f>
        <v>COGS</v>
      </c>
      <c r="S1309" s="25" t="str">
        <f>_xlfn.XLOOKUP(tbl_Ledger[[#This Row],[Account_Code]], tbl_Accounts[Account_Code], tbl_Accounts[PL_Bucket])</f>
        <v>COGS</v>
      </c>
      <c r="T1309" s="25">
        <f t="shared" si="20"/>
        <v>-310000</v>
      </c>
    </row>
    <row r="1310" spans="1:20">
      <c r="A1310" t="s">
        <v>3472</v>
      </c>
      <c r="B1310" s="7">
        <v>45922</v>
      </c>
      <c r="C1310" t="s">
        <v>87</v>
      </c>
      <c r="D1310" t="s">
        <v>94</v>
      </c>
      <c r="E1310" t="s">
        <v>3</v>
      </c>
      <c r="F1310" s="12" t="s">
        <v>65</v>
      </c>
      <c r="G1310" t="s">
        <v>66</v>
      </c>
      <c r="H1310" t="s">
        <v>3473</v>
      </c>
      <c r="I1310" t="s">
        <v>71</v>
      </c>
      <c r="J1310" s="6">
        <v>-180000</v>
      </c>
      <c r="K1310" t="s">
        <v>3</v>
      </c>
      <c r="L1310" t="s">
        <v>3474</v>
      </c>
      <c r="M1310" t="s">
        <v>3475</v>
      </c>
      <c r="N1310" s="25" t="str">
        <f>TEXT(tbl_Ledger[[#This Row],[Date]],"yyyy-mm")</f>
        <v>2025-09</v>
      </c>
      <c r="O1310" s="25" t="str">
        <f>TEXT(tbl_Ledger[[#This Row],[Date]],"yyyy-mm") &amp; TRIM(tbl_Ledger[[#This Row],[Currency]])</f>
        <v>2025-09NGN</v>
      </c>
      <c r="P1310" s="25">
        <f>_xlfn.XLOOKUP(tbl_Ledger[[#This Row],[Key]], tbl_FX[Key], tbl_FX[Rate_to_NGN])</f>
        <v>1</v>
      </c>
      <c r="Q1310" s="37">
        <f>IF(tbl_Ledger[[#This Row],[Account_Type]]="Expense",-ABS(tbl_Ledger[[#This Row],[Amount]]*tbl_Ledger[[#This Row],[Rate_to_NGN]]),tbl_Ledger[[#This Row],[Amount]]*tbl_Ledger[[#This Row],[Rate_to_NGN]])</f>
        <v>-180000</v>
      </c>
      <c r="R1310" s="25" t="str">
        <f>_xlfn.XLOOKUP(tbl_Ledger[[#This Row],[Account_Code]], tbl_Accounts[Account_Code], tbl_Accounts[Type])</f>
        <v>Opex</v>
      </c>
      <c r="S1310" s="25" t="str">
        <f>_xlfn.XLOOKUP(tbl_Ledger[[#This Row],[Account_Code]], tbl_Accounts[Account_Code], tbl_Accounts[PL_Bucket])</f>
        <v>Opex</v>
      </c>
      <c r="T1310" s="25">
        <f t="shared" si="20"/>
        <v>-180000</v>
      </c>
    </row>
    <row r="1311" spans="1:20">
      <c r="A1311" t="s">
        <v>3476</v>
      </c>
      <c r="B1311" s="7">
        <v>45923</v>
      </c>
      <c r="C1311" t="s">
        <v>93</v>
      </c>
      <c r="D1311" t="s">
        <v>94</v>
      </c>
      <c r="E1311" t="s">
        <v>95</v>
      </c>
      <c r="F1311" s="12" t="s">
        <v>24</v>
      </c>
      <c r="G1311" t="s">
        <v>25</v>
      </c>
      <c r="H1311" t="s">
        <v>3477</v>
      </c>
      <c r="I1311" t="s">
        <v>71</v>
      </c>
      <c r="J1311" s="6">
        <v>32300</v>
      </c>
      <c r="K1311" t="s">
        <v>3</v>
      </c>
      <c r="L1311" t="s">
        <v>3478</v>
      </c>
      <c r="M1311" t="s">
        <v>3</v>
      </c>
      <c r="N1311" s="25" t="str">
        <f>TEXT(tbl_Ledger[[#This Row],[Date]],"yyyy-mm")</f>
        <v>2025-09</v>
      </c>
      <c r="O1311" s="25" t="str">
        <f>TEXT(tbl_Ledger[[#This Row],[Date]],"yyyy-mm") &amp; TRIM(tbl_Ledger[[#This Row],[Currency]])</f>
        <v>2025-09NGN</v>
      </c>
      <c r="P1311" s="25">
        <f>_xlfn.XLOOKUP(tbl_Ledger[[#This Row],[Key]], tbl_FX[Key], tbl_FX[Rate_to_NGN])</f>
        <v>1</v>
      </c>
      <c r="Q1311" s="37">
        <f>IF(tbl_Ledger[[#This Row],[Account_Type]]="Expense",-ABS(tbl_Ledger[[#This Row],[Amount]]*tbl_Ledger[[#This Row],[Rate_to_NGN]]),tbl_Ledger[[#This Row],[Amount]]*tbl_Ledger[[#This Row],[Rate_to_NGN]])</f>
        <v>32300</v>
      </c>
      <c r="R1311" s="25" t="str">
        <f>_xlfn.XLOOKUP(tbl_Ledger[[#This Row],[Account_Code]], tbl_Accounts[Account_Code], tbl_Accounts[Type])</f>
        <v>Revenue</v>
      </c>
      <c r="S1311" s="25" t="str">
        <f>_xlfn.XLOOKUP(tbl_Ledger[[#This Row],[Account_Code]], tbl_Accounts[Account_Code], tbl_Accounts[PL_Bucket])</f>
        <v>Revenue</v>
      </c>
      <c r="T1311" s="25">
        <f t="shared" si="20"/>
        <v>32300</v>
      </c>
    </row>
    <row r="1312" spans="1:20">
      <c r="A1312" t="s">
        <v>3479</v>
      </c>
      <c r="B1312" s="7">
        <v>45923</v>
      </c>
      <c r="C1312" t="s">
        <v>93</v>
      </c>
      <c r="D1312" t="s">
        <v>94</v>
      </c>
      <c r="E1312" t="s">
        <v>99</v>
      </c>
      <c r="F1312" s="12" t="s">
        <v>24</v>
      </c>
      <c r="G1312" t="s">
        <v>25</v>
      </c>
      <c r="H1312" t="s">
        <v>3480</v>
      </c>
      <c r="I1312" t="s">
        <v>71</v>
      </c>
      <c r="J1312" s="6">
        <v>29600</v>
      </c>
      <c r="K1312" t="s">
        <v>3</v>
      </c>
      <c r="L1312" t="s">
        <v>3481</v>
      </c>
      <c r="M1312" t="s">
        <v>3</v>
      </c>
      <c r="N1312" s="25" t="str">
        <f>TEXT(tbl_Ledger[[#This Row],[Date]],"yyyy-mm")</f>
        <v>2025-09</v>
      </c>
      <c r="O1312" s="25" t="str">
        <f>TEXT(tbl_Ledger[[#This Row],[Date]],"yyyy-mm") &amp; TRIM(tbl_Ledger[[#This Row],[Currency]])</f>
        <v>2025-09NGN</v>
      </c>
      <c r="P1312" s="25">
        <f>_xlfn.XLOOKUP(tbl_Ledger[[#This Row],[Key]], tbl_FX[Key], tbl_FX[Rate_to_NGN])</f>
        <v>1</v>
      </c>
      <c r="Q1312" s="37">
        <f>IF(tbl_Ledger[[#This Row],[Account_Type]]="Expense",-ABS(tbl_Ledger[[#This Row],[Amount]]*tbl_Ledger[[#This Row],[Rate_to_NGN]]),tbl_Ledger[[#This Row],[Amount]]*tbl_Ledger[[#This Row],[Rate_to_NGN]])</f>
        <v>29600</v>
      </c>
      <c r="R1312" s="25" t="str">
        <f>_xlfn.XLOOKUP(tbl_Ledger[[#This Row],[Account_Code]], tbl_Accounts[Account_Code], tbl_Accounts[Type])</f>
        <v>Revenue</v>
      </c>
      <c r="S1312" s="25" t="str">
        <f>_xlfn.XLOOKUP(tbl_Ledger[[#This Row],[Account_Code]], tbl_Accounts[Account_Code], tbl_Accounts[PL_Bucket])</f>
        <v>Revenue</v>
      </c>
      <c r="T1312" s="25">
        <f t="shared" si="20"/>
        <v>29600</v>
      </c>
    </row>
    <row r="1313" spans="1:20">
      <c r="A1313" t="s">
        <v>3482</v>
      </c>
      <c r="B1313" s="7">
        <v>45923</v>
      </c>
      <c r="C1313" t="s">
        <v>93</v>
      </c>
      <c r="D1313" t="s">
        <v>94</v>
      </c>
      <c r="E1313" t="s">
        <v>103</v>
      </c>
      <c r="F1313" s="12" t="s">
        <v>24</v>
      </c>
      <c r="G1313" t="s">
        <v>25</v>
      </c>
      <c r="H1313" t="s">
        <v>3483</v>
      </c>
      <c r="I1313" t="s">
        <v>71</v>
      </c>
      <c r="J1313" s="6">
        <v>31300</v>
      </c>
      <c r="K1313" t="s">
        <v>3</v>
      </c>
      <c r="L1313" t="s">
        <v>3484</v>
      </c>
      <c r="M1313" t="s">
        <v>3</v>
      </c>
      <c r="N1313" s="25" t="str">
        <f>TEXT(tbl_Ledger[[#This Row],[Date]],"yyyy-mm")</f>
        <v>2025-09</v>
      </c>
      <c r="O1313" s="25" t="str">
        <f>TEXT(tbl_Ledger[[#This Row],[Date]],"yyyy-mm") &amp; TRIM(tbl_Ledger[[#This Row],[Currency]])</f>
        <v>2025-09NGN</v>
      </c>
      <c r="P1313" s="25">
        <f>_xlfn.XLOOKUP(tbl_Ledger[[#This Row],[Key]], tbl_FX[Key], tbl_FX[Rate_to_NGN])</f>
        <v>1</v>
      </c>
      <c r="Q1313" s="37">
        <f>IF(tbl_Ledger[[#This Row],[Account_Type]]="Expense",-ABS(tbl_Ledger[[#This Row],[Amount]]*tbl_Ledger[[#This Row],[Rate_to_NGN]]),tbl_Ledger[[#This Row],[Amount]]*tbl_Ledger[[#This Row],[Rate_to_NGN]])</f>
        <v>31300</v>
      </c>
      <c r="R1313" s="25" t="str">
        <f>_xlfn.XLOOKUP(tbl_Ledger[[#This Row],[Account_Code]], tbl_Accounts[Account_Code], tbl_Accounts[Type])</f>
        <v>Revenue</v>
      </c>
      <c r="S1313" s="25" t="str">
        <f>_xlfn.XLOOKUP(tbl_Ledger[[#This Row],[Account_Code]], tbl_Accounts[Account_Code], tbl_Accounts[PL_Bucket])</f>
        <v>Revenue</v>
      </c>
      <c r="T1313" s="25">
        <f t="shared" si="20"/>
        <v>31300</v>
      </c>
    </row>
    <row r="1314" spans="1:20">
      <c r="A1314" t="s">
        <v>3485</v>
      </c>
      <c r="B1314" s="7">
        <v>45923</v>
      </c>
      <c r="C1314" t="s">
        <v>93</v>
      </c>
      <c r="D1314" t="s">
        <v>94</v>
      </c>
      <c r="E1314" t="s">
        <v>160</v>
      </c>
      <c r="F1314" s="12" t="s">
        <v>24</v>
      </c>
      <c r="G1314" t="s">
        <v>25</v>
      </c>
      <c r="H1314" t="s">
        <v>3486</v>
      </c>
      <c r="I1314" t="s">
        <v>71</v>
      </c>
      <c r="J1314" s="6">
        <v>30600</v>
      </c>
      <c r="K1314" t="s">
        <v>3</v>
      </c>
      <c r="L1314" t="s">
        <v>3484</v>
      </c>
      <c r="M1314" t="s">
        <v>3</v>
      </c>
      <c r="N1314" s="25" t="str">
        <f>TEXT(tbl_Ledger[[#This Row],[Date]],"yyyy-mm")</f>
        <v>2025-09</v>
      </c>
      <c r="O1314" s="25" t="str">
        <f>TEXT(tbl_Ledger[[#This Row],[Date]],"yyyy-mm") &amp; TRIM(tbl_Ledger[[#This Row],[Currency]])</f>
        <v>2025-09NGN</v>
      </c>
      <c r="P1314" s="25">
        <f>_xlfn.XLOOKUP(tbl_Ledger[[#This Row],[Key]], tbl_FX[Key], tbl_FX[Rate_to_NGN])</f>
        <v>1</v>
      </c>
      <c r="Q1314" s="37">
        <f>IF(tbl_Ledger[[#This Row],[Account_Type]]="Expense",-ABS(tbl_Ledger[[#This Row],[Amount]]*tbl_Ledger[[#This Row],[Rate_to_NGN]]),tbl_Ledger[[#This Row],[Amount]]*tbl_Ledger[[#This Row],[Rate_to_NGN]])</f>
        <v>30600</v>
      </c>
      <c r="R1314" s="25" t="str">
        <f>_xlfn.XLOOKUP(tbl_Ledger[[#This Row],[Account_Code]], tbl_Accounts[Account_Code], tbl_Accounts[Type])</f>
        <v>Revenue</v>
      </c>
      <c r="S1314" s="25" t="str">
        <f>_xlfn.XLOOKUP(tbl_Ledger[[#This Row],[Account_Code]], tbl_Accounts[Account_Code], tbl_Accounts[PL_Bucket])</f>
        <v>Revenue</v>
      </c>
      <c r="T1314" s="25">
        <f t="shared" si="20"/>
        <v>30600</v>
      </c>
    </row>
    <row r="1315" spans="1:20">
      <c r="A1315" t="s">
        <v>3487</v>
      </c>
      <c r="B1315" s="7">
        <v>45923</v>
      </c>
      <c r="C1315" t="s">
        <v>93</v>
      </c>
      <c r="D1315" t="s">
        <v>94</v>
      </c>
      <c r="E1315" t="s">
        <v>107</v>
      </c>
      <c r="F1315" s="12" t="s">
        <v>24</v>
      </c>
      <c r="G1315" t="s">
        <v>25</v>
      </c>
      <c r="H1315" t="s">
        <v>3488</v>
      </c>
      <c r="I1315" t="s">
        <v>71</v>
      </c>
      <c r="J1315" s="6">
        <v>29600</v>
      </c>
      <c r="K1315" t="s">
        <v>3</v>
      </c>
      <c r="L1315" t="s">
        <v>3489</v>
      </c>
      <c r="M1315" t="s">
        <v>3</v>
      </c>
      <c r="N1315" s="25" t="str">
        <f>TEXT(tbl_Ledger[[#This Row],[Date]],"yyyy-mm")</f>
        <v>2025-09</v>
      </c>
      <c r="O1315" s="25" t="str">
        <f>TEXT(tbl_Ledger[[#This Row],[Date]],"yyyy-mm") &amp; TRIM(tbl_Ledger[[#This Row],[Currency]])</f>
        <v>2025-09NGN</v>
      </c>
      <c r="P1315" s="25">
        <f>_xlfn.XLOOKUP(tbl_Ledger[[#This Row],[Key]], tbl_FX[Key], tbl_FX[Rate_to_NGN])</f>
        <v>1</v>
      </c>
      <c r="Q1315" s="37">
        <f>IF(tbl_Ledger[[#This Row],[Account_Type]]="Expense",-ABS(tbl_Ledger[[#This Row],[Amount]]*tbl_Ledger[[#This Row],[Rate_to_NGN]]),tbl_Ledger[[#This Row],[Amount]]*tbl_Ledger[[#This Row],[Rate_to_NGN]])</f>
        <v>29600</v>
      </c>
      <c r="R1315" s="25" t="str">
        <f>_xlfn.XLOOKUP(tbl_Ledger[[#This Row],[Account_Code]], tbl_Accounts[Account_Code], tbl_Accounts[Type])</f>
        <v>Revenue</v>
      </c>
      <c r="S1315" s="25" t="str">
        <f>_xlfn.XLOOKUP(tbl_Ledger[[#This Row],[Account_Code]], tbl_Accounts[Account_Code], tbl_Accounts[PL_Bucket])</f>
        <v>Revenue</v>
      </c>
      <c r="T1315" s="25">
        <f t="shared" si="20"/>
        <v>29600</v>
      </c>
    </row>
    <row r="1316" spans="1:20">
      <c r="A1316" t="s">
        <v>3490</v>
      </c>
      <c r="B1316" s="7">
        <v>45923</v>
      </c>
      <c r="C1316" t="s">
        <v>93</v>
      </c>
      <c r="D1316" t="s">
        <v>111</v>
      </c>
      <c r="E1316" t="s">
        <v>112</v>
      </c>
      <c r="F1316" s="12" t="s">
        <v>24</v>
      </c>
      <c r="G1316" t="s">
        <v>25</v>
      </c>
      <c r="H1316" t="s">
        <v>3491</v>
      </c>
      <c r="I1316" t="s">
        <v>71</v>
      </c>
      <c r="J1316" s="6">
        <v>50000</v>
      </c>
      <c r="K1316" t="s">
        <v>3</v>
      </c>
      <c r="L1316" t="s">
        <v>3492</v>
      </c>
      <c r="M1316" t="s">
        <v>3</v>
      </c>
      <c r="N1316" s="25" t="str">
        <f>TEXT(tbl_Ledger[[#This Row],[Date]],"yyyy-mm")</f>
        <v>2025-09</v>
      </c>
      <c r="O1316" s="25" t="str">
        <f>TEXT(tbl_Ledger[[#This Row],[Date]],"yyyy-mm") &amp; TRIM(tbl_Ledger[[#This Row],[Currency]])</f>
        <v>2025-09NGN</v>
      </c>
      <c r="P1316" s="25">
        <f>_xlfn.XLOOKUP(tbl_Ledger[[#This Row],[Key]], tbl_FX[Key], tbl_FX[Rate_to_NGN])</f>
        <v>1</v>
      </c>
      <c r="Q1316" s="37">
        <f>IF(tbl_Ledger[[#This Row],[Account_Type]]="Expense",-ABS(tbl_Ledger[[#This Row],[Amount]]*tbl_Ledger[[#This Row],[Rate_to_NGN]]),tbl_Ledger[[#This Row],[Amount]]*tbl_Ledger[[#This Row],[Rate_to_NGN]])</f>
        <v>50000</v>
      </c>
      <c r="R1316" s="25" t="str">
        <f>_xlfn.XLOOKUP(tbl_Ledger[[#This Row],[Account_Code]], tbl_Accounts[Account_Code], tbl_Accounts[Type])</f>
        <v>Revenue</v>
      </c>
      <c r="S1316" s="25" t="str">
        <f>_xlfn.XLOOKUP(tbl_Ledger[[#This Row],[Account_Code]], tbl_Accounts[Account_Code], tbl_Accounts[PL_Bucket])</f>
        <v>Revenue</v>
      </c>
      <c r="T1316" s="25">
        <f t="shared" si="20"/>
        <v>50000</v>
      </c>
    </row>
    <row r="1317" spans="1:20">
      <c r="A1317" t="s">
        <v>3493</v>
      </c>
      <c r="B1317" s="7">
        <v>45923</v>
      </c>
      <c r="C1317" t="s">
        <v>93</v>
      </c>
      <c r="D1317" t="s">
        <v>111</v>
      </c>
      <c r="E1317" t="s">
        <v>116</v>
      </c>
      <c r="F1317" s="12" t="s">
        <v>24</v>
      </c>
      <c r="G1317" t="s">
        <v>25</v>
      </c>
      <c r="H1317" t="s">
        <v>3494</v>
      </c>
      <c r="I1317" t="s">
        <v>71</v>
      </c>
      <c r="J1317" s="6">
        <v>48100</v>
      </c>
      <c r="K1317" t="s">
        <v>3</v>
      </c>
      <c r="L1317" t="s">
        <v>3492</v>
      </c>
      <c r="M1317" t="s">
        <v>3</v>
      </c>
      <c r="N1317" s="25" t="str">
        <f>TEXT(tbl_Ledger[[#This Row],[Date]],"yyyy-mm")</f>
        <v>2025-09</v>
      </c>
      <c r="O1317" s="25" t="str">
        <f>TEXT(tbl_Ledger[[#This Row],[Date]],"yyyy-mm") &amp; TRIM(tbl_Ledger[[#This Row],[Currency]])</f>
        <v>2025-09NGN</v>
      </c>
      <c r="P1317" s="25">
        <f>_xlfn.XLOOKUP(tbl_Ledger[[#This Row],[Key]], tbl_FX[Key], tbl_FX[Rate_to_NGN])</f>
        <v>1</v>
      </c>
      <c r="Q1317" s="37">
        <f>IF(tbl_Ledger[[#This Row],[Account_Type]]="Expense",-ABS(tbl_Ledger[[#This Row],[Amount]]*tbl_Ledger[[#This Row],[Rate_to_NGN]]),tbl_Ledger[[#This Row],[Amount]]*tbl_Ledger[[#This Row],[Rate_to_NGN]])</f>
        <v>48100</v>
      </c>
      <c r="R1317" s="25" t="str">
        <f>_xlfn.XLOOKUP(tbl_Ledger[[#This Row],[Account_Code]], tbl_Accounts[Account_Code], tbl_Accounts[Type])</f>
        <v>Revenue</v>
      </c>
      <c r="S1317" s="25" t="str">
        <f>_xlfn.XLOOKUP(tbl_Ledger[[#This Row],[Account_Code]], tbl_Accounts[Account_Code], tbl_Accounts[PL_Bucket])</f>
        <v>Revenue</v>
      </c>
      <c r="T1317" s="25">
        <f t="shared" si="20"/>
        <v>48100</v>
      </c>
    </row>
    <row r="1318" spans="1:20">
      <c r="A1318" t="s">
        <v>3495</v>
      </c>
      <c r="B1318" s="7">
        <v>45923</v>
      </c>
      <c r="C1318" t="s">
        <v>93</v>
      </c>
      <c r="D1318" t="s">
        <v>111</v>
      </c>
      <c r="E1318" t="s">
        <v>119</v>
      </c>
      <c r="F1318" s="12" t="s">
        <v>24</v>
      </c>
      <c r="G1318" t="s">
        <v>25</v>
      </c>
      <c r="H1318" t="s">
        <v>3496</v>
      </c>
      <c r="I1318" t="s">
        <v>71</v>
      </c>
      <c r="J1318" s="6">
        <v>50100</v>
      </c>
      <c r="K1318" t="s">
        <v>3</v>
      </c>
      <c r="L1318" t="s">
        <v>3492</v>
      </c>
      <c r="M1318" t="s">
        <v>3</v>
      </c>
      <c r="N1318" s="25" t="str">
        <f>TEXT(tbl_Ledger[[#This Row],[Date]],"yyyy-mm")</f>
        <v>2025-09</v>
      </c>
      <c r="O1318" s="25" t="str">
        <f>TEXT(tbl_Ledger[[#This Row],[Date]],"yyyy-mm") &amp; TRIM(tbl_Ledger[[#This Row],[Currency]])</f>
        <v>2025-09NGN</v>
      </c>
      <c r="P1318" s="25">
        <f>_xlfn.XLOOKUP(tbl_Ledger[[#This Row],[Key]], tbl_FX[Key], tbl_FX[Rate_to_NGN])</f>
        <v>1</v>
      </c>
      <c r="Q1318" s="37">
        <f>IF(tbl_Ledger[[#This Row],[Account_Type]]="Expense",-ABS(tbl_Ledger[[#This Row],[Amount]]*tbl_Ledger[[#This Row],[Rate_to_NGN]]),tbl_Ledger[[#This Row],[Amount]]*tbl_Ledger[[#This Row],[Rate_to_NGN]])</f>
        <v>50100</v>
      </c>
      <c r="R1318" s="25" t="str">
        <f>_xlfn.XLOOKUP(tbl_Ledger[[#This Row],[Account_Code]], tbl_Accounts[Account_Code], tbl_Accounts[Type])</f>
        <v>Revenue</v>
      </c>
      <c r="S1318" s="25" t="str">
        <f>_xlfn.XLOOKUP(tbl_Ledger[[#This Row],[Account_Code]], tbl_Accounts[Account_Code], tbl_Accounts[PL_Bucket])</f>
        <v>Revenue</v>
      </c>
      <c r="T1318" s="25">
        <f t="shared" si="20"/>
        <v>50100</v>
      </c>
    </row>
    <row r="1319" spans="1:20">
      <c r="A1319" t="s">
        <v>3497</v>
      </c>
      <c r="B1319" s="7">
        <v>45923</v>
      </c>
      <c r="C1319" t="s">
        <v>93</v>
      </c>
      <c r="D1319" t="s">
        <v>111</v>
      </c>
      <c r="E1319" t="s">
        <v>170</v>
      </c>
      <c r="F1319" s="12" t="s">
        <v>24</v>
      </c>
      <c r="G1319" t="s">
        <v>25</v>
      </c>
      <c r="H1319" t="s">
        <v>3498</v>
      </c>
      <c r="I1319" t="s">
        <v>71</v>
      </c>
      <c r="J1319" s="6">
        <v>49200</v>
      </c>
      <c r="K1319" t="s">
        <v>3</v>
      </c>
      <c r="L1319" t="s">
        <v>3492</v>
      </c>
      <c r="M1319" t="s">
        <v>3</v>
      </c>
      <c r="N1319" s="25" t="str">
        <f>TEXT(tbl_Ledger[[#This Row],[Date]],"yyyy-mm")</f>
        <v>2025-09</v>
      </c>
      <c r="O1319" s="25" t="str">
        <f>TEXT(tbl_Ledger[[#This Row],[Date]],"yyyy-mm") &amp; TRIM(tbl_Ledger[[#This Row],[Currency]])</f>
        <v>2025-09NGN</v>
      </c>
      <c r="P1319" s="25">
        <f>_xlfn.XLOOKUP(tbl_Ledger[[#This Row],[Key]], tbl_FX[Key], tbl_FX[Rate_to_NGN])</f>
        <v>1</v>
      </c>
      <c r="Q1319" s="37">
        <f>IF(tbl_Ledger[[#This Row],[Account_Type]]="Expense",-ABS(tbl_Ledger[[#This Row],[Amount]]*tbl_Ledger[[#This Row],[Rate_to_NGN]]),tbl_Ledger[[#This Row],[Amount]]*tbl_Ledger[[#This Row],[Rate_to_NGN]])</f>
        <v>49200</v>
      </c>
      <c r="R1319" s="25" t="str">
        <f>_xlfn.XLOOKUP(tbl_Ledger[[#This Row],[Account_Code]], tbl_Accounts[Account_Code], tbl_Accounts[Type])</f>
        <v>Revenue</v>
      </c>
      <c r="S1319" s="25" t="str">
        <f>_xlfn.XLOOKUP(tbl_Ledger[[#This Row],[Account_Code]], tbl_Accounts[Account_Code], tbl_Accounts[PL_Bucket])</f>
        <v>Revenue</v>
      </c>
      <c r="T1319" s="25">
        <f t="shared" si="20"/>
        <v>49200</v>
      </c>
    </row>
    <row r="1320" spans="1:20">
      <c r="A1320" t="s">
        <v>3499</v>
      </c>
      <c r="B1320" s="7">
        <v>45923</v>
      </c>
      <c r="C1320" t="s">
        <v>93</v>
      </c>
      <c r="D1320" t="s">
        <v>111</v>
      </c>
      <c r="E1320" t="s">
        <v>122</v>
      </c>
      <c r="F1320" s="12" t="s">
        <v>24</v>
      </c>
      <c r="G1320" t="s">
        <v>25</v>
      </c>
      <c r="H1320" t="s">
        <v>3500</v>
      </c>
      <c r="I1320" t="s">
        <v>71</v>
      </c>
      <c r="J1320" s="6">
        <v>49200</v>
      </c>
      <c r="K1320" t="s">
        <v>3</v>
      </c>
      <c r="L1320" t="s">
        <v>3501</v>
      </c>
      <c r="M1320" t="s">
        <v>3</v>
      </c>
      <c r="N1320" s="25" t="str">
        <f>TEXT(tbl_Ledger[[#This Row],[Date]],"yyyy-mm")</f>
        <v>2025-09</v>
      </c>
      <c r="O1320" s="25" t="str">
        <f>TEXT(tbl_Ledger[[#This Row],[Date]],"yyyy-mm") &amp; TRIM(tbl_Ledger[[#This Row],[Currency]])</f>
        <v>2025-09NGN</v>
      </c>
      <c r="P1320" s="25">
        <f>_xlfn.XLOOKUP(tbl_Ledger[[#This Row],[Key]], tbl_FX[Key], tbl_FX[Rate_to_NGN])</f>
        <v>1</v>
      </c>
      <c r="Q1320" s="37">
        <f>IF(tbl_Ledger[[#This Row],[Account_Type]]="Expense",-ABS(tbl_Ledger[[#This Row],[Amount]]*tbl_Ledger[[#This Row],[Rate_to_NGN]]),tbl_Ledger[[#This Row],[Amount]]*tbl_Ledger[[#This Row],[Rate_to_NGN]])</f>
        <v>49200</v>
      </c>
      <c r="R1320" s="25" t="str">
        <f>_xlfn.XLOOKUP(tbl_Ledger[[#This Row],[Account_Code]], tbl_Accounts[Account_Code], tbl_Accounts[Type])</f>
        <v>Revenue</v>
      </c>
      <c r="S1320" s="25" t="str">
        <f>_xlfn.XLOOKUP(tbl_Ledger[[#This Row],[Account_Code]], tbl_Accounts[Account_Code], tbl_Accounts[PL_Bucket])</f>
        <v>Revenue</v>
      </c>
      <c r="T1320" s="25">
        <f t="shared" si="20"/>
        <v>49200</v>
      </c>
    </row>
    <row r="1321" spans="1:20">
      <c r="A1321" t="s">
        <v>3502</v>
      </c>
      <c r="B1321" s="7">
        <v>45923</v>
      </c>
      <c r="C1321" t="s">
        <v>126</v>
      </c>
      <c r="D1321" t="s">
        <v>88</v>
      </c>
      <c r="E1321" t="s">
        <v>127</v>
      </c>
      <c r="F1321" s="12" t="s">
        <v>29</v>
      </c>
      <c r="G1321" t="s">
        <v>30</v>
      </c>
      <c r="H1321" t="s">
        <v>3503</v>
      </c>
      <c r="I1321" t="s">
        <v>71</v>
      </c>
      <c r="J1321" s="6">
        <v>53100</v>
      </c>
      <c r="K1321" t="s">
        <v>129</v>
      </c>
      <c r="L1321" t="s">
        <v>3504</v>
      </c>
      <c r="M1321" t="s">
        <v>3</v>
      </c>
      <c r="N1321" s="25" t="str">
        <f>TEXT(tbl_Ledger[[#This Row],[Date]],"yyyy-mm")</f>
        <v>2025-09</v>
      </c>
      <c r="O1321" s="25" t="str">
        <f>TEXT(tbl_Ledger[[#This Row],[Date]],"yyyy-mm") &amp; TRIM(tbl_Ledger[[#This Row],[Currency]])</f>
        <v>2025-09NGN</v>
      </c>
      <c r="P1321" s="25">
        <f>_xlfn.XLOOKUP(tbl_Ledger[[#This Row],[Key]], tbl_FX[Key], tbl_FX[Rate_to_NGN])</f>
        <v>1</v>
      </c>
      <c r="Q1321" s="37">
        <f>IF(tbl_Ledger[[#This Row],[Account_Type]]="Expense",-ABS(tbl_Ledger[[#This Row],[Amount]]*tbl_Ledger[[#This Row],[Rate_to_NGN]]),tbl_Ledger[[#This Row],[Amount]]*tbl_Ledger[[#This Row],[Rate_to_NGN]])</f>
        <v>53100</v>
      </c>
      <c r="R1321" s="25" t="str">
        <f>_xlfn.XLOOKUP(tbl_Ledger[[#This Row],[Account_Code]], tbl_Accounts[Account_Code], tbl_Accounts[Type])</f>
        <v>Revenue</v>
      </c>
      <c r="S1321" s="25" t="str">
        <f>_xlfn.XLOOKUP(tbl_Ledger[[#This Row],[Account_Code]], tbl_Accounts[Account_Code], tbl_Accounts[PL_Bucket])</f>
        <v>Revenue</v>
      </c>
      <c r="T1321" s="25">
        <f t="shared" si="20"/>
        <v>53100</v>
      </c>
    </row>
    <row r="1322" spans="1:20">
      <c r="A1322" t="s">
        <v>3505</v>
      </c>
      <c r="B1322" s="7">
        <v>45923</v>
      </c>
      <c r="C1322" t="s">
        <v>126</v>
      </c>
      <c r="D1322" t="s">
        <v>88</v>
      </c>
      <c r="E1322" t="s">
        <v>132</v>
      </c>
      <c r="F1322" s="12" t="s">
        <v>29</v>
      </c>
      <c r="G1322" t="s">
        <v>30</v>
      </c>
      <c r="H1322" t="s">
        <v>3506</v>
      </c>
      <c r="I1322" t="s">
        <v>71</v>
      </c>
      <c r="J1322" s="6">
        <v>51600</v>
      </c>
      <c r="K1322" t="s">
        <v>134</v>
      </c>
      <c r="L1322" t="s">
        <v>3504</v>
      </c>
      <c r="M1322" t="s">
        <v>3</v>
      </c>
      <c r="N1322" s="25" t="str">
        <f>TEXT(tbl_Ledger[[#This Row],[Date]],"yyyy-mm")</f>
        <v>2025-09</v>
      </c>
      <c r="O1322" s="25" t="str">
        <f>TEXT(tbl_Ledger[[#This Row],[Date]],"yyyy-mm") &amp; TRIM(tbl_Ledger[[#This Row],[Currency]])</f>
        <v>2025-09NGN</v>
      </c>
      <c r="P1322" s="25">
        <f>_xlfn.XLOOKUP(tbl_Ledger[[#This Row],[Key]], tbl_FX[Key], tbl_FX[Rate_to_NGN])</f>
        <v>1</v>
      </c>
      <c r="Q1322" s="37">
        <f>IF(tbl_Ledger[[#This Row],[Account_Type]]="Expense",-ABS(tbl_Ledger[[#This Row],[Amount]]*tbl_Ledger[[#This Row],[Rate_to_NGN]]),tbl_Ledger[[#This Row],[Amount]]*tbl_Ledger[[#This Row],[Rate_to_NGN]])</f>
        <v>51600</v>
      </c>
      <c r="R1322" s="25" t="str">
        <f>_xlfn.XLOOKUP(tbl_Ledger[[#This Row],[Account_Code]], tbl_Accounts[Account_Code], tbl_Accounts[Type])</f>
        <v>Revenue</v>
      </c>
      <c r="S1322" s="25" t="str">
        <f>_xlfn.XLOOKUP(tbl_Ledger[[#This Row],[Account_Code]], tbl_Accounts[Account_Code], tbl_Accounts[PL_Bucket])</f>
        <v>Revenue</v>
      </c>
      <c r="T1322" s="25">
        <f t="shared" si="20"/>
        <v>51600</v>
      </c>
    </row>
    <row r="1323" spans="1:20">
      <c r="A1323" t="s">
        <v>3507</v>
      </c>
      <c r="B1323" s="7">
        <v>45923</v>
      </c>
      <c r="C1323" t="s">
        <v>126</v>
      </c>
      <c r="D1323" t="s">
        <v>88</v>
      </c>
      <c r="E1323" t="s">
        <v>136</v>
      </c>
      <c r="F1323" s="12" t="s">
        <v>29</v>
      </c>
      <c r="G1323" t="s">
        <v>30</v>
      </c>
      <c r="H1323" t="s">
        <v>3508</v>
      </c>
      <c r="I1323" t="s">
        <v>72</v>
      </c>
      <c r="J1323" s="6">
        <v>34.76</v>
      </c>
      <c r="K1323" t="s">
        <v>138</v>
      </c>
      <c r="L1323" t="s">
        <v>3504</v>
      </c>
      <c r="M1323" t="s">
        <v>3</v>
      </c>
      <c r="N1323" s="25" t="str">
        <f>TEXT(tbl_Ledger[[#This Row],[Date]],"yyyy-mm")</f>
        <v>2025-09</v>
      </c>
      <c r="O1323" s="25" t="str">
        <f>TEXT(tbl_Ledger[[#This Row],[Date]],"yyyy-mm") &amp; TRIM(tbl_Ledger[[#This Row],[Currency]])</f>
        <v>2025-09USD</v>
      </c>
      <c r="P1323" s="25">
        <f>_xlfn.XLOOKUP(tbl_Ledger[[#This Row],[Key]], tbl_FX[Key], tbl_FX[Rate_to_NGN])</f>
        <v>1611</v>
      </c>
      <c r="Q1323" s="37">
        <f>IF(tbl_Ledger[[#This Row],[Account_Type]]="Expense",-ABS(tbl_Ledger[[#This Row],[Amount]]*tbl_Ledger[[#This Row],[Rate_to_NGN]]),tbl_Ledger[[#This Row],[Amount]]*tbl_Ledger[[#This Row],[Rate_to_NGN]])</f>
        <v>55998.359999999993</v>
      </c>
      <c r="R1323" s="25" t="str">
        <f>_xlfn.XLOOKUP(tbl_Ledger[[#This Row],[Account_Code]], tbl_Accounts[Account_Code], tbl_Accounts[Type])</f>
        <v>Revenue</v>
      </c>
      <c r="S1323" s="25" t="str">
        <f>_xlfn.XLOOKUP(tbl_Ledger[[#This Row],[Account_Code]], tbl_Accounts[Account_Code], tbl_Accounts[PL_Bucket])</f>
        <v>Revenue</v>
      </c>
      <c r="T1323" s="25">
        <f t="shared" si="20"/>
        <v>55998.359999999993</v>
      </c>
    </row>
    <row r="1324" spans="1:20">
      <c r="A1324" t="s">
        <v>3509</v>
      </c>
      <c r="B1324" s="7">
        <v>45923</v>
      </c>
      <c r="C1324" t="s">
        <v>126</v>
      </c>
      <c r="D1324" t="s">
        <v>88</v>
      </c>
      <c r="E1324" t="s">
        <v>140</v>
      </c>
      <c r="F1324" s="12" t="s">
        <v>29</v>
      </c>
      <c r="G1324" t="s">
        <v>30</v>
      </c>
      <c r="H1324" t="s">
        <v>3510</v>
      </c>
      <c r="I1324" t="s">
        <v>71</v>
      </c>
      <c r="J1324" s="6">
        <v>51000</v>
      </c>
      <c r="K1324" t="s">
        <v>3</v>
      </c>
      <c r="L1324" t="s">
        <v>3511</v>
      </c>
      <c r="M1324" t="s">
        <v>3</v>
      </c>
      <c r="N1324" s="25" t="str">
        <f>TEXT(tbl_Ledger[[#This Row],[Date]],"yyyy-mm")</f>
        <v>2025-09</v>
      </c>
      <c r="O1324" s="25" t="str">
        <f>TEXT(tbl_Ledger[[#This Row],[Date]],"yyyy-mm") &amp; TRIM(tbl_Ledger[[#This Row],[Currency]])</f>
        <v>2025-09NGN</v>
      </c>
      <c r="P1324" s="25">
        <f>_xlfn.XLOOKUP(tbl_Ledger[[#This Row],[Key]], tbl_FX[Key], tbl_FX[Rate_to_NGN])</f>
        <v>1</v>
      </c>
      <c r="Q1324" s="37">
        <f>IF(tbl_Ledger[[#This Row],[Account_Type]]="Expense",-ABS(tbl_Ledger[[#This Row],[Amount]]*tbl_Ledger[[#This Row],[Rate_to_NGN]]),tbl_Ledger[[#This Row],[Amount]]*tbl_Ledger[[#This Row],[Rate_to_NGN]])</f>
        <v>51000</v>
      </c>
      <c r="R1324" s="25" t="str">
        <f>_xlfn.XLOOKUP(tbl_Ledger[[#This Row],[Account_Code]], tbl_Accounts[Account_Code], tbl_Accounts[Type])</f>
        <v>Revenue</v>
      </c>
      <c r="S1324" s="25" t="str">
        <f>_xlfn.XLOOKUP(tbl_Ledger[[#This Row],[Account_Code]], tbl_Accounts[Account_Code], tbl_Accounts[PL_Bucket])</f>
        <v>Revenue</v>
      </c>
      <c r="T1324" s="25">
        <f t="shared" si="20"/>
        <v>51000</v>
      </c>
    </row>
    <row r="1325" spans="1:20">
      <c r="A1325" t="s">
        <v>3512</v>
      </c>
      <c r="B1325" s="7">
        <v>45923</v>
      </c>
      <c r="C1325" t="s">
        <v>93</v>
      </c>
      <c r="D1325" t="s">
        <v>111</v>
      </c>
      <c r="E1325" t="s">
        <v>112</v>
      </c>
      <c r="F1325" s="12" t="s">
        <v>31</v>
      </c>
      <c r="G1325" t="s">
        <v>32</v>
      </c>
      <c r="H1325" t="s">
        <v>3513</v>
      </c>
      <c r="I1325" t="s">
        <v>71</v>
      </c>
      <c r="J1325" s="6">
        <v>191694</v>
      </c>
      <c r="K1325" t="s">
        <v>3</v>
      </c>
      <c r="L1325" t="s">
        <v>3514</v>
      </c>
      <c r="M1325" t="s">
        <v>237</v>
      </c>
      <c r="N1325" s="25" t="str">
        <f>TEXT(tbl_Ledger[[#This Row],[Date]],"yyyy-mm")</f>
        <v>2025-09</v>
      </c>
      <c r="O1325" s="25" t="str">
        <f>TEXT(tbl_Ledger[[#This Row],[Date]],"yyyy-mm") &amp; TRIM(tbl_Ledger[[#This Row],[Currency]])</f>
        <v>2025-09NGN</v>
      </c>
      <c r="P1325" s="25">
        <f>_xlfn.XLOOKUP(tbl_Ledger[[#This Row],[Key]], tbl_FX[Key], tbl_FX[Rate_to_NGN])</f>
        <v>1</v>
      </c>
      <c r="Q1325" s="37">
        <f>IF(tbl_Ledger[[#This Row],[Account_Type]]="Expense",-ABS(tbl_Ledger[[#This Row],[Amount]]*tbl_Ledger[[#This Row],[Rate_to_NGN]]),tbl_Ledger[[#This Row],[Amount]]*tbl_Ledger[[#This Row],[Rate_to_NGN]])</f>
        <v>191694</v>
      </c>
      <c r="R1325" s="25" t="str">
        <f>_xlfn.XLOOKUP(tbl_Ledger[[#This Row],[Account_Code]], tbl_Accounts[Account_Code], tbl_Accounts[Type])</f>
        <v>Revenue</v>
      </c>
      <c r="S1325" s="25" t="str">
        <f>_xlfn.XLOOKUP(tbl_Ledger[[#This Row],[Account_Code]], tbl_Accounts[Account_Code], tbl_Accounts[PL_Bucket])</f>
        <v>Revenue</v>
      </c>
      <c r="T1325" s="25">
        <f t="shared" si="20"/>
        <v>191694</v>
      </c>
    </row>
    <row r="1326" spans="1:20">
      <c r="A1326" t="s">
        <v>3515</v>
      </c>
      <c r="B1326" s="7">
        <v>45923</v>
      </c>
      <c r="C1326" t="s">
        <v>87</v>
      </c>
      <c r="D1326" t="s">
        <v>88</v>
      </c>
      <c r="E1326" t="s">
        <v>3</v>
      </c>
      <c r="F1326" s="12" t="s">
        <v>40</v>
      </c>
      <c r="G1326" t="s">
        <v>41</v>
      </c>
      <c r="H1326" t="s">
        <v>2656</v>
      </c>
      <c r="I1326" t="s">
        <v>71</v>
      </c>
      <c r="J1326" s="6">
        <v>-395000</v>
      </c>
      <c r="K1326" t="s">
        <v>90</v>
      </c>
      <c r="L1326" t="s">
        <v>3516</v>
      </c>
      <c r="M1326" t="s">
        <v>3</v>
      </c>
      <c r="N1326" s="25" t="str">
        <f>TEXT(tbl_Ledger[[#This Row],[Date]],"yyyy-mm")</f>
        <v>2025-09</v>
      </c>
      <c r="O1326" s="25" t="str">
        <f>TEXT(tbl_Ledger[[#This Row],[Date]],"yyyy-mm") &amp; TRIM(tbl_Ledger[[#This Row],[Currency]])</f>
        <v>2025-09NGN</v>
      </c>
      <c r="P1326" s="25">
        <f>_xlfn.XLOOKUP(tbl_Ledger[[#This Row],[Key]], tbl_FX[Key], tbl_FX[Rate_to_NGN])</f>
        <v>1</v>
      </c>
      <c r="Q1326" s="37">
        <f>IF(tbl_Ledger[[#This Row],[Account_Type]]="Expense",-ABS(tbl_Ledger[[#This Row],[Amount]]*tbl_Ledger[[#This Row],[Rate_to_NGN]]),tbl_Ledger[[#This Row],[Amount]]*tbl_Ledger[[#This Row],[Rate_to_NGN]])</f>
        <v>-395000</v>
      </c>
      <c r="R1326" s="25" t="str">
        <f>_xlfn.XLOOKUP(tbl_Ledger[[#This Row],[Account_Code]], tbl_Accounts[Account_Code], tbl_Accounts[Type])</f>
        <v>COGS</v>
      </c>
      <c r="S1326" s="25" t="str">
        <f>_xlfn.XLOOKUP(tbl_Ledger[[#This Row],[Account_Code]], tbl_Accounts[Account_Code], tbl_Accounts[PL_Bucket])</f>
        <v>COGS</v>
      </c>
      <c r="T1326" s="25">
        <f t="shared" si="20"/>
        <v>-395000</v>
      </c>
    </row>
    <row r="1327" spans="1:20">
      <c r="A1327" t="s">
        <v>3517</v>
      </c>
      <c r="B1327" s="7">
        <v>45924</v>
      </c>
      <c r="C1327" t="s">
        <v>93</v>
      </c>
      <c r="D1327" t="s">
        <v>94</v>
      </c>
      <c r="E1327" t="s">
        <v>95</v>
      </c>
      <c r="F1327" s="12" t="s">
        <v>24</v>
      </c>
      <c r="G1327" t="s">
        <v>25</v>
      </c>
      <c r="H1327" t="s">
        <v>3518</v>
      </c>
      <c r="I1327" t="s">
        <v>71</v>
      </c>
      <c r="J1327" s="6">
        <v>31100</v>
      </c>
      <c r="K1327" t="s">
        <v>3</v>
      </c>
      <c r="L1327" t="s">
        <v>3519</v>
      </c>
      <c r="M1327" t="s">
        <v>3</v>
      </c>
      <c r="N1327" s="25" t="str">
        <f>TEXT(tbl_Ledger[[#This Row],[Date]],"yyyy-mm")</f>
        <v>2025-09</v>
      </c>
      <c r="O1327" s="25" t="str">
        <f>TEXT(tbl_Ledger[[#This Row],[Date]],"yyyy-mm") &amp; TRIM(tbl_Ledger[[#This Row],[Currency]])</f>
        <v>2025-09NGN</v>
      </c>
      <c r="P1327" s="25">
        <f>_xlfn.XLOOKUP(tbl_Ledger[[#This Row],[Key]], tbl_FX[Key], tbl_FX[Rate_to_NGN])</f>
        <v>1</v>
      </c>
      <c r="Q1327" s="37">
        <f>IF(tbl_Ledger[[#This Row],[Account_Type]]="Expense",-ABS(tbl_Ledger[[#This Row],[Amount]]*tbl_Ledger[[#This Row],[Rate_to_NGN]]),tbl_Ledger[[#This Row],[Amount]]*tbl_Ledger[[#This Row],[Rate_to_NGN]])</f>
        <v>31100</v>
      </c>
      <c r="R1327" s="25" t="str">
        <f>_xlfn.XLOOKUP(tbl_Ledger[[#This Row],[Account_Code]], tbl_Accounts[Account_Code], tbl_Accounts[Type])</f>
        <v>Revenue</v>
      </c>
      <c r="S1327" s="25" t="str">
        <f>_xlfn.XLOOKUP(tbl_Ledger[[#This Row],[Account_Code]], tbl_Accounts[Account_Code], tbl_Accounts[PL_Bucket])</f>
        <v>Revenue</v>
      </c>
      <c r="T1327" s="25">
        <f t="shared" si="20"/>
        <v>31100</v>
      </c>
    </row>
    <row r="1328" spans="1:20">
      <c r="A1328" t="s">
        <v>3520</v>
      </c>
      <c r="B1328" s="7">
        <v>45924</v>
      </c>
      <c r="C1328" t="s">
        <v>93</v>
      </c>
      <c r="D1328" t="s">
        <v>94</v>
      </c>
      <c r="E1328" t="s">
        <v>99</v>
      </c>
      <c r="F1328" s="12" t="s">
        <v>24</v>
      </c>
      <c r="G1328" t="s">
        <v>25</v>
      </c>
      <c r="H1328" t="s">
        <v>3521</v>
      </c>
      <c r="I1328" t="s">
        <v>71</v>
      </c>
      <c r="J1328" s="6">
        <v>30100</v>
      </c>
      <c r="K1328" t="s">
        <v>3</v>
      </c>
      <c r="L1328" t="s">
        <v>3522</v>
      </c>
      <c r="M1328" t="s">
        <v>3</v>
      </c>
      <c r="N1328" s="25" t="str">
        <f>TEXT(tbl_Ledger[[#This Row],[Date]],"yyyy-mm")</f>
        <v>2025-09</v>
      </c>
      <c r="O1328" s="25" t="str">
        <f>TEXT(tbl_Ledger[[#This Row],[Date]],"yyyy-mm") &amp; TRIM(tbl_Ledger[[#This Row],[Currency]])</f>
        <v>2025-09NGN</v>
      </c>
      <c r="P1328" s="25">
        <f>_xlfn.XLOOKUP(tbl_Ledger[[#This Row],[Key]], tbl_FX[Key], tbl_FX[Rate_to_NGN])</f>
        <v>1</v>
      </c>
      <c r="Q1328" s="37">
        <f>IF(tbl_Ledger[[#This Row],[Account_Type]]="Expense",-ABS(tbl_Ledger[[#This Row],[Amount]]*tbl_Ledger[[#This Row],[Rate_to_NGN]]),tbl_Ledger[[#This Row],[Amount]]*tbl_Ledger[[#This Row],[Rate_to_NGN]])</f>
        <v>30100</v>
      </c>
      <c r="R1328" s="25" t="str">
        <f>_xlfn.XLOOKUP(tbl_Ledger[[#This Row],[Account_Code]], tbl_Accounts[Account_Code], tbl_Accounts[Type])</f>
        <v>Revenue</v>
      </c>
      <c r="S1328" s="25" t="str">
        <f>_xlfn.XLOOKUP(tbl_Ledger[[#This Row],[Account_Code]], tbl_Accounts[Account_Code], tbl_Accounts[PL_Bucket])</f>
        <v>Revenue</v>
      </c>
      <c r="T1328" s="25">
        <f t="shared" si="20"/>
        <v>30100</v>
      </c>
    </row>
    <row r="1329" spans="1:20">
      <c r="A1329" t="s">
        <v>3523</v>
      </c>
      <c r="B1329" s="7">
        <v>45924</v>
      </c>
      <c r="C1329" t="s">
        <v>93</v>
      </c>
      <c r="D1329" t="s">
        <v>94</v>
      </c>
      <c r="E1329" t="s">
        <v>103</v>
      </c>
      <c r="F1329" s="12" t="s">
        <v>24</v>
      </c>
      <c r="G1329" t="s">
        <v>25</v>
      </c>
      <c r="H1329" t="s">
        <v>3524</v>
      </c>
      <c r="I1329" t="s">
        <v>71</v>
      </c>
      <c r="J1329" s="6">
        <v>32200</v>
      </c>
      <c r="K1329" t="s">
        <v>3</v>
      </c>
      <c r="L1329" t="s">
        <v>3525</v>
      </c>
      <c r="M1329" t="s">
        <v>3</v>
      </c>
      <c r="N1329" s="25" t="str">
        <f>TEXT(tbl_Ledger[[#This Row],[Date]],"yyyy-mm")</f>
        <v>2025-09</v>
      </c>
      <c r="O1329" s="25" t="str">
        <f>TEXT(tbl_Ledger[[#This Row],[Date]],"yyyy-mm") &amp; TRIM(tbl_Ledger[[#This Row],[Currency]])</f>
        <v>2025-09NGN</v>
      </c>
      <c r="P1329" s="25">
        <f>_xlfn.XLOOKUP(tbl_Ledger[[#This Row],[Key]], tbl_FX[Key], tbl_FX[Rate_to_NGN])</f>
        <v>1</v>
      </c>
      <c r="Q1329" s="37">
        <f>IF(tbl_Ledger[[#This Row],[Account_Type]]="Expense",-ABS(tbl_Ledger[[#This Row],[Amount]]*tbl_Ledger[[#This Row],[Rate_to_NGN]]),tbl_Ledger[[#This Row],[Amount]]*tbl_Ledger[[#This Row],[Rate_to_NGN]])</f>
        <v>32200</v>
      </c>
      <c r="R1329" s="25" t="str">
        <f>_xlfn.XLOOKUP(tbl_Ledger[[#This Row],[Account_Code]], tbl_Accounts[Account_Code], tbl_Accounts[Type])</f>
        <v>Revenue</v>
      </c>
      <c r="S1329" s="25" t="str">
        <f>_xlfn.XLOOKUP(tbl_Ledger[[#This Row],[Account_Code]], tbl_Accounts[Account_Code], tbl_Accounts[PL_Bucket])</f>
        <v>Revenue</v>
      </c>
      <c r="T1329" s="25">
        <f t="shared" si="20"/>
        <v>32200</v>
      </c>
    </row>
    <row r="1330" spans="1:20">
      <c r="A1330" t="s">
        <v>3526</v>
      </c>
      <c r="B1330" s="7">
        <v>45924</v>
      </c>
      <c r="C1330" t="s">
        <v>93</v>
      </c>
      <c r="D1330" t="s">
        <v>94</v>
      </c>
      <c r="E1330" t="s">
        <v>160</v>
      </c>
      <c r="F1330" s="12" t="s">
        <v>24</v>
      </c>
      <c r="G1330" t="s">
        <v>25</v>
      </c>
      <c r="H1330" t="s">
        <v>3527</v>
      </c>
      <c r="I1330" t="s">
        <v>71</v>
      </c>
      <c r="J1330" s="6">
        <v>32800</v>
      </c>
      <c r="K1330" t="s">
        <v>3</v>
      </c>
      <c r="L1330" t="s">
        <v>3525</v>
      </c>
      <c r="M1330" t="s">
        <v>3</v>
      </c>
      <c r="N1330" s="25" t="str">
        <f>TEXT(tbl_Ledger[[#This Row],[Date]],"yyyy-mm")</f>
        <v>2025-09</v>
      </c>
      <c r="O1330" s="25" t="str">
        <f>TEXT(tbl_Ledger[[#This Row],[Date]],"yyyy-mm") &amp; TRIM(tbl_Ledger[[#This Row],[Currency]])</f>
        <v>2025-09NGN</v>
      </c>
      <c r="P1330" s="25">
        <f>_xlfn.XLOOKUP(tbl_Ledger[[#This Row],[Key]], tbl_FX[Key], tbl_FX[Rate_to_NGN])</f>
        <v>1</v>
      </c>
      <c r="Q1330" s="37">
        <f>IF(tbl_Ledger[[#This Row],[Account_Type]]="Expense",-ABS(tbl_Ledger[[#This Row],[Amount]]*tbl_Ledger[[#This Row],[Rate_to_NGN]]),tbl_Ledger[[#This Row],[Amount]]*tbl_Ledger[[#This Row],[Rate_to_NGN]])</f>
        <v>32800</v>
      </c>
      <c r="R1330" s="25" t="str">
        <f>_xlfn.XLOOKUP(tbl_Ledger[[#This Row],[Account_Code]], tbl_Accounts[Account_Code], tbl_Accounts[Type])</f>
        <v>Revenue</v>
      </c>
      <c r="S1330" s="25" t="str">
        <f>_xlfn.XLOOKUP(tbl_Ledger[[#This Row],[Account_Code]], tbl_Accounts[Account_Code], tbl_Accounts[PL_Bucket])</f>
        <v>Revenue</v>
      </c>
      <c r="T1330" s="25">
        <f t="shared" si="20"/>
        <v>32800</v>
      </c>
    </row>
    <row r="1331" spans="1:20">
      <c r="A1331" t="s">
        <v>3528</v>
      </c>
      <c r="B1331" s="7">
        <v>45924</v>
      </c>
      <c r="C1331" t="s">
        <v>93</v>
      </c>
      <c r="D1331" t="s">
        <v>94</v>
      </c>
      <c r="E1331" t="s">
        <v>107</v>
      </c>
      <c r="F1331" s="12" t="s">
        <v>24</v>
      </c>
      <c r="G1331" t="s">
        <v>25</v>
      </c>
      <c r="H1331" t="s">
        <v>3529</v>
      </c>
      <c r="I1331" t="s">
        <v>71</v>
      </c>
      <c r="J1331" s="6">
        <v>30100</v>
      </c>
      <c r="K1331" t="s">
        <v>3</v>
      </c>
      <c r="L1331" t="s">
        <v>3530</v>
      </c>
      <c r="M1331" t="s">
        <v>3</v>
      </c>
      <c r="N1331" s="25" t="str">
        <f>TEXT(tbl_Ledger[[#This Row],[Date]],"yyyy-mm")</f>
        <v>2025-09</v>
      </c>
      <c r="O1331" s="25" t="str">
        <f>TEXT(tbl_Ledger[[#This Row],[Date]],"yyyy-mm") &amp; TRIM(tbl_Ledger[[#This Row],[Currency]])</f>
        <v>2025-09NGN</v>
      </c>
      <c r="P1331" s="25">
        <f>_xlfn.XLOOKUP(tbl_Ledger[[#This Row],[Key]], tbl_FX[Key], tbl_FX[Rate_to_NGN])</f>
        <v>1</v>
      </c>
      <c r="Q1331" s="37">
        <f>IF(tbl_Ledger[[#This Row],[Account_Type]]="Expense",-ABS(tbl_Ledger[[#This Row],[Amount]]*tbl_Ledger[[#This Row],[Rate_to_NGN]]),tbl_Ledger[[#This Row],[Amount]]*tbl_Ledger[[#This Row],[Rate_to_NGN]])</f>
        <v>30100</v>
      </c>
      <c r="R1331" s="25" t="str">
        <f>_xlfn.XLOOKUP(tbl_Ledger[[#This Row],[Account_Code]], tbl_Accounts[Account_Code], tbl_Accounts[Type])</f>
        <v>Revenue</v>
      </c>
      <c r="S1331" s="25" t="str">
        <f>_xlfn.XLOOKUP(tbl_Ledger[[#This Row],[Account_Code]], tbl_Accounts[Account_Code], tbl_Accounts[PL_Bucket])</f>
        <v>Revenue</v>
      </c>
      <c r="T1331" s="25">
        <f t="shared" si="20"/>
        <v>30100</v>
      </c>
    </row>
    <row r="1332" spans="1:20">
      <c r="A1332" t="s">
        <v>3531</v>
      </c>
      <c r="B1332" s="7">
        <v>45924</v>
      </c>
      <c r="C1332" t="s">
        <v>93</v>
      </c>
      <c r="D1332" t="s">
        <v>111</v>
      </c>
      <c r="E1332" t="s">
        <v>112</v>
      </c>
      <c r="F1332" s="12" t="s">
        <v>24</v>
      </c>
      <c r="G1332" t="s">
        <v>25</v>
      </c>
      <c r="H1332" t="s">
        <v>3532</v>
      </c>
      <c r="I1332" t="s">
        <v>71</v>
      </c>
      <c r="J1332" s="6">
        <v>50300</v>
      </c>
      <c r="K1332" t="s">
        <v>3</v>
      </c>
      <c r="L1332" t="s">
        <v>3533</v>
      </c>
      <c r="M1332" t="s">
        <v>3</v>
      </c>
      <c r="N1332" s="25" t="str">
        <f>TEXT(tbl_Ledger[[#This Row],[Date]],"yyyy-mm")</f>
        <v>2025-09</v>
      </c>
      <c r="O1332" s="25" t="str">
        <f>TEXT(tbl_Ledger[[#This Row],[Date]],"yyyy-mm") &amp; TRIM(tbl_Ledger[[#This Row],[Currency]])</f>
        <v>2025-09NGN</v>
      </c>
      <c r="P1332" s="25">
        <f>_xlfn.XLOOKUP(tbl_Ledger[[#This Row],[Key]], tbl_FX[Key], tbl_FX[Rate_to_NGN])</f>
        <v>1</v>
      </c>
      <c r="Q1332" s="37">
        <f>IF(tbl_Ledger[[#This Row],[Account_Type]]="Expense",-ABS(tbl_Ledger[[#This Row],[Amount]]*tbl_Ledger[[#This Row],[Rate_to_NGN]]),tbl_Ledger[[#This Row],[Amount]]*tbl_Ledger[[#This Row],[Rate_to_NGN]])</f>
        <v>50300</v>
      </c>
      <c r="R1332" s="25" t="str">
        <f>_xlfn.XLOOKUP(tbl_Ledger[[#This Row],[Account_Code]], tbl_Accounts[Account_Code], tbl_Accounts[Type])</f>
        <v>Revenue</v>
      </c>
      <c r="S1332" s="25" t="str">
        <f>_xlfn.XLOOKUP(tbl_Ledger[[#This Row],[Account_Code]], tbl_Accounts[Account_Code], tbl_Accounts[PL_Bucket])</f>
        <v>Revenue</v>
      </c>
      <c r="T1332" s="25">
        <f t="shared" si="20"/>
        <v>50300</v>
      </c>
    </row>
    <row r="1333" spans="1:20">
      <c r="A1333" t="s">
        <v>3534</v>
      </c>
      <c r="B1333" s="7">
        <v>45924</v>
      </c>
      <c r="C1333" t="s">
        <v>93</v>
      </c>
      <c r="D1333" t="s">
        <v>111</v>
      </c>
      <c r="E1333" t="s">
        <v>116</v>
      </c>
      <c r="F1333" s="12" t="s">
        <v>24</v>
      </c>
      <c r="G1333" t="s">
        <v>25</v>
      </c>
      <c r="H1333" t="s">
        <v>3535</v>
      </c>
      <c r="I1333" t="s">
        <v>71</v>
      </c>
      <c r="J1333" s="6">
        <v>47500</v>
      </c>
      <c r="K1333" t="s">
        <v>3</v>
      </c>
      <c r="L1333" t="s">
        <v>3533</v>
      </c>
      <c r="M1333" t="s">
        <v>3</v>
      </c>
      <c r="N1333" s="25" t="str">
        <f>TEXT(tbl_Ledger[[#This Row],[Date]],"yyyy-mm")</f>
        <v>2025-09</v>
      </c>
      <c r="O1333" s="25" t="str">
        <f>TEXT(tbl_Ledger[[#This Row],[Date]],"yyyy-mm") &amp; TRIM(tbl_Ledger[[#This Row],[Currency]])</f>
        <v>2025-09NGN</v>
      </c>
      <c r="P1333" s="25">
        <f>_xlfn.XLOOKUP(tbl_Ledger[[#This Row],[Key]], tbl_FX[Key], tbl_FX[Rate_to_NGN])</f>
        <v>1</v>
      </c>
      <c r="Q1333" s="37">
        <f>IF(tbl_Ledger[[#This Row],[Account_Type]]="Expense",-ABS(tbl_Ledger[[#This Row],[Amount]]*tbl_Ledger[[#This Row],[Rate_to_NGN]]),tbl_Ledger[[#This Row],[Amount]]*tbl_Ledger[[#This Row],[Rate_to_NGN]])</f>
        <v>47500</v>
      </c>
      <c r="R1333" s="25" t="str">
        <f>_xlfn.XLOOKUP(tbl_Ledger[[#This Row],[Account_Code]], tbl_Accounts[Account_Code], tbl_Accounts[Type])</f>
        <v>Revenue</v>
      </c>
      <c r="S1333" s="25" t="str">
        <f>_xlfn.XLOOKUP(tbl_Ledger[[#This Row],[Account_Code]], tbl_Accounts[Account_Code], tbl_Accounts[PL_Bucket])</f>
        <v>Revenue</v>
      </c>
      <c r="T1333" s="25">
        <f t="shared" si="20"/>
        <v>47500</v>
      </c>
    </row>
    <row r="1334" spans="1:20">
      <c r="A1334" t="s">
        <v>3536</v>
      </c>
      <c r="B1334" s="7">
        <v>45924</v>
      </c>
      <c r="C1334" t="s">
        <v>93</v>
      </c>
      <c r="D1334" t="s">
        <v>111</v>
      </c>
      <c r="E1334" t="s">
        <v>119</v>
      </c>
      <c r="F1334" s="12" t="s">
        <v>24</v>
      </c>
      <c r="G1334" t="s">
        <v>25</v>
      </c>
      <c r="H1334" t="s">
        <v>3537</v>
      </c>
      <c r="I1334" t="s">
        <v>71</v>
      </c>
      <c r="J1334" s="6">
        <v>49800</v>
      </c>
      <c r="K1334" t="s">
        <v>3</v>
      </c>
      <c r="L1334" t="s">
        <v>3533</v>
      </c>
      <c r="M1334" t="s">
        <v>3</v>
      </c>
      <c r="N1334" s="25" t="str">
        <f>TEXT(tbl_Ledger[[#This Row],[Date]],"yyyy-mm")</f>
        <v>2025-09</v>
      </c>
      <c r="O1334" s="25" t="str">
        <f>TEXT(tbl_Ledger[[#This Row],[Date]],"yyyy-mm") &amp; TRIM(tbl_Ledger[[#This Row],[Currency]])</f>
        <v>2025-09NGN</v>
      </c>
      <c r="P1334" s="25">
        <f>_xlfn.XLOOKUP(tbl_Ledger[[#This Row],[Key]], tbl_FX[Key], tbl_FX[Rate_to_NGN])</f>
        <v>1</v>
      </c>
      <c r="Q1334" s="37">
        <f>IF(tbl_Ledger[[#This Row],[Account_Type]]="Expense",-ABS(tbl_Ledger[[#This Row],[Amount]]*tbl_Ledger[[#This Row],[Rate_to_NGN]]),tbl_Ledger[[#This Row],[Amount]]*tbl_Ledger[[#This Row],[Rate_to_NGN]])</f>
        <v>49800</v>
      </c>
      <c r="R1334" s="25" t="str">
        <f>_xlfn.XLOOKUP(tbl_Ledger[[#This Row],[Account_Code]], tbl_Accounts[Account_Code], tbl_Accounts[Type])</f>
        <v>Revenue</v>
      </c>
      <c r="S1334" s="25" t="str">
        <f>_xlfn.XLOOKUP(tbl_Ledger[[#This Row],[Account_Code]], tbl_Accounts[Account_Code], tbl_Accounts[PL_Bucket])</f>
        <v>Revenue</v>
      </c>
      <c r="T1334" s="25">
        <f t="shared" si="20"/>
        <v>49800</v>
      </c>
    </row>
    <row r="1335" spans="1:20">
      <c r="A1335" t="s">
        <v>3538</v>
      </c>
      <c r="B1335" s="7">
        <v>45924</v>
      </c>
      <c r="C1335" t="s">
        <v>93</v>
      </c>
      <c r="D1335" t="s">
        <v>111</v>
      </c>
      <c r="E1335" t="s">
        <v>170</v>
      </c>
      <c r="F1335" s="12" t="s">
        <v>24</v>
      </c>
      <c r="G1335" t="s">
        <v>25</v>
      </c>
      <c r="H1335" t="s">
        <v>3539</v>
      </c>
      <c r="I1335" t="s">
        <v>71</v>
      </c>
      <c r="J1335" s="6">
        <v>51800</v>
      </c>
      <c r="K1335" t="s">
        <v>3</v>
      </c>
      <c r="L1335" t="s">
        <v>3533</v>
      </c>
      <c r="M1335" t="s">
        <v>3</v>
      </c>
      <c r="N1335" s="25" t="str">
        <f>TEXT(tbl_Ledger[[#This Row],[Date]],"yyyy-mm")</f>
        <v>2025-09</v>
      </c>
      <c r="O1335" s="25" t="str">
        <f>TEXT(tbl_Ledger[[#This Row],[Date]],"yyyy-mm") &amp; TRIM(tbl_Ledger[[#This Row],[Currency]])</f>
        <v>2025-09NGN</v>
      </c>
      <c r="P1335" s="25">
        <f>_xlfn.XLOOKUP(tbl_Ledger[[#This Row],[Key]], tbl_FX[Key], tbl_FX[Rate_to_NGN])</f>
        <v>1</v>
      </c>
      <c r="Q1335" s="37">
        <f>IF(tbl_Ledger[[#This Row],[Account_Type]]="Expense",-ABS(tbl_Ledger[[#This Row],[Amount]]*tbl_Ledger[[#This Row],[Rate_to_NGN]]),tbl_Ledger[[#This Row],[Amount]]*tbl_Ledger[[#This Row],[Rate_to_NGN]])</f>
        <v>51800</v>
      </c>
      <c r="R1335" s="25" t="str">
        <f>_xlfn.XLOOKUP(tbl_Ledger[[#This Row],[Account_Code]], tbl_Accounts[Account_Code], tbl_Accounts[Type])</f>
        <v>Revenue</v>
      </c>
      <c r="S1335" s="25" t="str">
        <f>_xlfn.XLOOKUP(tbl_Ledger[[#This Row],[Account_Code]], tbl_Accounts[Account_Code], tbl_Accounts[PL_Bucket])</f>
        <v>Revenue</v>
      </c>
      <c r="T1335" s="25">
        <f t="shared" si="20"/>
        <v>51800</v>
      </c>
    </row>
    <row r="1336" spans="1:20">
      <c r="A1336" t="s">
        <v>3540</v>
      </c>
      <c r="B1336" s="7">
        <v>45924</v>
      </c>
      <c r="C1336" t="s">
        <v>93</v>
      </c>
      <c r="D1336" t="s">
        <v>111</v>
      </c>
      <c r="E1336" t="s">
        <v>122</v>
      </c>
      <c r="F1336" s="12" t="s">
        <v>24</v>
      </c>
      <c r="G1336" t="s">
        <v>25</v>
      </c>
      <c r="H1336" t="s">
        <v>3541</v>
      </c>
      <c r="I1336" t="s">
        <v>71</v>
      </c>
      <c r="J1336" s="6">
        <v>51200</v>
      </c>
      <c r="K1336" t="s">
        <v>3</v>
      </c>
      <c r="L1336" t="s">
        <v>3542</v>
      </c>
      <c r="M1336" t="s">
        <v>3</v>
      </c>
      <c r="N1336" s="25" t="str">
        <f>TEXT(tbl_Ledger[[#This Row],[Date]],"yyyy-mm")</f>
        <v>2025-09</v>
      </c>
      <c r="O1336" s="25" t="str">
        <f>TEXT(tbl_Ledger[[#This Row],[Date]],"yyyy-mm") &amp; TRIM(tbl_Ledger[[#This Row],[Currency]])</f>
        <v>2025-09NGN</v>
      </c>
      <c r="P1336" s="25">
        <f>_xlfn.XLOOKUP(tbl_Ledger[[#This Row],[Key]], tbl_FX[Key], tbl_FX[Rate_to_NGN])</f>
        <v>1</v>
      </c>
      <c r="Q1336" s="37">
        <f>IF(tbl_Ledger[[#This Row],[Account_Type]]="Expense",-ABS(tbl_Ledger[[#This Row],[Amount]]*tbl_Ledger[[#This Row],[Rate_to_NGN]]),tbl_Ledger[[#This Row],[Amount]]*tbl_Ledger[[#This Row],[Rate_to_NGN]])</f>
        <v>51200</v>
      </c>
      <c r="R1336" s="25" t="str">
        <f>_xlfn.XLOOKUP(tbl_Ledger[[#This Row],[Account_Code]], tbl_Accounts[Account_Code], tbl_Accounts[Type])</f>
        <v>Revenue</v>
      </c>
      <c r="S1336" s="25" t="str">
        <f>_xlfn.XLOOKUP(tbl_Ledger[[#This Row],[Account_Code]], tbl_Accounts[Account_Code], tbl_Accounts[PL_Bucket])</f>
        <v>Revenue</v>
      </c>
      <c r="T1336" s="25">
        <f t="shared" si="20"/>
        <v>51200</v>
      </c>
    </row>
    <row r="1337" spans="1:20">
      <c r="A1337" t="s">
        <v>3543</v>
      </c>
      <c r="B1337" s="7">
        <v>45924</v>
      </c>
      <c r="C1337" t="s">
        <v>126</v>
      </c>
      <c r="D1337" t="s">
        <v>88</v>
      </c>
      <c r="E1337" t="s">
        <v>127</v>
      </c>
      <c r="F1337" s="12" t="s">
        <v>29</v>
      </c>
      <c r="G1337" t="s">
        <v>30</v>
      </c>
      <c r="H1337" t="s">
        <v>3544</v>
      </c>
      <c r="I1337" t="s">
        <v>72</v>
      </c>
      <c r="J1337" s="6">
        <v>31.41</v>
      </c>
      <c r="K1337" t="s">
        <v>129</v>
      </c>
      <c r="L1337" t="s">
        <v>3545</v>
      </c>
      <c r="M1337" t="s">
        <v>3</v>
      </c>
      <c r="N1337" s="25" t="str">
        <f>TEXT(tbl_Ledger[[#This Row],[Date]],"yyyy-mm")</f>
        <v>2025-09</v>
      </c>
      <c r="O1337" s="25" t="str">
        <f>TEXT(tbl_Ledger[[#This Row],[Date]],"yyyy-mm") &amp; TRIM(tbl_Ledger[[#This Row],[Currency]])</f>
        <v>2025-09USD</v>
      </c>
      <c r="P1337" s="25">
        <f>_xlfn.XLOOKUP(tbl_Ledger[[#This Row],[Key]], tbl_FX[Key], tbl_FX[Rate_to_NGN])</f>
        <v>1611</v>
      </c>
      <c r="Q1337" s="37">
        <f>IF(tbl_Ledger[[#This Row],[Account_Type]]="Expense",-ABS(tbl_Ledger[[#This Row],[Amount]]*tbl_Ledger[[#This Row],[Rate_to_NGN]]),tbl_Ledger[[#This Row],[Amount]]*tbl_Ledger[[#This Row],[Rate_to_NGN]])</f>
        <v>50601.51</v>
      </c>
      <c r="R1337" s="25" t="str">
        <f>_xlfn.XLOOKUP(tbl_Ledger[[#This Row],[Account_Code]], tbl_Accounts[Account_Code], tbl_Accounts[Type])</f>
        <v>Revenue</v>
      </c>
      <c r="S1337" s="25" t="str">
        <f>_xlfn.XLOOKUP(tbl_Ledger[[#This Row],[Account_Code]], tbl_Accounts[Account_Code], tbl_Accounts[PL_Bucket])</f>
        <v>Revenue</v>
      </c>
      <c r="T1337" s="25">
        <f t="shared" si="20"/>
        <v>50601.51</v>
      </c>
    </row>
    <row r="1338" spans="1:20">
      <c r="A1338" t="s">
        <v>3546</v>
      </c>
      <c r="B1338" s="7">
        <v>45924</v>
      </c>
      <c r="C1338" t="s">
        <v>126</v>
      </c>
      <c r="D1338" t="s">
        <v>88</v>
      </c>
      <c r="E1338" t="s">
        <v>132</v>
      </c>
      <c r="F1338" s="12" t="s">
        <v>29</v>
      </c>
      <c r="G1338" t="s">
        <v>30</v>
      </c>
      <c r="H1338" t="s">
        <v>3547</v>
      </c>
      <c r="I1338" t="s">
        <v>72</v>
      </c>
      <c r="J1338" s="6">
        <v>34.39</v>
      </c>
      <c r="K1338" t="s">
        <v>134</v>
      </c>
      <c r="L1338" t="s">
        <v>3545</v>
      </c>
      <c r="M1338" t="s">
        <v>3</v>
      </c>
      <c r="N1338" s="25" t="str">
        <f>TEXT(tbl_Ledger[[#This Row],[Date]],"yyyy-mm")</f>
        <v>2025-09</v>
      </c>
      <c r="O1338" s="25" t="str">
        <f>TEXT(tbl_Ledger[[#This Row],[Date]],"yyyy-mm") &amp; TRIM(tbl_Ledger[[#This Row],[Currency]])</f>
        <v>2025-09USD</v>
      </c>
      <c r="P1338" s="25">
        <f>_xlfn.XLOOKUP(tbl_Ledger[[#This Row],[Key]], tbl_FX[Key], tbl_FX[Rate_to_NGN])</f>
        <v>1611</v>
      </c>
      <c r="Q1338" s="37">
        <f>IF(tbl_Ledger[[#This Row],[Account_Type]]="Expense",-ABS(tbl_Ledger[[#This Row],[Amount]]*tbl_Ledger[[#This Row],[Rate_to_NGN]]),tbl_Ledger[[#This Row],[Amount]]*tbl_Ledger[[#This Row],[Rate_to_NGN]])</f>
        <v>55402.29</v>
      </c>
      <c r="R1338" s="25" t="str">
        <f>_xlfn.XLOOKUP(tbl_Ledger[[#This Row],[Account_Code]], tbl_Accounts[Account_Code], tbl_Accounts[Type])</f>
        <v>Revenue</v>
      </c>
      <c r="S1338" s="25" t="str">
        <f>_xlfn.XLOOKUP(tbl_Ledger[[#This Row],[Account_Code]], tbl_Accounts[Account_Code], tbl_Accounts[PL_Bucket])</f>
        <v>Revenue</v>
      </c>
      <c r="T1338" s="25">
        <f t="shared" si="20"/>
        <v>55402.29</v>
      </c>
    </row>
    <row r="1339" spans="1:20">
      <c r="A1339" t="s">
        <v>3548</v>
      </c>
      <c r="B1339" s="7">
        <v>45924</v>
      </c>
      <c r="C1339" t="s">
        <v>126</v>
      </c>
      <c r="D1339" t="s">
        <v>88</v>
      </c>
      <c r="E1339" t="s">
        <v>136</v>
      </c>
      <c r="F1339" s="12" t="s">
        <v>29</v>
      </c>
      <c r="G1339" t="s">
        <v>30</v>
      </c>
      <c r="H1339" t="s">
        <v>3549</v>
      </c>
      <c r="I1339" t="s">
        <v>71</v>
      </c>
      <c r="J1339" s="6">
        <v>49200</v>
      </c>
      <c r="K1339" t="s">
        <v>138</v>
      </c>
      <c r="L1339" t="s">
        <v>3545</v>
      </c>
      <c r="M1339" t="s">
        <v>3</v>
      </c>
      <c r="N1339" s="25" t="str">
        <f>TEXT(tbl_Ledger[[#This Row],[Date]],"yyyy-mm")</f>
        <v>2025-09</v>
      </c>
      <c r="O1339" s="25" t="str">
        <f>TEXT(tbl_Ledger[[#This Row],[Date]],"yyyy-mm") &amp; TRIM(tbl_Ledger[[#This Row],[Currency]])</f>
        <v>2025-09NGN</v>
      </c>
      <c r="P1339" s="25">
        <f>_xlfn.XLOOKUP(tbl_Ledger[[#This Row],[Key]], tbl_FX[Key], tbl_FX[Rate_to_NGN])</f>
        <v>1</v>
      </c>
      <c r="Q1339" s="37">
        <f>IF(tbl_Ledger[[#This Row],[Account_Type]]="Expense",-ABS(tbl_Ledger[[#This Row],[Amount]]*tbl_Ledger[[#This Row],[Rate_to_NGN]]),tbl_Ledger[[#This Row],[Amount]]*tbl_Ledger[[#This Row],[Rate_to_NGN]])</f>
        <v>49200</v>
      </c>
      <c r="R1339" s="25" t="str">
        <f>_xlfn.XLOOKUP(tbl_Ledger[[#This Row],[Account_Code]], tbl_Accounts[Account_Code], tbl_Accounts[Type])</f>
        <v>Revenue</v>
      </c>
      <c r="S1339" s="25" t="str">
        <f>_xlfn.XLOOKUP(tbl_Ledger[[#This Row],[Account_Code]], tbl_Accounts[Account_Code], tbl_Accounts[PL_Bucket])</f>
        <v>Revenue</v>
      </c>
      <c r="T1339" s="25">
        <f t="shared" si="20"/>
        <v>49200</v>
      </c>
    </row>
    <row r="1340" spans="1:20">
      <c r="A1340" t="s">
        <v>3550</v>
      </c>
      <c r="B1340" s="7">
        <v>45924</v>
      </c>
      <c r="C1340" t="s">
        <v>87</v>
      </c>
      <c r="D1340" t="s">
        <v>111</v>
      </c>
      <c r="E1340" t="s">
        <v>3</v>
      </c>
      <c r="F1340" s="12" t="s">
        <v>36</v>
      </c>
      <c r="G1340" t="s">
        <v>37</v>
      </c>
      <c r="H1340" t="s">
        <v>2729</v>
      </c>
      <c r="I1340" t="s">
        <v>71</v>
      </c>
      <c r="J1340" s="6">
        <v>-2097000</v>
      </c>
      <c r="K1340" t="s">
        <v>145</v>
      </c>
      <c r="L1340" t="s">
        <v>3551</v>
      </c>
      <c r="M1340" t="s">
        <v>3</v>
      </c>
      <c r="N1340" s="25" t="str">
        <f>TEXT(tbl_Ledger[[#This Row],[Date]],"yyyy-mm")</f>
        <v>2025-09</v>
      </c>
      <c r="O1340" s="25" t="str">
        <f>TEXT(tbl_Ledger[[#This Row],[Date]],"yyyy-mm") &amp; TRIM(tbl_Ledger[[#This Row],[Currency]])</f>
        <v>2025-09NGN</v>
      </c>
      <c r="P1340" s="25">
        <f>_xlfn.XLOOKUP(tbl_Ledger[[#This Row],[Key]], tbl_FX[Key], tbl_FX[Rate_to_NGN])</f>
        <v>1</v>
      </c>
      <c r="Q1340" s="37">
        <f>IF(tbl_Ledger[[#This Row],[Account_Type]]="Expense",-ABS(tbl_Ledger[[#This Row],[Amount]]*tbl_Ledger[[#This Row],[Rate_to_NGN]]),tbl_Ledger[[#This Row],[Amount]]*tbl_Ledger[[#This Row],[Rate_to_NGN]])</f>
        <v>-2097000</v>
      </c>
      <c r="R1340" s="25" t="str">
        <f>_xlfn.XLOOKUP(tbl_Ledger[[#This Row],[Account_Code]], tbl_Accounts[Account_Code], tbl_Accounts[Type])</f>
        <v>COGS</v>
      </c>
      <c r="S1340" s="25" t="str">
        <f>_xlfn.XLOOKUP(tbl_Ledger[[#This Row],[Account_Code]], tbl_Accounts[Account_Code], tbl_Accounts[PL_Bucket])</f>
        <v>COGS</v>
      </c>
      <c r="T1340" s="25">
        <f t="shared" si="20"/>
        <v>-2097000</v>
      </c>
    </row>
    <row r="1341" spans="1:20">
      <c r="A1341" t="s">
        <v>3552</v>
      </c>
      <c r="B1341" s="7">
        <v>45924</v>
      </c>
      <c r="C1341" t="s">
        <v>87</v>
      </c>
      <c r="D1341" t="s">
        <v>88</v>
      </c>
      <c r="E1341" t="s">
        <v>3</v>
      </c>
      <c r="F1341" s="12" t="s">
        <v>40</v>
      </c>
      <c r="G1341" t="s">
        <v>41</v>
      </c>
      <c r="H1341" t="s">
        <v>2822</v>
      </c>
      <c r="I1341" t="s">
        <v>71</v>
      </c>
      <c r="J1341" s="6">
        <v>-200000</v>
      </c>
      <c r="K1341" t="s">
        <v>280</v>
      </c>
      <c r="L1341" t="s">
        <v>3553</v>
      </c>
      <c r="M1341" t="s">
        <v>3</v>
      </c>
      <c r="N1341" s="25" t="str">
        <f>TEXT(tbl_Ledger[[#This Row],[Date]],"yyyy-mm")</f>
        <v>2025-09</v>
      </c>
      <c r="O1341" s="25" t="str">
        <f>TEXT(tbl_Ledger[[#This Row],[Date]],"yyyy-mm") &amp; TRIM(tbl_Ledger[[#This Row],[Currency]])</f>
        <v>2025-09NGN</v>
      </c>
      <c r="P1341" s="25">
        <f>_xlfn.XLOOKUP(tbl_Ledger[[#This Row],[Key]], tbl_FX[Key], tbl_FX[Rate_to_NGN])</f>
        <v>1</v>
      </c>
      <c r="Q1341" s="37">
        <f>IF(tbl_Ledger[[#This Row],[Account_Type]]="Expense",-ABS(tbl_Ledger[[#This Row],[Amount]]*tbl_Ledger[[#This Row],[Rate_to_NGN]]),tbl_Ledger[[#This Row],[Amount]]*tbl_Ledger[[#This Row],[Rate_to_NGN]])</f>
        <v>-200000</v>
      </c>
      <c r="R1341" s="25" t="str">
        <f>_xlfn.XLOOKUP(tbl_Ledger[[#This Row],[Account_Code]], tbl_Accounts[Account_Code], tbl_Accounts[Type])</f>
        <v>COGS</v>
      </c>
      <c r="S1341" s="25" t="str">
        <f>_xlfn.XLOOKUP(tbl_Ledger[[#This Row],[Account_Code]], tbl_Accounts[Account_Code], tbl_Accounts[PL_Bucket])</f>
        <v>COGS</v>
      </c>
      <c r="T1341" s="25">
        <f t="shared" si="20"/>
        <v>-200000</v>
      </c>
    </row>
    <row r="1342" spans="1:20">
      <c r="A1342" t="s">
        <v>3554</v>
      </c>
      <c r="B1342" s="7">
        <v>45925</v>
      </c>
      <c r="C1342" t="s">
        <v>93</v>
      </c>
      <c r="D1342" t="s">
        <v>94</v>
      </c>
      <c r="E1342" t="s">
        <v>95</v>
      </c>
      <c r="F1342" s="12" t="s">
        <v>24</v>
      </c>
      <c r="G1342" t="s">
        <v>25</v>
      </c>
      <c r="H1342" t="s">
        <v>3555</v>
      </c>
      <c r="I1342" t="s">
        <v>71</v>
      </c>
      <c r="J1342" s="6">
        <v>29200</v>
      </c>
      <c r="K1342" t="s">
        <v>3</v>
      </c>
      <c r="L1342" t="s">
        <v>3556</v>
      </c>
      <c r="M1342" t="s">
        <v>3</v>
      </c>
      <c r="N1342" s="25" t="str">
        <f>TEXT(tbl_Ledger[[#This Row],[Date]],"yyyy-mm")</f>
        <v>2025-09</v>
      </c>
      <c r="O1342" s="25" t="str">
        <f>TEXT(tbl_Ledger[[#This Row],[Date]],"yyyy-mm") &amp; TRIM(tbl_Ledger[[#This Row],[Currency]])</f>
        <v>2025-09NGN</v>
      </c>
      <c r="P1342" s="25">
        <f>_xlfn.XLOOKUP(tbl_Ledger[[#This Row],[Key]], tbl_FX[Key], tbl_FX[Rate_to_NGN])</f>
        <v>1</v>
      </c>
      <c r="Q1342" s="37">
        <f>IF(tbl_Ledger[[#This Row],[Account_Type]]="Expense",-ABS(tbl_Ledger[[#This Row],[Amount]]*tbl_Ledger[[#This Row],[Rate_to_NGN]]),tbl_Ledger[[#This Row],[Amount]]*tbl_Ledger[[#This Row],[Rate_to_NGN]])</f>
        <v>29200</v>
      </c>
      <c r="R1342" s="25" t="str">
        <f>_xlfn.XLOOKUP(tbl_Ledger[[#This Row],[Account_Code]], tbl_Accounts[Account_Code], tbl_Accounts[Type])</f>
        <v>Revenue</v>
      </c>
      <c r="S1342" s="25" t="str">
        <f>_xlfn.XLOOKUP(tbl_Ledger[[#This Row],[Account_Code]], tbl_Accounts[Account_Code], tbl_Accounts[PL_Bucket])</f>
        <v>Revenue</v>
      </c>
      <c r="T1342" s="25">
        <f t="shared" si="20"/>
        <v>29200</v>
      </c>
    </row>
    <row r="1343" spans="1:20">
      <c r="A1343" t="s">
        <v>3557</v>
      </c>
      <c r="B1343" s="7">
        <v>45925</v>
      </c>
      <c r="C1343" t="s">
        <v>93</v>
      </c>
      <c r="D1343" t="s">
        <v>94</v>
      </c>
      <c r="E1343" t="s">
        <v>99</v>
      </c>
      <c r="F1343" s="12" t="s">
        <v>24</v>
      </c>
      <c r="G1343" t="s">
        <v>25</v>
      </c>
      <c r="H1343" t="s">
        <v>3558</v>
      </c>
      <c r="I1343" t="s">
        <v>71</v>
      </c>
      <c r="J1343" s="6">
        <v>33000</v>
      </c>
      <c r="K1343" t="s">
        <v>3</v>
      </c>
      <c r="L1343" t="s">
        <v>3559</v>
      </c>
      <c r="M1343" t="s">
        <v>3</v>
      </c>
      <c r="N1343" s="25" t="str">
        <f>TEXT(tbl_Ledger[[#This Row],[Date]],"yyyy-mm")</f>
        <v>2025-09</v>
      </c>
      <c r="O1343" s="25" t="str">
        <f>TEXT(tbl_Ledger[[#This Row],[Date]],"yyyy-mm") &amp; TRIM(tbl_Ledger[[#This Row],[Currency]])</f>
        <v>2025-09NGN</v>
      </c>
      <c r="P1343" s="25">
        <f>_xlfn.XLOOKUP(tbl_Ledger[[#This Row],[Key]], tbl_FX[Key], tbl_FX[Rate_to_NGN])</f>
        <v>1</v>
      </c>
      <c r="Q1343" s="37">
        <f>IF(tbl_Ledger[[#This Row],[Account_Type]]="Expense",-ABS(tbl_Ledger[[#This Row],[Amount]]*tbl_Ledger[[#This Row],[Rate_to_NGN]]),tbl_Ledger[[#This Row],[Amount]]*tbl_Ledger[[#This Row],[Rate_to_NGN]])</f>
        <v>33000</v>
      </c>
      <c r="R1343" s="25" t="str">
        <f>_xlfn.XLOOKUP(tbl_Ledger[[#This Row],[Account_Code]], tbl_Accounts[Account_Code], tbl_Accounts[Type])</f>
        <v>Revenue</v>
      </c>
      <c r="S1343" s="25" t="str">
        <f>_xlfn.XLOOKUP(tbl_Ledger[[#This Row],[Account_Code]], tbl_Accounts[Account_Code], tbl_Accounts[PL_Bucket])</f>
        <v>Revenue</v>
      </c>
      <c r="T1343" s="25">
        <f t="shared" si="20"/>
        <v>33000</v>
      </c>
    </row>
    <row r="1344" spans="1:20">
      <c r="A1344" t="s">
        <v>3560</v>
      </c>
      <c r="B1344" s="7">
        <v>45925</v>
      </c>
      <c r="C1344" t="s">
        <v>93</v>
      </c>
      <c r="D1344" t="s">
        <v>94</v>
      </c>
      <c r="E1344" t="s">
        <v>103</v>
      </c>
      <c r="F1344" s="12" t="s">
        <v>24</v>
      </c>
      <c r="G1344" t="s">
        <v>25</v>
      </c>
      <c r="H1344" t="s">
        <v>3561</v>
      </c>
      <c r="I1344" t="s">
        <v>71</v>
      </c>
      <c r="J1344" s="6">
        <v>29200</v>
      </c>
      <c r="K1344" t="s">
        <v>3</v>
      </c>
      <c r="L1344" t="s">
        <v>3562</v>
      </c>
      <c r="M1344" t="s">
        <v>3</v>
      </c>
      <c r="N1344" s="25" t="str">
        <f>TEXT(tbl_Ledger[[#This Row],[Date]],"yyyy-mm")</f>
        <v>2025-09</v>
      </c>
      <c r="O1344" s="25" t="str">
        <f>TEXT(tbl_Ledger[[#This Row],[Date]],"yyyy-mm") &amp; TRIM(tbl_Ledger[[#This Row],[Currency]])</f>
        <v>2025-09NGN</v>
      </c>
      <c r="P1344" s="25">
        <f>_xlfn.XLOOKUP(tbl_Ledger[[#This Row],[Key]], tbl_FX[Key], tbl_FX[Rate_to_NGN])</f>
        <v>1</v>
      </c>
      <c r="Q1344" s="37">
        <f>IF(tbl_Ledger[[#This Row],[Account_Type]]="Expense",-ABS(tbl_Ledger[[#This Row],[Amount]]*tbl_Ledger[[#This Row],[Rate_to_NGN]]),tbl_Ledger[[#This Row],[Amount]]*tbl_Ledger[[#This Row],[Rate_to_NGN]])</f>
        <v>29200</v>
      </c>
      <c r="R1344" s="25" t="str">
        <f>_xlfn.XLOOKUP(tbl_Ledger[[#This Row],[Account_Code]], tbl_Accounts[Account_Code], tbl_Accounts[Type])</f>
        <v>Revenue</v>
      </c>
      <c r="S1344" s="25" t="str">
        <f>_xlfn.XLOOKUP(tbl_Ledger[[#This Row],[Account_Code]], tbl_Accounts[Account_Code], tbl_Accounts[PL_Bucket])</f>
        <v>Revenue</v>
      </c>
      <c r="T1344" s="25">
        <f t="shared" si="20"/>
        <v>29200</v>
      </c>
    </row>
    <row r="1345" spans="1:20">
      <c r="A1345" t="s">
        <v>3563</v>
      </c>
      <c r="B1345" s="7">
        <v>45925</v>
      </c>
      <c r="C1345" t="s">
        <v>93</v>
      </c>
      <c r="D1345" t="s">
        <v>94</v>
      </c>
      <c r="E1345" t="s">
        <v>160</v>
      </c>
      <c r="F1345" s="12" t="s">
        <v>24</v>
      </c>
      <c r="G1345" t="s">
        <v>25</v>
      </c>
      <c r="H1345" t="s">
        <v>3564</v>
      </c>
      <c r="I1345" t="s">
        <v>71</v>
      </c>
      <c r="J1345" s="6">
        <v>31600</v>
      </c>
      <c r="K1345" t="s">
        <v>3</v>
      </c>
      <c r="L1345" t="s">
        <v>3562</v>
      </c>
      <c r="M1345" t="s">
        <v>3</v>
      </c>
      <c r="N1345" s="25" t="str">
        <f>TEXT(tbl_Ledger[[#This Row],[Date]],"yyyy-mm")</f>
        <v>2025-09</v>
      </c>
      <c r="O1345" s="25" t="str">
        <f>TEXT(tbl_Ledger[[#This Row],[Date]],"yyyy-mm") &amp; TRIM(tbl_Ledger[[#This Row],[Currency]])</f>
        <v>2025-09NGN</v>
      </c>
      <c r="P1345" s="25">
        <f>_xlfn.XLOOKUP(tbl_Ledger[[#This Row],[Key]], tbl_FX[Key], tbl_FX[Rate_to_NGN])</f>
        <v>1</v>
      </c>
      <c r="Q1345" s="37">
        <f>IF(tbl_Ledger[[#This Row],[Account_Type]]="Expense",-ABS(tbl_Ledger[[#This Row],[Amount]]*tbl_Ledger[[#This Row],[Rate_to_NGN]]),tbl_Ledger[[#This Row],[Amount]]*tbl_Ledger[[#This Row],[Rate_to_NGN]])</f>
        <v>31600</v>
      </c>
      <c r="R1345" s="25" t="str">
        <f>_xlfn.XLOOKUP(tbl_Ledger[[#This Row],[Account_Code]], tbl_Accounts[Account_Code], tbl_Accounts[Type])</f>
        <v>Revenue</v>
      </c>
      <c r="S1345" s="25" t="str">
        <f>_xlfn.XLOOKUP(tbl_Ledger[[#This Row],[Account_Code]], tbl_Accounts[Account_Code], tbl_Accounts[PL_Bucket])</f>
        <v>Revenue</v>
      </c>
      <c r="T1345" s="25">
        <f t="shared" si="20"/>
        <v>31600</v>
      </c>
    </row>
    <row r="1346" spans="1:20">
      <c r="A1346" t="s">
        <v>3565</v>
      </c>
      <c r="B1346" s="7">
        <v>45925</v>
      </c>
      <c r="C1346" t="s">
        <v>93</v>
      </c>
      <c r="D1346" t="s">
        <v>94</v>
      </c>
      <c r="E1346" t="s">
        <v>107</v>
      </c>
      <c r="F1346" s="12" t="s">
        <v>24</v>
      </c>
      <c r="G1346" t="s">
        <v>25</v>
      </c>
      <c r="H1346" t="s">
        <v>3566</v>
      </c>
      <c r="I1346" t="s">
        <v>71</v>
      </c>
      <c r="J1346" s="6">
        <v>32300</v>
      </c>
      <c r="K1346" t="s">
        <v>3</v>
      </c>
      <c r="L1346" t="s">
        <v>3567</v>
      </c>
      <c r="M1346" t="s">
        <v>3</v>
      </c>
      <c r="N1346" s="25" t="str">
        <f>TEXT(tbl_Ledger[[#This Row],[Date]],"yyyy-mm")</f>
        <v>2025-09</v>
      </c>
      <c r="O1346" s="25" t="str">
        <f>TEXT(tbl_Ledger[[#This Row],[Date]],"yyyy-mm") &amp; TRIM(tbl_Ledger[[#This Row],[Currency]])</f>
        <v>2025-09NGN</v>
      </c>
      <c r="P1346" s="25">
        <f>_xlfn.XLOOKUP(tbl_Ledger[[#This Row],[Key]], tbl_FX[Key], tbl_FX[Rate_to_NGN])</f>
        <v>1</v>
      </c>
      <c r="Q1346" s="37">
        <f>IF(tbl_Ledger[[#This Row],[Account_Type]]="Expense",-ABS(tbl_Ledger[[#This Row],[Amount]]*tbl_Ledger[[#This Row],[Rate_to_NGN]]),tbl_Ledger[[#This Row],[Amount]]*tbl_Ledger[[#This Row],[Rate_to_NGN]])</f>
        <v>32300</v>
      </c>
      <c r="R1346" s="25" t="str">
        <f>_xlfn.XLOOKUP(tbl_Ledger[[#This Row],[Account_Code]], tbl_Accounts[Account_Code], tbl_Accounts[Type])</f>
        <v>Revenue</v>
      </c>
      <c r="S1346" s="25" t="str">
        <f>_xlfn.XLOOKUP(tbl_Ledger[[#This Row],[Account_Code]], tbl_Accounts[Account_Code], tbl_Accounts[PL_Bucket])</f>
        <v>Revenue</v>
      </c>
      <c r="T1346" s="25">
        <f t="shared" ref="T1346:T1409" si="21">IF(AND(S1346="Revenue",F1346&lt;&gt;4900),ABS(Q1346),-ABS(Q1346))</f>
        <v>32300</v>
      </c>
    </row>
    <row r="1347" spans="1:20">
      <c r="A1347" t="s">
        <v>3568</v>
      </c>
      <c r="B1347" s="7">
        <v>45925</v>
      </c>
      <c r="C1347" t="s">
        <v>93</v>
      </c>
      <c r="D1347" t="s">
        <v>111</v>
      </c>
      <c r="E1347" t="s">
        <v>112</v>
      </c>
      <c r="F1347" s="12" t="s">
        <v>24</v>
      </c>
      <c r="G1347" t="s">
        <v>25</v>
      </c>
      <c r="H1347" t="s">
        <v>3569</v>
      </c>
      <c r="I1347" t="s">
        <v>71</v>
      </c>
      <c r="J1347" s="6">
        <v>47500</v>
      </c>
      <c r="K1347" t="s">
        <v>3</v>
      </c>
      <c r="L1347" t="s">
        <v>3570</v>
      </c>
      <c r="M1347" t="s">
        <v>3</v>
      </c>
      <c r="N1347" s="25" t="str">
        <f>TEXT(tbl_Ledger[[#This Row],[Date]],"yyyy-mm")</f>
        <v>2025-09</v>
      </c>
      <c r="O1347" s="25" t="str">
        <f>TEXT(tbl_Ledger[[#This Row],[Date]],"yyyy-mm") &amp; TRIM(tbl_Ledger[[#This Row],[Currency]])</f>
        <v>2025-09NGN</v>
      </c>
      <c r="P1347" s="25">
        <f>_xlfn.XLOOKUP(tbl_Ledger[[#This Row],[Key]], tbl_FX[Key], tbl_FX[Rate_to_NGN])</f>
        <v>1</v>
      </c>
      <c r="Q1347" s="37">
        <f>IF(tbl_Ledger[[#This Row],[Account_Type]]="Expense",-ABS(tbl_Ledger[[#This Row],[Amount]]*tbl_Ledger[[#This Row],[Rate_to_NGN]]),tbl_Ledger[[#This Row],[Amount]]*tbl_Ledger[[#This Row],[Rate_to_NGN]])</f>
        <v>47500</v>
      </c>
      <c r="R1347" s="25" t="str">
        <f>_xlfn.XLOOKUP(tbl_Ledger[[#This Row],[Account_Code]], tbl_Accounts[Account_Code], tbl_Accounts[Type])</f>
        <v>Revenue</v>
      </c>
      <c r="S1347" s="25" t="str">
        <f>_xlfn.XLOOKUP(tbl_Ledger[[#This Row],[Account_Code]], tbl_Accounts[Account_Code], tbl_Accounts[PL_Bucket])</f>
        <v>Revenue</v>
      </c>
      <c r="T1347" s="25">
        <f t="shared" si="21"/>
        <v>47500</v>
      </c>
    </row>
    <row r="1348" spans="1:20">
      <c r="A1348" t="s">
        <v>3571</v>
      </c>
      <c r="B1348" s="7">
        <v>45925</v>
      </c>
      <c r="C1348" t="s">
        <v>93</v>
      </c>
      <c r="D1348" t="s">
        <v>111</v>
      </c>
      <c r="E1348" t="s">
        <v>116</v>
      </c>
      <c r="F1348" s="12" t="s">
        <v>24</v>
      </c>
      <c r="G1348" t="s">
        <v>25</v>
      </c>
      <c r="H1348" t="s">
        <v>3572</v>
      </c>
      <c r="I1348" t="s">
        <v>71</v>
      </c>
      <c r="J1348" s="6">
        <v>52700</v>
      </c>
      <c r="K1348" t="s">
        <v>3</v>
      </c>
      <c r="L1348" t="s">
        <v>3570</v>
      </c>
      <c r="M1348" t="s">
        <v>3</v>
      </c>
      <c r="N1348" s="25" t="str">
        <f>TEXT(tbl_Ledger[[#This Row],[Date]],"yyyy-mm")</f>
        <v>2025-09</v>
      </c>
      <c r="O1348" s="25" t="str">
        <f>TEXT(tbl_Ledger[[#This Row],[Date]],"yyyy-mm") &amp; TRIM(tbl_Ledger[[#This Row],[Currency]])</f>
        <v>2025-09NGN</v>
      </c>
      <c r="P1348" s="25">
        <f>_xlfn.XLOOKUP(tbl_Ledger[[#This Row],[Key]], tbl_FX[Key], tbl_FX[Rate_to_NGN])</f>
        <v>1</v>
      </c>
      <c r="Q1348" s="37">
        <f>IF(tbl_Ledger[[#This Row],[Account_Type]]="Expense",-ABS(tbl_Ledger[[#This Row],[Amount]]*tbl_Ledger[[#This Row],[Rate_to_NGN]]),tbl_Ledger[[#This Row],[Amount]]*tbl_Ledger[[#This Row],[Rate_to_NGN]])</f>
        <v>52700</v>
      </c>
      <c r="R1348" s="25" t="str">
        <f>_xlfn.XLOOKUP(tbl_Ledger[[#This Row],[Account_Code]], tbl_Accounts[Account_Code], tbl_Accounts[Type])</f>
        <v>Revenue</v>
      </c>
      <c r="S1348" s="25" t="str">
        <f>_xlfn.XLOOKUP(tbl_Ledger[[#This Row],[Account_Code]], tbl_Accounts[Account_Code], tbl_Accounts[PL_Bucket])</f>
        <v>Revenue</v>
      </c>
      <c r="T1348" s="25">
        <f t="shared" si="21"/>
        <v>52700</v>
      </c>
    </row>
    <row r="1349" spans="1:20">
      <c r="A1349" t="s">
        <v>3573</v>
      </c>
      <c r="B1349" s="7">
        <v>45925</v>
      </c>
      <c r="C1349" t="s">
        <v>93</v>
      </c>
      <c r="D1349" t="s">
        <v>111</v>
      </c>
      <c r="E1349" t="s">
        <v>119</v>
      </c>
      <c r="F1349" s="12" t="s">
        <v>24</v>
      </c>
      <c r="G1349" t="s">
        <v>25</v>
      </c>
      <c r="H1349" t="s">
        <v>3574</v>
      </c>
      <c r="I1349" t="s">
        <v>71</v>
      </c>
      <c r="J1349" s="6">
        <v>51200</v>
      </c>
      <c r="K1349" t="s">
        <v>3</v>
      </c>
      <c r="L1349" t="s">
        <v>3570</v>
      </c>
      <c r="M1349" t="s">
        <v>3</v>
      </c>
      <c r="N1349" s="25" t="str">
        <f>TEXT(tbl_Ledger[[#This Row],[Date]],"yyyy-mm")</f>
        <v>2025-09</v>
      </c>
      <c r="O1349" s="25" t="str">
        <f>TEXT(tbl_Ledger[[#This Row],[Date]],"yyyy-mm") &amp; TRIM(tbl_Ledger[[#This Row],[Currency]])</f>
        <v>2025-09NGN</v>
      </c>
      <c r="P1349" s="25">
        <f>_xlfn.XLOOKUP(tbl_Ledger[[#This Row],[Key]], tbl_FX[Key], tbl_FX[Rate_to_NGN])</f>
        <v>1</v>
      </c>
      <c r="Q1349" s="37">
        <f>IF(tbl_Ledger[[#This Row],[Account_Type]]="Expense",-ABS(tbl_Ledger[[#This Row],[Amount]]*tbl_Ledger[[#This Row],[Rate_to_NGN]]),tbl_Ledger[[#This Row],[Amount]]*tbl_Ledger[[#This Row],[Rate_to_NGN]])</f>
        <v>51200</v>
      </c>
      <c r="R1349" s="25" t="str">
        <f>_xlfn.XLOOKUP(tbl_Ledger[[#This Row],[Account_Code]], tbl_Accounts[Account_Code], tbl_Accounts[Type])</f>
        <v>Revenue</v>
      </c>
      <c r="S1349" s="25" t="str">
        <f>_xlfn.XLOOKUP(tbl_Ledger[[#This Row],[Account_Code]], tbl_Accounts[Account_Code], tbl_Accounts[PL_Bucket])</f>
        <v>Revenue</v>
      </c>
      <c r="T1349" s="25">
        <f t="shared" si="21"/>
        <v>51200</v>
      </c>
    </row>
    <row r="1350" spans="1:20">
      <c r="A1350" t="s">
        <v>3575</v>
      </c>
      <c r="B1350" s="7">
        <v>45925</v>
      </c>
      <c r="C1350" t="s">
        <v>93</v>
      </c>
      <c r="D1350" t="s">
        <v>111</v>
      </c>
      <c r="E1350" t="s">
        <v>170</v>
      </c>
      <c r="F1350" s="12" t="s">
        <v>24</v>
      </c>
      <c r="G1350" t="s">
        <v>25</v>
      </c>
      <c r="H1350" t="s">
        <v>3576</v>
      </c>
      <c r="I1350" t="s">
        <v>71</v>
      </c>
      <c r="J1350" s="6">
        <v>50400</v>
      </c>
      <c r="K1350" t="s">
        <v>3</v>
      </c>
      <c r="L1350" t="s">
        <v>3570</v>
      </c>
      <c r="M1350" t="s">
        <v>3</v>
      </c>
      <c r="N1350" s="25" t="str">
        <f>TEXT(tbl_Ledger[[#This Row],[Date]],"yyyy-mm")</f>
        <v>2025-09</v>
      </c>
      <c r="O1350" s="25" t="str">
        <f>TEXT(tbl_Ledger[[#This Row],[Date]],"yyyy-mm") &amp; TRIM(tbl_Ledger[[#This Row],[Currency]])</f>
        <v>2025-09NGN</v>
      </c>
      <c r="P1350" s="25">
        <f>_xlfn.XLOOKUP(tbl_Ledger[[#This Row],[Key]], tbl_FX[Key], tbl_FX[Rate_to_NGN])</f>
        <v>1</v>
      </c>
      <c r="Q1350" s="37">
        <f>IF(tbl_Ledger[[#This Row],[Account_Type]]="Expense",-ABS(tbl_Ledger[[#This Row],[Amount]]*tbl_Ledger[[#This Row],[Rate_to_NGN]]),tbl_Ledger[[#This Row],[Amount]]*tbl_Ledger[[#This Row],[Rate_to_NGN]])</f>
        <v>50400</v>
      </c>
      <c r="R1350" s="25" t="str">
        <f>_xlfn.XLOOKUP(tbl_Ledger[[#This Row],[Account_Code]], tbl_Accounts[Account_Code], tbl_Accounts[Type])</f>
        <v>Revenue</v>
      </c>
      <c r="S1350" s="25" t="str">
        <f>_xlfn.XLOOKUP(tbl_Ledger[[#This Row],[Account_Code]], tbl_Accounts[Account_Code], tbl_Accounts[PL_Bucket])</f>
        <v>Revenue</v>
      </c>
      <c r="T1350" s="25">
        <f t="shared" si="21"/>
        <v>50400</v>
      </c>
    </row>
    <row r="1351" spans="1:20">
      <c r="A1351" t="s">
        <v>3577</v>
      </c>
      <c r="B1351" s="7">
        <v>45925</v>
      </c>
      <c r="C1351" t="s">
        <v>93</v>
      </c>
      <c r="D1351" t="s">
        <v>111</v>
      </c>
      <c r="E1351" t="s">
        <v>122</v>
      </c>
      <c r="F1351" s="12" t="s">
        <v>24</v>
      </c>
      <c r="G1351" t="s">
        <v>25</v>
      </c>
      <c r="H1351" t="s">
        <v>3578</v>
      </c>
      <c r="I1351" t="s">
        <v>71</v>
      </c>
      <c r="J1351" s="6">
        <v>49400</v>
      </c>
      <c r="K1351" t="s">
        <v>3</v>
      </c>
      <c r="L1351" t="s">
        <v>3579</v>
      </c>
      <c r="M1351" t="s">
        <v>3</v>
      </c>
      <c r="N1351" s="25" t="str">
        <f>TEXT(tbl_Ledger[[#This Row],[Date]],"yyyy-mm")</f>
        <v>2025-09</v>
      </c>
      <c r="O1351" s="25" t="str">
        <f>TEXT(tbl_Ledger[[#This Row],[Date]],"yyyy-mm") &amp; TRIM(tbl_Ledger[[#This Row],[Currency]])</f>
        <v>2025-09NGN</v>
      </c>
      <c r="P1351" s="25">
        <f>_xlfn.XLOOKUP(tbl_Ledger[[#This Row],[Key]], tbl_FX[Key], tbl_FX[Rate_to_NGN])</f>
        <v>1</v>
      </c>
      <c r="Q1351" s="37">
        <f>IF(tbl_Ledger[[#This Row],[Account_Type]]="Expense",-ABS(tbl_Ledger[[#This Row],[Amount]]*tbl_Ledger[[#This Row],[Rate_to_NGN]]),tbl_Ledger[[#This Row],[Amount]]*tbl_Ledger[[#This Row],[Rate_to_NGN]])</f>
        <v>49400</v>
      </c>
      <c r="R1351" s="25" t="str">
        <f>_xlfn.XLOOKUP(tbl_Ledger[[#This Row],[Account_Code]], tbl_Accounts[Account_Code], tbl_Accounts[Type])</f>
        <v>Revenue</v>
      </c>
      <c r="S1351" s="25" t="str">
        <f>_xlfn.XLOOKUP(tbl_Ledger[[#This Row],[Account_Code]], tbl_Accounts[Account_Code], tbl_Accounts[PL_Bucket])</f>
        <v>Revenue</v>
      </c>
      <c r="T1351" s="25">
        <f t="shared" si="21"/>
        <v>49400</v>
      </c>
    </row>
    <row r="1352" spans="1:20">
      <c r="A1352" t="s">
        <v>3580</v>
      </c>
      <c r="B1352" s="7">
        <v>45925</v>
      </c>
      <c r="C1352" t="s">
        <v>126</v>
      </c>
      <c r="D1352" t="s">
        <v>88</v>
      </c>
      <c r="E1352" t="s">
        <v>127</v>
      </c>
      <c r="F1352" s="12" t="s">
        <v>29</v>
      </c>
      <c r="G1352" t="s">
        <v>30</v>
      </c>
      <c r="H1352" t="s">
        <v>3581</v>
      </c>
      <c r="I1352" t="s">
        <v>71</v>
      </c>
      <c r="J1352" s="6">
        <v>52400</v>
      </c>
      <c r="K1352" t="s">
        <v>129</v>
      </c>
      <c r="L1352" t="s">
        <v>3582</v>
      </c>
      <c r="M1352" t="s">
        <v>3</v>
      </c>
      <c r="N1352" s="25" t="str">
        <f>TEXT(tbl_Ledger[[#This Row],[Date]],"yyyy-mm")</f>
        <v>2025-09</v>
      </c>
      <c r="O1352" s="25" t="str">
        <f>TEXT(tbl_Ledger[[#This Row],[Date]],"yyyy-mm") &amp; TRIM(tbl_Ledger[[#This Row],[Currency]])</f>
        <v>2025-09NGN</v>
      </c>
      <c r="P1352" s="25">
        <f>_xlfn.XLOOKUP(tbl_Ledger[[#This Row],[Key]], tbl_FX[Key], tbl_FX[Rate_to_NGN])</f>
        <v>1</v>
      </c>
      <c r="Q1352" s="37">
        <f>IF(tbl_Ledger[[#This Row],[Account_Type]]="Expense",-ABS(tbl_Ledger[[#This Row],[Amount]]*tbl_Ledger[[#This Row],[Rate_to_NGN]]),tbl_Ledger[[#This Row],[Amount]]*tbl_Ledger[[#This Row],[Rate_to_NGN]])</f>
        <v>52400</v>
      </c>
      <c r="R1352" s="25" t="str">
        <f>_xlfn.XLOOKUP(tbl_Ledger[[#This Row],[Account_Code]], tbl_Accounts[Account_Code], tbl_Accounts[Type])</f>
        <v>Revenue</v>
      </c>
      <c r="S1352" s="25" t="str">
        <f>_xlfn.XLOOKUP(tbl_Ledger[[#This Row],[Account_Code]], tbl_Accounts[Account_Code], tbl_Accounts[PL_Bucket])</f>
        <v>Revenue</v>
      </c>
      <c r="T1352" s="25">
        <f t="shared" si="21"/>
        <v>52400</v>
      </c>
    </row>
    <row r="1353" spans="1:20">
      <c r="A1353" t="s">
        <v>3583</v>
      </c>
      <c r="B1353" s="7">
        <v>45925</v>
      </c>
      <c r="C1353" t="s">
        <v>126</v>
      </c>
      <c r="D1353" t="s">
        <v>88</v>
      </c>
      <c r="E1353" t="s">
        <v>132</v>
      </c>
      <c r="F1353" s="12" t="s">
        <v>29</v>
      </c>
      <c r="G1353" t="s">
        <v>30</v>
      </c>
      <c r="H1353" t="s">
        <v>3584</v>
      </c>
      <c r="I1353" t="s">
        <v>72</v>
      </c>
      <c r="J1353" s="6">
        <v>28.86</v>
      </c>
      <c r="K1353" t="s">
        <v>134</v>
      </c>
      <c r="L1353" t="s">
        <v>3582</v>
      </c>
      <c r="M1353" t="s">
        <v>3</v>
      </c>
      <c r="N1353" s="25" t="str">
        <f>TEXT(tbl_Ledger[[#This Row],[Date]],"yyyy-mm")</f>
        <v>2025-09</v>
      </c>
      <c r="O1353" s="25" t="str">
        <f>TEXT(tbl_Ledger[[#This Row],[Date]],"yyyy-mm") &amp; TRIM(tbl_Ledger[[#This Row],[Currency]])</f>
        <v>2025-09USD</v>
      </c>
      <c r="P1353" s="25">
        <f>_xlfn.XLOOKUP(tbl_Ledger[[#This Row],[Key]], tbl_FX[Key], tbl_FX[Rate_to_NGN])</f>
        <v>1611</v>
      </c>
      <c r="Q1353" s="37">
        <f>IF(tbl_Ledger[[#This Row],[Account_Type]]="Expense",-ABS(tbl_Ledger[[#This Row],[Amount]]*tbl_Ledger[[#This Row],[Rate_to_NGN]]),tbl_Ledger[[#This Row],[Amount]]*tbl_Ledger[[#This Row],[Rate_to_NGN]])</f>
        <v>46493.46</v>
      </c>
      <c r="R1353" s="25" t="str">
        <f>_xlfn.XLOOKUP(tbl_Ledger[[#This Row],[Account_Code]], tbl_Accounts[Account_Code], tbl_Accounts[Type])</f>
        <v>Revenue</v>
      </c>
      <c r="S1353" s="25" t="str">
        <f>_xlfn.XLOOKUP(tbl_Ledger[[#This Row],[Account_Code]], tbl_Accounts[Account_Code], tbl_Accounts[PL_Bucket])</f>
        <v>Revenue</v>
      </c>
      <c r="T1353" s="25">
        <f t="shared" si="21"/>
        <v>46493.46</v>
      </c>
    </row>
    <row r="1354" spans="1:20">
      <c r="A1354" t="s">
        <v>3585</v>
      </c>
      <c r="B1354" s="7">
        <v>45925</v>
      </c>
      <c r="C1354" t="s">
        <v>126</v>
      </c>
      <c r="D1354" t="s">
        <v>88</v>
      </c>
      <c r="E1354" t="s">
        <v>136</v>
      </c>
      <c r="F1354" s="12" t="s">
        <v>29</v>
      </c>
      <c r="G1354" t="s">
        <v>30</v>
      </c>
      <c r="H1354" t="s">
        <v>3586</v>
      </c>
      <c r="I1354" t="s">
        <v>71</v>
      </c>
      <c r="J1354" s="6">
        <v>53700</v>
      </c>
      <c r="K1354" t="s">
        <v>138</v>
      </c>
      <c r="L1354" t="s">
        <v>3582</v>
      </c>
      <c r="M1354" t="s">
        <v>3</v>
      </c>
      <c r="N1354" s="25" t="str">
        <f>TEXT(tbl_Ledger[[#This Row],[Date]],"yyyy-mm")</f>
        <v>2025-09</v>
      </c>
      <c r="O1354" s="25" t="str">
        <f>TEXT(tbl_Ledger[[#This Row],[Date]],"yyyy-mm") &amp; TRIM(tbl_Ledger[[#This Row],[Currency]])</f>
        <v>2025-09NGN</v>
      </c>
      <c r="P1354" s="25">
        <f>_xlfn.XLOOKUP(tbl_Ledger[[#This Row],[Key]], tbl_FX[Key], tbl_FX[Rate_to_NGN])</f>
        <v>1</v>
      </c>
      <c r="Q1354" s="37">
        <f>IF(tbl_Ledger[[#This Row],[Account_Type]]="Expense",-ABS(tbl_Ledger[[#This Row],[Amount]]*tbl_Ledger[[#This Row],[Rate_to_NGN]]),tbl_Ledger[[#This Row],[Amount]]*tbl_Ledger[[#This Row],[Rate_to_NGN]])</f>
        <v>53700</v>
      </c>
      <c r="R1354" s="25" t="str">
        <f>_xlfn.XLOOKUP(tbl_Ledger[[#This Row],[Account_Code]], tbl_Accounts[Account_Code], tbl_Accounts[Type])</f>
        <v>Revenue</v>
      </c>
      <c r="S1354" s="25" t="str">
        <f>_xlfn.XLOOKUP(tbl_Ledger[[#This Row],[Account_Code]], tbl_Accounts[Account_Code], tbl_Accounts[PL_Bucket])</f>
        <v>Revenue</v>
      </c>
      <c r="T1354" s="25">
        <f t="shared" si="21"/>
        <v>53700</v>
      </c>
    </row>
    <row r="1355" spans="1:20">
      <c r="A1355" t="s">
        <v>3587</v>
      </c>
      <c r="B1355" s="7">
        <v>45925</v>
      </c>
      <c r="C1355" t="s">
        <v>126</v>
      </c>
      <c r="D1355" t="s">
        <v>88</v>
      </c>
      <c r="E1355" t="s">
        <v>140</v>
      </c>
      <c r="F1355" s="12" t="s">
        <v>29</v>
      </c>
      <c r="G1355" t="s">
        <v>30</v>
      </c>
      <c r="H1355" t="s">
        <v>3588</v>
      </c>
      <c r="I1355" t="s">
        <v>71</v>
      </c>
      <c r="J1355" s="6">
        <v>50600</v>
      </c>
      <c r="K1355" t="s">
        <v>3</v>
      </c>
      <c r="L1355" t="s">
        <v>3589</v>
      </c>
      <c r="M1355" t="s">
        <v>3</v>
      </c>
      <c r="N1355" s="25" t="str">
        <f>TEXT(tbl_Ledger[[#This Row],[Date]],"yyyy-mm")</f>
        <v>2025-09</v>
      </c>
      <c r="O1355" s="25" t="str">
        <f>TEXT(tbl_Ledger[[#This Row],[Date]],"yyyy-mm") &amp; TRIM(tbl_Ledger[[#This Row],[Currency]])</f>
        <v>2025-09NGN</v>
      </c>
      <c r="P1355" s="25">
        <f>_xlfn.XLOOKUP(tbl_Ledger[[#This Row],[Key]], tbl_FX[Key], tbl_FX[Rate_to_NGN])</f>
        <v>1</v>
      </c>
      <c r="Q1355" s="37">
        <f>IF(tbl_Ledger[[#This Row],[Account_Type]]="Expense",-ABS(tbl_Ledger[[#This Row],[Amount]]*tbl_Ledger[[#This Row],[Rate_to_NGN]]),tbl_Ledger[[#This Row],[Amount]]*tbl_Ledger[[#This Row],[Rate_to_NGN]])</f>
        <v>50600</v>
      </c>
      <c r="R1355" s="25" t="str">
        <f>_xlfn.XLOOKUP(tbl_Ledger[[#This Row],[Account_Code]], tbl_Accounts[Account_Code], tbl_Accounts[Type])</f>
        <v>Revenue</v>
      </c>
      <c r="S1355" s="25" t="str">
        <f>_xlfn.XLOOKUP(tbl_Ledger[[#This Row],[Account_Code]], tbl_Accounts[Account_Code], tbl_Accounts[PL_Bucket])</f>
        <v>Revenue</v>
      </c>
      <c r="T1355" s="25">
        <f t="shared" si="21"/>
        <v>50600</v>
      </c>
    </row>
    <row r="1356" spans="1:20">
      <c r="A1356" t="s">
        <v>3590</v>
      </c>
      <c r="B1356" s="7">
        <v>45925</v>
      </c>
      <c r="C1356" t="s">
        <v>87</v>
      </c>
      <c r="D1356" t="s">
        <v>94</v>
      </c>
      <c r="E1356" t="s">
        <v>3</v>
      </c>
      <c r="F1356" s="12" t="s">
        <v>38</v>
      </c>
      <c r="G1356" t="s">
        <v>39</v>
      </c>
      <c r="H1356" t="s">
        <v>2694</v>
      </c>
      <c r="I1356" t="s">
        <v>71</v>
      </c>
      <c r="J1356" s="6">
        <v>-106000</v>
      </c>
      <c r="K1356" t="s">
        <v>276</v>
      </c>
      <c r="L1356" t="s">
        <v>3591</v>
      </c>
      <c r="M1356" t="s">
        <v>3</v>
      </c>
      <c r="N1356" s="25" t="str">
        <f>TEXT(tbl_Ledger[[#This Row],[Date]],"yyyy-mm")</f>
        <v>2025-09</v>
      </c>
      <c r="O1356" s="25" t="str">
        <f>TEXT(tbl_Ledger[[#This Row],[Date]],"yyyy-mm") &amp; TRIM(tbl_Ledger[[#This Row],[Currency]])</f>
        <v>2025-09NGN</v>
      </c>
      <c r="P1356" s="25">
        <f>_xlfn.XLOOKUP(tbl_Ledger[[#This Row],[Key]], tbl_FX[Key], tbl_FX[Rate_to_NGN])</f>
        <v>1</v>
      </c>
      <c r="Q1356" s="37">
        <f>IF(tbl_Ledger[[#This Row],[Account_Type]]="Expense",-ABS(tbl_Ledger[[#This Row],[Amount]]*tbl_Ledger[[#This Row],[Rate_to_NGN]]),tbl_Ledger[[#This Row],[Amount]]*tbl_Ledger[[#This Row],[Rate_to_NGN]])</f>
        <v>-106000</v>
      </c>
      <c r="R1356" s="25" t="str">
        <f>_xlfn.XLOOKUP(tbl_Ledger[[#This Row],[Account_Code]], tbl_Accounts[Account_Code], tbl_Accounts[Type])</f>
        <v>COGS</v>
      </c>
      <c r="S1356" s="25" t="str">
        <f>_xlfn.XLOOKUP(tbl_Ledger[[#This Row],[Account_Code]], tbl_Accounts[Account_Code], tbl_Accounts[PL_Bucket])</f>
        <v>COGS</v>
      </c>
      <c r="T1356" s="25">
        <f t="shared" si="21"/>
        <v>-106000</v>
      </c>
    </row>
    <row r="1357" spans="1:20">
      <c r="A1357" t="s">
        <v>3592</v>
      </c>
      <c r="B1357" s="7">
        <v>45925</v>
      </c>
      <c r="C1357" t="s">
        <v>87</v>
      </c>
      <c r="D1357" t="s">
        <v>94</v>
      </c>
      <c r="E1357" t="s">
        <v>3</v>
      </c>
      <c r="F1357" s="12" t="s">
        <v>44</v>
      </c>
      <c r="G1357" t="s">
        <v>45</v>
      </c>
      <c r="H1357" t="s">
        <v>3073</v>
      </c>
      <c r="I1357" t="s">
        <v>71</v>
      </c>
      <c r="J1357" s="6">
        <v>-309000</v>
      </c>
      <c r="K1357" t="s">
        <v>668</v>
      </c>
      <c r="L1357" t="s">
        <v>3593</v>
      </c>
      <c r="M1357" t="s">
        <v>3</v>
      </c>
      <c r="N1357" s="25" t="str">
        <f>TEXT(tbl_Ledger[[#This Row],[Date]],"yyyy-mm")</f>
        <v>2025-09</v>
      </c>
      <c r="O1357" s="25" t="str">
        <f>TEXT(tbl_Ledger[[#This Row],[Date]],"yyyy-mm") &amp; TRIM(tbl_Ledger[[#This Row],[Currency]])</f>
        <v>2025-09NGN</v>
      </c>
      <c r="P1357" s="25">
        <f>_xlfn.XLOOKUP(tbl_Ledger[[#This Row],[Key]], tbl_FX[Key], tbl_FX[Rate_to_NGN])</f>
        <v>1</v>
      </c>
      <c r="Q1357" s="37">
        <f>IF(tbl_Ledger[[#This Row],[Account_Type]]="Expense",-ABS(tbl_Ledger[[#This Row],[Amount]]*tbl_Ledger[[#This Row],[Rate_to_NGN]]),tbl_Ledger[[#This Row],[Amount]]*tbl_Ledger[[#This Row],[Rate_to_NGN]])</f>
        <v>-309000</v>
      </c>
      <c r="R1357" s="25" t="str">
        <f>_xlfn.XLOOKUP(tbl_Ledger[[#This Row],[Account_Code]], tbl_Accounts[Account_Code], tbl_Accounts[Type])</f>
        <v>COGS</v>
      </c>
      <c r="S1357" s="25" t="str">
        <f>_xlfn.XLOOKUP(tbl_Ledger[[#This Row],[Account_Code]], tbl_Accounts[Account_Code], tbl_Accounts[PL_Bucket])</f>
        <v>COGS</v>
      </c>
      <c r="T1357" s="25">
        <f t="shared" si="21"/>
        <v>-309000</v>
      </c>
    </row>
    <row r="1358" spans="1:20">
      <c r="A1358" t="s">
        <v>3594</v>
      </c>
      <c r="B1358" s="7">
        <v>45925</v>
      </c>
      <c r="C1358" t="s">
        <v>1106</v>
      </c>
      <c r="D1358" t="s">
        <v>94</v>
      </c>
      <c r="E1358" t="s">
        <v>3</v>
      </c>
      <c r="F1358" s="12" t="s">
        <v>46</v>
      </c>
      <c r="G1358" t="s">
        <v>47</v>
      </c>
      <c r="H1358" t="s">
        <v>3595</v>
      </c>
      <c r="I1358" t="s">
        <v>71</v>
      </c>
      <c r="J1358" s="6">
        <v>-3212768</v>
      </c>
      <c r="K1358" t="s">
        <v>1108</v>
      </c>
      <c r="L1358" t="s">
        <v>3596</v>
      </c>
      <c r="M1358" t="s">
        <v>3</v>
      </c>
      <c r="N1358" s="25" t="str">
        <f>TEXT(tbl_Ledger[[#This Row],[Date]],"yyyy-mm")</f>
        <v>2025-09</v>
      </c>
      <c r="O1358" s="25" t="str">
        <f>TEXT(tbl_Ledger[[#This Row],[Date]],"yyyy-mm") &amp; TRIM(tbl_Ledger[[#This Row],[Currency]])</f>
        <v>2025-09NGN</v>
      </c>
      <c r="P1358" s="25">
        <f>_xlfn.XLOOKUP(tbl_Ledger[[#This Row],[Key]], tbl_FX[Key], tbl_FX[Rate_to_NGN])</f>
        <v>1</v>
      </c>
      <c r="Q1358" s="37">
        <f>IF(tbl_Ledger[[#This Row],[Account_Type]]="Expense",-ABS(tbl_Ledger[[#This Row],[Amount]]*tbl_Ledger[[#This Row],[Rate_to_NGN]]),tbl_Ledger[[#This Row],[Amount]]*tbl_Ledger[[#This Row],[Rate_to_NGN]])</f>
        <v>-3212768</v>
      </c>
      <c r="R1358" s="25" t="str">
        <f>_xlfn.XLOOKUP(tbl_Ledger[[#This Row],[Account_Code]], tbl_Accounts[Account_Code], tbl_Accounts[Type])</f>
        <v>Opex</v>
      </c>
      <c r="S1358" s="25" t="str">
        <f>_xlfn.XLOOKUP(tbl_Ledger[[#This Row],[Account_Code]], tbl_Accounts[Account_Code], tbl_Accounts[PL_Bucket])</f>
        <v>Opex</v>
      </c>
      <c r="T1358" s="25">
        <f t="shared" si="21"/>
        <v>-3212768</v>
      </c>
    </row>
    <row r="1359" spans="1:20">
      <c r="A1359" t="s">
        <v>3597</v>
      </c>
      <c r="B1359" s="7">
        <v>45925</v>
      </c>
      <c r="C1359" t="s">
        <v>1106</v>
      </c>
      <c r="D1359" t="s">
        <v>111</v>
      </c>
      <c r="E1359" t="s">
        <v>3</v>
      </c>
      <c r="F1359" s="12" t="s">
        <v>46</v>
      </c>
      <c r="G1359" t="s">
        <v>47</v>
      </c>
      <c r="H1359" t="s">
        <v>3595</v>
      </c>
      <c r="I1359" t="s">
        <v>71</v>
      </c>
      <c r="J1359" s="6">
        <v>-4116359</v>
      </c>
      <c r="K1359" t="s">
        <v>1108</v>
      </c>
      <c r="L1359" t="s">
        <v>3596</v>
      </c>
      <c r="M1359" t="s">
        <v>3</v>
      </c>
      <c r="N1359" s="25" t="str">
        <f>TEXT(tbl_Ledger[[#This Row],[Date]],"yyyy-mm")</f>
        <v>2025-09</v>
      </c>
      <c r="O1359" s="25" t="str">
        <f>TEXT(tbl_Ledger[[#This Row],[Date]],"yyyy-mm") &amp; TRIM(tbl_Ledger[[#This Row],[Currency]])</f>
        <v>2025-09NGN</v>
      </c>
      <c r="P1359" s="25">
        <f>_xlfn.XLOOKUP(tbl_Ledger[[#This Row],[Key]], tbl_FX[Key], tbl_FX[Rate_to_NGN])</f>
        <v>1</v>
      </c>
      <c r="Q1359" s="37">
        <f>IF(tbl_Ledger[[#This Row],[Account_Type]]="Expense",-ABS(tbl_Ledger[[#This Row],[Amount]]*tbl_Ledger[[#This Row],[Rate_to_NGN]]),tbl_Ledger[[#This Row],[Amount]]*tbl_Ledger[[#This Row],[Rate_to_NGN]])</f>
        <v>-4116359</v>
      </c>
      <c r="R1359" s="25" t="str">
        <f>_xlfn.XLOOKUP(tbl_Ledger[[#This Row],[Account_Code]], tbl_Accounts[Account_Code], tbl_Accounts[Type])</f>
        <v>Opex</v>
      </c>
      <c r="S1359" s="25" t="str">
        <f>_xlfn.XLOOKUP(tbl_Ledger[[#This Row],[Account_Code]], tbl_Accounts[Account_Code], tbl_Accounts[PL_Bucket])</f>
        <v>Opex</v>
      </c>
      <c r="T1359" s="25">
        <f t="shared" si="21"/>
        <v>-4116359</v>
      </c>
    </row>
    <row r="1360" spans="1:20">
      <c r="A1360" t="s">
        <v>3598</v>
      </c>
      <c r="B1360" s="7">
        <v>45925</v>
      </c>
      <c r="C1360" t="s">
        <v>1106</v>
      </c>
      <c r="D1360" t="s">
        <v>88</v>
      </c>
      <c r="E1360" t="s">
        <v>3</v>
      </c>
      <c r="F1360" s="12" t="s">
        <v>46</v>
      </c>
      <c r="G1360" t="s">
        <v>47</v>
      </c>
      <c r="H1360" t="s">
        <v>3595</v>
      </c>
      <c r="I1360" t="s">
        <v>71</v>
      </c>
      <c r="J1360" s="6">
        <v>-2710773</v>
      </c>
      <c r="K1360" t="s">
        <v>1108</v>
      </c>
      <c r="L1360" t="s">
        <v>3596</v>
      </c>
      <c r="M1360" t="s">
        <v>3</v>
      </c>
      <c r="N1360" s="25" t="str">
        <f>TEXT(tbl_Ledger[[#This Row],[Date]],"yyyy-mm")</f>
        <v>2025-09</v>
      </c>
      <c r="O1360" s="25" t="str">
        <f>TEXT(tbl_Ledger[[#This Row],[Date]],"yyyy-mm") &amp; TRIM(tbl_Ledger[[#This Row],[Currency]])</f>
        <v>2025-09NGN</v>
      </c>
      <c r="P1360" s="25">
        <f>_xlfn.XLOOKUP(tbl_Ledger[[#This Row],[Key]], tbl_FX[Key], tbl_FX[Rate_to_NGN])</f>
        <v>1</v>
      </c>
      <c r="Q1360" s="37">
        <f>IF(tbl_Ledger[[#This Row],[Account_Type]]="Expense",-ABS(tbl_Ledger[[#This Row],[Amount]]*tbl_Ledger[[#This Row],[Rate_to_NGN]]),tbl_Ledger[[#This Row],[Amount]]*tbl_Ledger[[#This Row],[Rate_to_NGN]])</f>
        <v>-2710773</v>
      </c>
      <c r="R1360" s="25" t="str">
        <f>_xlfn.XLOOKUP(tbl_Ledger[[#This Row],[Account_Code]], tbl_Accounts[Account_Code], tbl_Accounts[Type])</f>
        <v>Opex</v>
      </c>
      <c r="S1360" s="25" t="str">
        <f>_xlfn.XLOOKUP(tbl_Ledger[[#This Row],[Account_Code]], tbl_Accounts[Account_Code], tbl_Accounts[PL_Bucket])</f>
        <v>Opex</v>
      </c>
      <c r="T1360" s="25">
        <f t="shared" si="21"/>
        <v>-2710773</v>
      </c>
    </row>
    <row r="1361" spans="1:20">
      <c r="A1361" t="s">
        <v>3599</v>
      </c>
      <c r="B1361" s="7">
        <v>45925</v>
      </c>
      <c r="C1361" t="s">
        <v>1106</v>
      </c>
      <c r="D1361" t="s">
        <v>94</v>
      </c>
      <c r="E1361" t="s">
        <v>3</v>
      </c>
      <c r="F1361" s="12" t="s">
        <v>46</v>
      </c>
      <c r="G1361" t="s">
        <v>47</v>
      </c>
      <c r="H1361" t="s">
        <v>3600</v>
      </c>
      <c r="I1361" t="s">
        <v>71</v>
      </c>
      <c r="J1361" s="6">
        <v>-540000</v>
      </c>
      <c r="K1361" t="s">
        <v>1108</v>
      </c>
      <c r="L1361" t="s">
        <v>3601</v>
      </c>
      <c r="M1361" t="s">
        <v>3</v>
      </c>
      <c r="N1361" s="25" t="str">
        <f>TEXT(tbl_Ledger[[#This Row],[Date]],"yyyy-mm")</f>
        <v>2025-09</v>
      </c>
      <c r="O1361" s="25" t="str">
        <f>TEXT(tbl_Ledger[[#This Row],[Date]],"yyyy-mm") &amp; TRIM(tbl_Ledger[[#This Row],[Currency]])</f>
        <v>2025-09NGN</v>
      </c>
      <c r="P1361" s="25">
        <f>_xlfn.XLOOKUP(tbl_Ledger[[#This Row],[Key]], tbl_FX[Key], tbl_FX[Rate_to_NGN])</f>
        <v>1</v>
      </c>
      <c r="Q1361" s="37">
        <f>IF(tbl_Ledger[[#This Row],[Account_Type]]="Expense",-ABS(tbl_Ledger[[#This Row],[Amount]]*tbl_Ledger[[#This Row],[Rate_to_NGN]]),tbl_Ledger[[#This Row],[Amount]]*tbl_Ledger[[#This Row],[Rate_to_NGN]])</f>
        <v>-540000</v>
      </c>
      <c r="R1361" s="25" t="str">
        <f>_xlfn.XLOOKUP(tbl_Ledger[[#This Row],[Account_Code]], tbl_Accounts[Account_Code], tbl_Accounts[Type])</f>
        <v>Opex</v>
      </c>
      <c r="S1361" s="25" t="str">
        <f>_xlfn.XLOOKUP(tbl_Ledger[[#This Row],[Account_Code]], tbl_Accounts[Account_Code], tbl_Accounts[PL_Bucket])</f>
        <v>Opex</v>
      </c>
      <c r="T1361" s="25">
        <f t="shared" si="21"/>
        <v>-540000</v>
      </c>
    </row>
    <row r="1362" spans="1:20">
      <c r="A1362" t="s">
        <v>3602</v>
      </c>
      <c r="B1362" s="7">
        <v>45926</v>
      </c>
      <c r="C1362" t="s">
        <v>93</v>
      </c>
      <c r="D1362" t="s">
        <v>94</v>
      </c>
      <c r="E1362" t="s">
        <v>95</v>
      </c>
      <c r="F1362" s="12" t="s">
        <v>24</v>
      </c>
      <c r="G1362" t="s">
        <v>25</v>
      </c>
      <c r="H1362" t="s">
        <v>3603</v>
      </c>
      <c r="I1362" t="s">
        <v>71</v>
      </c>
      <c r="J1362" s="6">
        <v>33100</v>
      </c>
      <c r="K1362" t="s">
        <v>3</v>
      </c>
      <c r="L1362" t="s">
        <v>3604</v>
      </c>
      <c r="M1362" t="s">
        <v>3</v>
      </c>
      <c r="N1362" s="25" t="str">
        <f>TEXT(tbl_Ledger[[#This Row],[Date]],"yyyy-mm")</f>
        <v>2025-09</v>
      </c>
      <c r="O1362" s="25" t="str">
        <f>TEXT(tbl_Ledger[[#This Row],[Date]],"yyyy-mm") &amp; TRIM(tbl_Ledger[[#This Row],[Currency]])</f>
        <v>2025-09NGN</v>
      </c>
      <c r="P1362" s="25">
        <f>_xlfn.XLOOKUP(tbl_Ledger[[#This Row],[Key]], tbl_FX[Key], tbl_FX[Rate_to_NGN])</f>
        <v>1</v>
      </c>
      <c r="Q1362" s="37">
        <f>IF(tbl_Ledger[[#This Row],[Account_Type]]="Expense",-ABS(tbl_Ledger[[#This Row],[Amount]]*tbl_Ledger[[#This Row],[Rate_to_NGN]]),tbl_Ledger[[#This Row],[Amount]]*tbl_Ledger[[#This Row],[Rate_to_NGN]])</f>
        <v>33100</v>
      </c>
      <c r="R1362" s="25" t="str">
        <f>_xlfn.XLOOKUP(tbl_Ledger[[#This Row],[Account_Code]], tbl_Accounts[Account_Code], tbl_Accounts[Type])</f>
        <v>Revenue</v>
      </c>
      <c r="S1362" s="25" t="str">
        <f>_xlfn.XLOOKUP(tbl_Ledger[[#This Row],[Account_Code]], tbl_Accounts[Account_Code], tbl_Accounts[PL_Bucket])</f>
        <v>Revenue</v>
      </c>
      <c r="T1362" s="25">
        <f t="shared" si="21"/>
        <v>33100</v>
      </c>
    </row>
    <row r="1363" spans="1:20">
      <c r="A1363" t="s">
        <v>3605</v>
      </c>
      <c r="B1363" s="7">
        <v>45926</v>
      </c>
      <c r="C1363" t="s">
        <v>93</v>
      </c>
      <c r="D1363" t="s">
        <v>94</v>
      </c>
      <c r="E1363" t="s">
        <v>99</v>
      </c>
      <c r="F1363" s="12" t="s">
        <v>24</v>
      </c>
      <c r="G1363" t="s">
        <v>25</v>
      </c>
      <c r="H1363" t="s">
        <v>3606</v>
      </c>
      <c r="I1363" t="s">
        <v>71</v>
      </c>
      <c r="J1363" s="6">
        <v>31900</v>
      </c>
      <c r="K1363" t="s">
        <v>3</v>
      </c>
      <c r="L1363" t="s">
        <v>3607</v>
      </c>
      <c r="M1363" t="s">
        <v>3</v>
      </c>
      <c r="N1363" s="25" t="str">
        <f>TEXT(tbl_Ledger[[#This Row],[Date]],"yyyy-mm")</f>
        <v>2025-09</v>
      </c>
      <c r="O1363" s="25" t="str">
        <f>TEXT(tbl_Ledger[[#This Row],[Date]],"yyyy-mm") &amp; TRIM(tbl_Ledger[[#This Row],[Currency]])</f>
        <v>2025-09NGN</v>
      </c>
      <c r="P1363" s="25">
        <f>_xlfn.XLOOKUP(tbl_Ledger[[#This Row],[Key]], tbl_FX[Key], tbl_FX[Rate_to_NGN])</f>
        <v>1</v>
      </c>
      <c r="Q1363" s="37">
        <f>IF(tbl_Ledger[[#This Row],[Account_Type]]="Expense",-ABS(tbl_Ledger[[#This Row],[Amount]]*tbl_Ledger[[#This Row],[Rate_to_NGN]]),tbl_Ledger[[#This Row],[Amount]]*tbl_Ledger[[#This Row],[Rate_to_NGN]])</f>
        <v>31900</v>
      </c>
      <c r="R1363" s="25" t="str">
        <f>_xlfn.XLOOKUP(tbl_Ledger[[#This Row],[Account_Code]], tbl_Accounts[Account_Code], tbl_Accounts[Type])</f>
        <v>Revenue</v>
      </c>
      <c r="S1363" s="25" t="str">
        <f>_xlfn.XLOOKUP(tbl_Ledger[[#This Row],[Account_Code]], tbl_Accounts[Account_Code], tbl_Accounts[PL_Bucket])</f>
        <v>Revenue</v>
      </c>
      <c r="T1363" s="25">
        <f t="shared" si="21"/>
        <v>31900</v>
      </c>
    </row>
    <row r="1364" spans="1:20">
      <c r="A1364" t="s">
        <v>3608</v>
      </c>
      <c r="B1364" s="7">
        <v>45926</v>
      </c>
      <c r="C1364" t="s">
        <v>93</v>
      </c>
      <c r="D1364" t="s">
        <v>94</v>
      </c>
      <c r="E1364" t="s">
        <v>103</v>
      </c>
      <c r="F1364" s="12" t="s">
        <v>24</v>
      </c>
      <c r="G1364" t="s">
        <v>25</v>
      </c>
      <c r="H1364" t="s">
        <v>3609</v>
      </c>
      <c r="I1364" t="s">
        <v>71</v>
      </c>
      <c r="J1364" s="6">
        <v>31400</v>
      </c>
      <c r="K1364" t="s">
        <v>3</v>
      </c>
      <c r="L1364" t="s">
        <v>3610</v>
      </c>
      <c r="M1364" t="s">
        <v>3</v>
      </c>
      <c r="N1364" s="25" t="str">
        <f>TEXT(tbl_Ledger[[#This Row],[Date]],"yyyy-mm")</f>
        <v>2025-09</v>
      </c>
      <c r="O1364" s="25" t="str">
        <f>TEXT(tbl_Ledger[[#This Row],[Date]],"yyyy-mm") &amp; TRIM(tbl_Ledger[[#This Row],[Currency]])</f>
        <v>2025-09NGN</v>
      </c>
      <c r="P1364" s="25">
        <f>_xlfn.XLOOKUP(tbl_Ledger[[#This Row],[Key]], tbl_FX[Key], tbl_FX[Rate_to_NGN])</f>
        <v>1</v>
      </c>
      <c r="Q1364" s="37">
        <f>IF(tbl_Ledger[[#This Row],[Account_Type]]="Expense",-ABS(tbl_Ledger[[#This Row],[Amount]]*tbl_Ledger[[#This Row],[Rate_to_NGN]]),tbl_Ledger[[#This Row],[Amount]]*tbl_Ledger[[#This Row],[Rate_to_NGN]])</f>
        <v>31400</v>
      </c>
      <c r="R1364" s="25" t="str">
        <f>_xlfn.XLOOKUP(tbl_Ledger[[#This Row],[Account_Code]], tbl_Accounts[Account_Code], tbl_Accounts[Type])</f>
        <v>Revenue</v>
      </c>
      <c r="S1364" s="25" t="str">
        <f>_xlfn.XLOOKUP(tbl_Ledger[[#This Row],[Account_Code]], tbl_Accounts[Account_Code], tbl_Accounts[PL_Bucket])</f>
        <v>Revenue</v>
      </c>
      <c r="T1364" s="25">
        <f t="shared" si="21"/>
        <v>31400</v>
      </c>
    </row>
    <row r="1365" spans="1:20">
      <c r="A1365" t="s">
        <v>3611</v>
      </c>
      <c r="B1365" s="7">
        <v>45926</v>
      </c>
      <c r="C1365" t="s">
        <v>93</v>
      </c>
      <c r="D1365" t="s">
        <v>94</v>
      </c>
      <c r="E1365" t="s">
        <v>160</v>
      </c>
      <c r="F1365" s="12" t="s">
        <v>24</v>
      </c>
      <c r="G1365" t="s">
        <v>25</v>
      </c>
      <c r="H1365" t="s">
        <v>3612</v>
      </c>
      <c r="I1365" t="s">
        <v>71</v>
      </c>
      <c r="J1365" s="6">
        <v>31500</v>
      </c>
      <c r="K1365" t="s">
        <v>3</v>
      </c>
      <c r="L1365" t="s">
        <v>3610</v>
      </c>
      <c r="M1365" t="s">
        <v>3</v>
      </c>
      <c r="N1365" s="25" t="str">
        <f>TEXT(tbl_Ledger[[#This Row],[Date]],"yyyy-mm")</f>
        <v>2025-09</v>
      </c>
      <c r="O1365" s="25" t="str">
        <f>TEXT(tbl_Ledger[[#This Row],[Date]],"yyyy-mm") &amp; TRIM(tbl_Ledger[[#This Row],[Currency]])</f>
        <v>2025-09NGN</v>
      </c>
      <c r="P1365" s="25">
        <f>_xlfn.XLOOKUP(tbl_Ledger[[#This Row],[Key]], tbl_FX[Key], tbl_FX[Rate_to_NGN])</f>
        <v>1</v>
      </c>
      <c r="Q1365" s="37">
        <f>IF(tbl_Ledger[[#This Row],[Account_Type]]="Expense",-ABS(tbl_Ledger[[#This Row],[Amount]]*tbl_Ledger[[#This Row],[Rate_to_NGN]]),tbl_Ledger[[#This Row],[Amount]]*tbl_Ledger[[#This Row],[Rate_to_NGN]])</f>
        <v>31500</v>
      </c>
      <c r="R1365" s="25" t="str">
        <f>_xlfn.XLOOKUP(tbl_Ledger[[#This Row],[Account_Code]], tbl_Accounts[Account_Code], tbl_Accounts[Type])</f>
        <v>Revenue</v>
      </c>
      <c r="S1365" s="25" t="str">
        <f>_xlfn.XLOOKUP(tbl_Ledger[[#This Row],[Account_Code]], tbl_Accounts[Account_Code], tbl_Accounts[PL_Bucket])</f>
        <v>Revenue</v>
      </c>
      <c r="T1365" s="25">
        <f t="shared" si="21"/>
        <v>31500</v>
      </c>
    </row>
    <row r="1366" spans="1:20">
      <c r="A1366" t="s">
        <v>3613</v>
      </c>
      <c r="B1366" s="7">
        <v>45926</v>
      </c>
      <c r="C1366" t="s">
        <v>93</v>
      </c>
      <c r="D1366" t="s">
        <v>94</v>
      </c>
      <c r="E1366" t="s">
        <v>107</v>
      </c>
      <c r="F1366" s="12" t="s">
        <v>24</v>
      </c>
      <c r="G1366" t="s">
        <v>25</v>
      </c>
      <c r="H1366" t="s">
        <v>3614</v>
      </c>
      <c r="I1366" t="s">
        <v>71</v>
      </c>
      <c r="J1366" s="6">
        <v>29400</v>
      </c>
      <c r="K1366" t="s">
        <v>3</v>
      </c>
      <c r="L1366" t="s">
        <v>3615</v>
      </c>
      <c r="M1366" t="s">
        <v>3</v>
      </c>
      <c r="N1366" s="25" t="str">
        <f>TEXT(tbl_Ledger[[#This Row],[Date]],"yyyy-mm")</f>
        <v>2025-09</v>
      </c>
      <c r="O1366" s="25" t="str">
        <f>TEXT(tbl_Ledger[[#This Row],[Date]],"yyyy-mm") &amp; TRIM(tbl_Ledger[[#This Row],[Currency]])</f>
        <v>2025-09NGN</v>
      </c>
      <c r="P1366" s="25">
        <f>_xlfn.XLOOKUP(tbl_Ledger[[#This Row],[Key]], tbl_FX[Key], tbl_FX[Rate_to_NGN])</f>
        <v>1</v>
      </c>
      <c r="Q1366" s="37">
        <f>IF(tbl_Ledger[[#This Row],[Account_Type]]="Expense",-ABS(tbl_Ledger[[#This Row],[Amount]]*tbl_Ledger[[#This Row],[Rate_to_NGN]]),tbl_Ledger[[#This Row],[Amount]]*tbl_Ledger[[#This Row],[Rate_to_NGN]])</f>
        <v>29400</v>
      </c>
      <c r="R1366" s="25" t="str">
        <f>_xlfn.XLOOKUP(tbl_Ledger[[#This Row],[Account_Code]], tbl_Accounts[Account_Code], tbl_Accounts[Type])</f>
        <v>Revenue</v>
      </c>
      <c r="S1366" s="25" t="str">
        <f>_xlfn.XLOOKUP(tbl_Ledger[[#This Row],[Account_Code]], tbl_Accounts[Account_Code], tbl_Accounts[PL_Bucket])</f>
        <v>Revenue</v>
      </c>
      <c r="T1366" s="25">
        <f t="shared" si="21"/>
        <v>29400</v>
      </c>
    </row>
    <row r="1367" spans="1:20">
      <c r="A1367" t="s">
        <v>3616</v>
      </c>
      <c r="B1367" s="7">
        <v>45926</v>
      </c>
      <c r="C1367" t="s">
        <v>93</v>
      </c>
      <c r="D1367" t="s">
        <v>111</v>
      </c>
      <c r="E1367" t="s">
        <v>116</v>
      </c>
      <c r="F1367" s="12" t="s">
        <v>24</v>
      </c>
      <c r="G1367" t="s">
        <v>25</v>
      </c>
      <c r="H1367" t="s">
        <v>3617</v>
      </c>
      <c r="I1367" t="s">
        <v>71</v>
      </c>
      <c r="J1367" s="6">
        <v>52000</v>
      </c>
      <c r="K1367" t="s">
        <v>3</v>
      </c>
      <c r="L1367" t="s">
        <v>3618</v>
      </c>
      <c r="M1367" t="s">
        <v>3</v>
      </c>
      <c r="N1367" s="25" t="str">
        <f>TEXT(tbl_Ledger[[#This Row],[Date]],"yyyy-mm")</f>
        <v>2025-09</v>
      </c>
      <c r="O1367" s="25" t="str">
        <f>TEXT(tbl_Ledger[[#This Row],[Date]],"yyyy-mm") &amp; TRIM(tbl_Ledger[[#This Row],[Currency]])</f>
        <v>2025-09NGN</v>
      </c>
      <c r="P1367" s="25">
        <f>_xlfn.XLOOKUP(tbl_Ledger[[#This Row],[Key]], tbl_FX[Key], tbl_FX[Rate_to_NGN])</f>
        <v>1</v>
      </c>
      <c r="Q1367" s="37">
        <f>IF(tbl_Ledger[[#This Row],[Account_Type]]="Expense",-ABS(tbl_Ledger[[#This Row],[Amount]]*tbl_Ledger[[#This Row],[Rate_to_NGN]]),tbl_Ledger[[#This Row],[Amount]]*tbl_Ledger[[#This Row],[Rate_to_NGN]])</f>
        <v>52000</v>
      </c>
      <c r="R1367" s="25" t="str">
        <f>_xlfn.XLOOKUP(tbl_Ledger[[#This Row],[Account_Code]], tbl_Accounts[Account_Code], tbl_Accounts[Type])</f>
        <v>Revenue</v>
      </c>
      <c r="S1367" s="25" t="str">
        <f>_xlfn.XLOOKUP(tbl_Ledger[[#This Row],[Account_Code]], tbl_Accounts[Account_Code], tbl_Accounts[PL_Bucket])</f>
        <v>Revenue</v>
      </c>
      <c r="T1367" s="25">
        <f t="shared" si="21"/>
        <v>52000</v>
      </c>
    </row>
    <row r="1368" spans="1:20">
      <c r="A1368" t="s">
        <v>3619</v>
      </c>
      <c r="B1368" s="7">
        <v>45926</v>
      </c>
      <c r="C1368" t="s">
        <v>93</v>
      </c>
      <c r="D1368" t="s">
        <v>111</v>
      </c>
      <c r="E1368" t="s">
        <v>119</v>
      </c>
      <c r="F1368" s="12" t="s">
        <v>24</v>
      </c>
      <c r="G1368" t="s">
        <v>25</v>
      </c>
      <c r="H1368" t="s">
        <v>3620</v>
      </c>
      <c r="I1368" t="s">
        <v>71</v>
      </c>
      <c r="J1368" s="6">
        <v>52800</v>
      </c>
      <c r="K1368" t="s">
        <v>3</v>
      </c>
      <c r="L1368" t="s">
        <v>3618</v>
      </c>
      <c r="M1368" t="s">
        <v>3</v>
      </c>
      <c r="N1368" s="25" t="str">
        <f>TEXT(tbl_Ledger[[#This Row],[Date]],"yyyy-mm")</f>
        <v>2025-09</v>
      </c>
      <c r="O1368" s="25" t="str">
        <f>TEXT(tbl_Ledger[[#This Row],[Date]],"yyyy-mm") &amp; TRIM(tbl_Ledger[[#This Row],[Currency]])</f>
        <v>2025-09NGN</v>
      </c>
      <c r="P1368" s="25">
        <f>_xlfn.XLOOKUP(tbl_Ledger[[#This Row],[Key]], tbl_FX[Key], tbl_FX[Rate_to_NGN])</f>
        <v>1</v>
      </c>
      <c r="Q1368" s="37">
        <f>IF(tbl_Ledger[[#This Row],[Account_Type]]="Expense",-ABS(tbl_Ledger[[#This Row],[Amount]]*tbl_Ledger[[#This Row],[Rate_to_NGN]]),tbl_Ledger[[#This Row],[Amount]]*tbl_Ledger[[#This Row],[Rate_to_NGN]])</f>
        <v>52800</v>
      </c>
      <c r="R1368" s="25" t="str">
        <f>_xlfn.XLOOKUP(tbl_Ledger[[#This Row],[Account_Code]], tbl_Accounts[Account_Code], tbl_Accounts[Type])</f>
        <v>Revenue</v>
      </c>
      <c r="S1368" s="25" t="str">
        <f>_xlfn.XLOOKUP(tbl_Ledger[[#This Row],[Account_Code]], tbl_Accounts[Account_Code], tbl_Accounts[PL_Bucket])</f>
        <v>Revenue</v>
      </c>
      <c r="T1368" s="25">
        <f t="shared" si="21"/>
        <v>52800</v>
      </c>
    </row>
    <row r="1369" spans="1:20">
      <c r="A1369" t="s">
        <v>3621</v>
      </c>
      <c r="B1369" s="7">
        <v>45926</v>
      </c>
      <c r="C1369" t="s">
        <v>93</v>
      </c>
      <c r="D1369" t="s">
        <v>111</v>
      </c>
      <c r="E1369" t="s">
        <v>170</v>
      </c>
      <c r="F1369" s="12" t="s">
        <v>24</v>
      </c>
      <c r="G1369" t="s">
        <v>25</v>
      </c>
      <c r="H1369" t="s">
        <v>3622</v>
      </c>
      <c r="I1369" t="s">
        <v>71</v>
      </c>
      <c r="J1369" s="6">
        <v>49900</v>
      </c>
      <c r="K1369" t="s">
        <v>3</v>
      </c>
      <c r="L1369" t="s">
        <v>3618</v>
      </c>
      <c r="M1369" t="s">
        <v>3</v>
      </c>
      <c r="N1369" s="25" t="str">
        <f>TEXT(tbl_Ledger[[#This Row],[Date]],"yyyy-mm")</f>
        <v>2025-09</v>
      </c>
      <c r="O1369" s="25" t="str">
        <f>TEXT(tbl_Ledger[[#This Row],[Date]],"yyyy-mm") &amp; TRIM(tbl_Ledger[[#This Row],[Currency]])</f>
        <v>2025-09NGN</v>
      </c>
      <c r="P1369" s="25">
        <f>_xlfn.XLOOKUP(tbl_Ledger[[#This Row],[Key]], tbl_FX[Key], tbl_FX[Rate_to_NGN])</f>
        <v>1</v>
      </c>
      <c r="Q1369" s="37">
        <f>IF(tbl_Ledger[[#This Row],[Account_Type]]="Expense",-ABS(tbl_Ledger[[#This Row],[Amount]]*tbl_Ledger[[#This Row],[Rate_to_NGN]]),tbl_Ledger[[#This Row],[Amount]]*tbl_Ledger[[#This Row],[Rate_to_NGN]])</f>
        <v>49900</v>
      </c>
      <c r="R1369" s="25" t="str">
        <f>_xlfn.XLOOKUP(tbl_Ledger[[#This Row],[Account_Code]], tbl_Accounts[Account_Code], tbl_Accounts[Type])</f>
        <v>Revenue</v>
      </c>
      <c r="S1369" s="25" t="str">
        <f>_xlfn.XLOOKUP(tbl_Ledger[[#This Row],[Account_Code]], tbl_Accounts[Account_Code], tbl_Accounts[PL_Bucket])</f>
        <v>Revenue</v>
      </c>
      <c r="T1369" s="25">
        <f t="shared" si="21"/>
        <v>49900</v>
      </c>
    </row>
    <row r="1370" spans="1:20">
      <c r="A1370" t="s">
        <v>3623</v>
      </c>
      <c r="B1370" s="7">
        <v>45926</v>
      </c>
      <c r="C1370" t="s">
        <v>93</v>
      </c>
      <c r="D1370" t="s">
        <v>111</v>
      </c>
      <c r="E1370" t="s">
        <v>122</v>
      </c>
      <c r="F1370" s="12" t="s">
        <v>24</v>
      </c>
      <c r="G1370" t="s">
        <v>25</v>
      </c>
      <c r="H1370" t="s">
        <v>3624</v>
      </c>
      <c r="I1370" t="s">
        <v>71</v>
      </c>
      <c r="J1370" s="6">
        <v>48000</v>
      </c>
      <c r="K1370" t="s">
        <v>3</v>
      </c>
      <c r="L1370" t="s">
        <v>3625</v>
      </c>
      <c r="M1370" t="s">
        <v>3</v>
      </c>
      <c r="N1370" s="25" t="str">
        <f>TEXT(tbl_Ledger[[#This Row],[Date]],"yyyy-mm")</f>
        <v>2025-09</v>
      </c>
      <c r="O1370" s="25" t="str">
        <f>TEXT(tbl_Ledger[[#This Row],[Date]],"yyyy-mm") &amp; TRIM(tbl_Ledger[[#This Row],[Currency]])</f>
        <v>2025-09NGN</v>
      </c>
      <c r="P1370" s="25">
        <f>_xlfn.XLOOKUP(tbl_Ledger[[#This Row],[Key]], tbl_FX[Key], tbl_FX[Rate_to_NGN])</f>
        <v>1</v>
      </c>
      <c r="Q1370" s="37">
        <f>IF(tbl_Ledger[[#This Row],[Account_Type]]="Expense",-ABS(tbl_Ledger[[#This Row],[Amount]]*tbl_Ledger[[#This Row],[Rate_to_NGN]]),tbl_Ledger[[#This Row],[Amount]]*tbl_Ledger[[#This Row],[Rate_to_NGN]])</f>
        <v>48000</v>
      </c>
      <c r="R1370" s="25" t="str">
        <f>_xlfn.XLOOKUP(tbl_Ledger[[#This Row],[Account_Code]], tbl_Accounts[Account_Code], tbl_Accounts[Type])</f>
        <v>Revenue</v>
      </c>
      <c r="S1370" s="25" t="str">
        <f>_xlfn.XLOOKUP(tbl_Ledger[[#This Row],[Account_Code]], tbl_Accounts[Account_Code], tbl_Accounts[PL_Bucket])</f>
        <v>Revenue</v>
      </c>
      <c r="T1370" s="25">
        <f t="shared" si="21"/>
        <v>48000</v>
      </c>
    </row>
    <row r="1371" spans="1:20">
      <c r="A1371" t="s">
        <v>3626</v>
      </c>
      <c r="B1371" s="7">
        <v>45926</v>
      </c>
      <c r="C1371" t="s">
        <v>126</v>
      </c>
      <c r="D1371" t="s">
        <v>88</v>
      </c>
      <c r="E1371" t="s">
        <v>127</v>
      </c>
      <c r="F1371" s="12" t="s">
        <v>29</v>
      </c>
      <c r="G1371" t="s">
        <v>30</v>
      </c>
      <c r="H1371" t="s">
        <v>3627</v>
      </c>
      <c r="I1371" t="s">
        <v>72</v>
      </c>
      <c r="J1371" s="6">
        <v>34.57</v>
      </c>
      <c r="K1371" t="s">
        <v>129</v>
      </c>
      <c r="L1371" t="s">
        <v>3628</v>
      </c>
      <c r="M1371" t="s">
        <v>3</v>
      </c>
      <c r="N1371" s="25" t="str">
        <f>TEXT(tbl_Ledger[[#This Row],[Date]],"yyyy-mm")</f>
        <v>2025-09</v>
      </c>
      <c r="O1371" s="25" t="str">
        <f>TEXT(tbl_Ledger[[#This Row],[Date]],"yyyy-mm") &amp; TRIM(tbl_Ledger[[#This Row],[Currency]])</f>
        <v>2025-09USD</v>
      </c>
      <c r="P1371" s="25">
        <f>_xlfn.XLOOKUP(tbl_Ledger[[#This Row],[Key]], tbl_FX[Key], tbl_FX[Rate_to_NGN])</f>
        <v>1611</v>
      </c>
      <c r="Q1371" s="37">
        <f>IF(tbl_Ledger[[#This Row],[Account_Type]]="Expense",-ABS(tbl_Ledger[[#This Row],[Amount]]*tbl_Ledger[[#This Row],[Rate_to_NGN]]),tbl_Ledger[[#This Row],[Amount]]*tbl_Ledger[[#This Row],[Rate_to_NGN]])</f>
        <v>55692.270000000004</v>
      </c>
      <c r="R1371" s="25" t="str">
        <f>_xlfn.XLOOKUP(tbl_Ledger[[#This Row],[Account_Code]], tbl_Accounts[Account_Code], tbl_Accounts[Type])</f>
        <v>Revenue</v>
      </c>
      <c r="S1371" s="25" t="str">
        <f>_xlfn.XLOOKUP(tbl_Ledger[[#This Row],[Account_Code]], tbl_Accounts[Account_Code], tbl_Accounts[PL_Bucket])</f>
        <v>Revenue</v>
      </c>
      <c r="T1371" s="25">
        <f t="shared" si="21"/>
        <v>55692.270000000004</v>
      </c>
    </row>
    <row r="1372" spans="1:20">
      <c r="A1372" t="s">
        <v>3629</v>
      </c>
      <c r="B1372" s="7">
        <v>45926</v>
      </c>
      <c r="C1372" t="s">
        <v>126</v>
      </c>
      <c r="D1372" t="s">
        <v>88</v>
      </c>
      <c r="E1372" t="s">
        <v>136</v>
      </c>
      <c r="F1372" s="12" t="s">
        <v>29</v>
      </c>
      <c r="G1372" t="s">
        <v>30</v>
      </c>
      <c r="H1372" t="s">
        <v>3630</v>
      </c>
      <c r="I1372" t="s">
        <v>71</v>
      </c>
      <c r="J1372" s="6">
        <v>56400</v>
      </c>
      <c r="K1372" t="s">
        <v>138</v>
      </c>
      <c r="L1372" t="s">
        <v>3628</v>
      </c>
      <c r="M1372" t="s">
        <v>3</v>
      </c>
      <c r="N1372" s="25" t="str">
        <f>TEXT(tbl_Ledger[[#This Row],[Date]],"yyyy-mm")</f>
        <v>2025-09</v>
      </c>
      <c r="O1372" s="25" t="str">
        <f>TEXT(tbl_Ledger[[#This Row],[Date]],"yyyy-mm") &amp; TRIM(tbl_Ledger[[#This Row],[Currency]])</f>
        <v>2025-09NGN</v>
      </c>
      <c r="P1372" s="25">
        <f>_xlfn.XLOOKUP(tbl_Ledger[[#This Row],[Key]], tbl_FX[Key], tbl_FX[Rate_to_NGN])</f>
        <v>1</v>
      </c>
      <c r="Q1372" s="37">
        <f>IF(tbl_Ledger[[#This Row],[Account_Type]]="Expense",-ABS(tbl_Ledger[[#This Row],[Amount]]*tbl_Ledger[[#This Row],[Rate_to_NGN]]),tbl_Ledger[[#This Row],[Amount]]*tbl_Ledger[[#This Row],[Rate_to_NGN]])</f>
        <v>56400</v>
      </c>
      <c r="R1372" s="25" t="str">
        <f>_xlfn.XLOOKUP(tbl_Ledger[[#This Row],[Account_Code]], tbl_Accounts[Account_Code], tbl_Accounts[Type])</f>
        <v>Revenue</v>
      </c>
      <c r="S1372" s="25" t="str">
        <f>_xlfn.XLOOKUP(tbl_Ledger[[#This Row],[Account_Code]], tbl_Accounts[Account_Code], tbl_Accounts[PL_Bucket])</f>
        <v>Revenue</v>
      </c>
      <c r="T1372" s="25">
        <f t="shared" si="21"/>
        <v>56400</v>
      </c>
    </row>
    <row r="1373" spans="1:20">
      <c r="A1373" t="s">
        <v>3631</v>
      </c>
      <c r="B1373" s="7">
        <v>45926</v>
      </c>
      <c r="C1373" t="s">
        <v>126</v>
      </c>
      <c r="D1373" t="s">
        <v>88</v>
      </c>
      <c r="E1373" t="s">
        <v>140</v>
      </c>
      <c r="F1373" s="12" t="s">
        <v>29</v>
      </c>
      <c r="G1373" t="s">
        <v>30</v>
      </c>
      <c r="H1373" t="s">
        <v>3632</v>
      </c>
      <c r="I1373" t="s">
        <v>71</v>
      </c>
      <c r="J1373" s="6">
        <v>51800</v>
      </c>
      <c r="K1373" t="s">
        <v>3</v>
      </c>
      <c r="L1373" t="s">
        <v>3633</v>
      </c>
      <c r="M1373" t="s">
        <v>3</v>
      </c>
      <c r="N1373" s="25" t="str">
        <f>TEXT(tbl_Ledger[[#This Row],[Date]],"yyyy-mm")</f>
        <v>2025-09</v>
      </c>
      <c r="O1373" s="25" t="str">
        <f>TEXT(tbl_Ledger[[#This Row],[Date]],"yyyy-mm") &amp; TRIM(tbl_Ledger[[#This Row],[Currency]])</f>
        <v>2025-09NGN</v>
      </c>
      <c r="P1373" s="25">
        <f>_xlfn.XLOOKUP(tbl_Ledger[[#This Row],[Key]], tbl_FX[Key], tbl_FX[Rate_to_NGN])</f>
        <v>1</v>
      </c>
      <c r="Q1373" s="37">
        <f>IF(tbl_Ledger[[#This Row],[Account_Type]]="Expense",-ABS(tbl_Ledger[[#This Row],[Amount]]*tbl_Ledger[[#This Row],[Rate_to_NGN]]),tbl_Ledger[[#This Row],[Amount]]*tbl_Ledger[[#This Row],[Rate_to_NGN]])</f>
        <v>51800</v>
      </c>
      <c r="R1373" s="25" t="str">
        <f>_xlfn.XLOOKUP(tbl_Ledger[[#This Row],[Account_Code]], tbl_Accounts[Account_Code], tbl_Accounts[Type])</f>
        <v>Revenue</v>
      </c>
      <c r="S1373" s="25" t="str">
        <f>_xlfn.XLOOKUP(tbl_Ledger[[#This Row],[Account_Code]], tbl_Accounts[Account_Code], tbl_Accounts[PL_Bucket])</f>
        <v>Revenue</v>
      </c>
      <c r="T1373" s="25">
        <f t="shared" si="21"/>
        <v>51800</v>
      </c>
    </row>
    <row r="1374" spans="1:20">
      <c r="A1374" t="s">
        <v>3634</v>
      </c>
      <c r="B1374" s="7">
        <v>45926</v>
      </c>
      <c r="C1374" t="s">
        <v>87</v>
      </c>
      <c r="D1374" t="s">
        <v>94</v>
      </c>
      <c r="E1374" t="s">
        <v>3</v>
      </c>
      <c r="F1374" s="12" t="s">
        <v>42</v>
      </c>
      <c r="G1374" t="s">
        <v>43</v>
      </c>
      <c r="H1374" t="s">
        <v>2861</v>
      </c>
      <c r="I1374" t="s">
        <v>71</v>
      </c>
      <c r="J1374" s="6">
        <v>-496000</v>
      </c>
      <c r="K1374" t="s">
        <v>187</v>
      </c>
      <c r="L1374" t="s">
        <v>3635</v>
      </c>
      <c r="M1374" t="s">
        <v>3</v>
      </c>
      <c r="N1374" s="25" t="str">
        <f>TEXT(tbl_Ledger[[#This Row],[Date]],"yyyy-mm")</f>
        <v>2025-09</v>
      </c>
      <c r="O1374" s="25" t="str">
        <f>TEXT(tbl_Ledger[[#This Row],[Date]],"yyyy-mm") &amp; TRIM(tbl_Ledger[[#This Row],[Currency]])</f>
        <v>2025-09NGN</v>
      </c>
      <c r="P1374" s="25">
        <f>_xlfn.XLOOKUP(tbl_Ledger[[#This Row],[Key]], tbl_FX[Key], tbl_FX[Rate_to_NGN])</f>
        <v>1</v>
      </c>
      <c r="Q1374" s="37">
        <f>IF(tbl_Ledger[[#This Row],[Account_Type]]="Expense",-ABS(tbl_Ledger[[#This Row],[Amount]]*tbl_Ledger[[#This Row],[Rate_to_NGN]]),tbl_Ledger[[#This Row],[Amount]]*tbl_Ledger[[#This Row],[Rate_to_NGN]])</f>
        <v>-496000</v>
      </c>
      <c r="R1374" s="25" t="str">
        <f>_xlfn.XLOOKUP(tbl_Ledger[[#This Row],[Account_Code]], tbl_Accounts[Account_Code], tbl_Accounts[Type])</f>
        <v>COGS</v>
      </c>
      <c r="S1374" s="25" t="str">
        <f>_xlfn.XLOOKUP(tbl_Ledger[[#This Row],[Account_Code]], tbl_Accounts[Account_Code], tbl_Accounts[PL_Bucket])</f>
        <v>COGS</v>
      </c>
      <c r="T1374" s="25">
        <f t="shared" si="21"/>
        <v>-496000</v>
      </c>
    </row>
    <row r="1375" spans="1:20">
      <c r="A1375" t="s">
        <v>3636</v>
      </c>
      <c r="B1375" s="7">
        <v>45926</v>
      </c>
      <c r="C1375" t="s">
        <v>87</v>
      </c>
      <c r="D1375" t="s">
        <v>111</v>
      </c>
      <c r="E1375" t="s">
        <v>3</v>
      </c>
      <c r="F1375" s="12" t="s">
        <v>36</v>
      </c>
      <c r="G1375" t="s">
        <v>37</v>
      </c>
      <c r="H1375" t="s">
        <v>2732</v>
      </c>
      <c r="I1375" t="s">
        <v>71</v>
      </c>
      <c r="J1375" s="6">
        <v>-1091000</v>
      </c>
      <c r="K1375" t="s">
        <v>195</v>
      </c>
      <c r="L1375" t="s">
        <v>3637</v>
      </c>
      <c r="M1375" t="s">
        <v>3</v>
      </c>
      <c r="N1375" s="25" t="str">
        <f>TEXT(tbl_Ledger[[#This Row],[Date]],"yyyy-mm")</f>
        <v>2025-09</v>
      </c>
      <c r="O1375" s="25" t="str">
        <f>TEXT(tbl_Ledger[[#This Row],[Date]],"yyyy-mm") &amp; TRIM(tbl_Ledger[[#This Row],[Currency]])</f>
        <v>2025-09NGN</v>
      </c>
      <c r="P1375" s="25">
        <f>_xlfn.XLOOKUP(tbl_Ledger[[#This Row],[Key]], tbl_FX[Key], tbl_FX[Rate_to_NGN])</f>
        <v>1</v>
      </c>
      <c r="Q1375" s="37">
        <f>IF(tbl_Ledger[[#This Row],[Account_Type]]="Expense",-ABS(tbl_Ledger[[#This Row],[Amount]]*tbl_Ledger[[#This Row],[Rate_to_NGN]]),tbl_Ledger[[#This Row],[Amount]]*tbl_Ledger[[#This Row],[Rate_to_NGN]])</f>
        <v>-1091000</v>
      </c>
      <c r="R1375" s="25" t="str">
        <f>_xlfn.XLOOKUP(tbl_Ledger[[#This Row],[Account_Code]], tbl_Accounts[Account_Code], tbl_Accounts[Type])</f>
        <v>COGS</v>
      </c>
      <c r="S1375" s="25" t="str">
        <f>_xlfn.XLOOKUP(tbl_Ledger[[#This Row],[Account_Code]], tbl_Accounts[Account_Code], tbl_Accounts[PL_Bucket])</f>
        <v>COGS</v>
      </c>
      <c r="T1375" s="25">
        <f t="shared" si="21"/>
        <v>-1091000</v>
      </c>
    </row>
    <row r="1376" spans="1:20">
      <c r="A1376" t="s">
        <v>3638</v>
      </c>
      <c r="B1376" s="7">
        <v>45927</v>
      </c>
      <c r="C1376" t="s">
        <v>93</v>
      </c>
      <c r="D1376" t="s">
        <v>94</v>
      </c>
      <c r="E1376" t="s">
        <v>95</v>
      </c>
      <c r="F1376" s="12" t="s">
        <v>24</v>
      </c>
      <c r="G1376" t="s">
        <v>25</v>
      </c>
      <c r="H1376" t="s">
        <v>3639</v>
      </c>
      <c r="I1376" t="s">
        <v>71</v>
      </c>
      <c r="J1376" s="6">
        <v>37600</v>
      </c>
      <c r="K1376" t="s">
        <v>3</v>
      </c>
      <c r="L1376" t="s">
        <v>3640</v>
      </c>
      <c r="M1376" t="s">
        <v>3</v>
      </c>
      <c r="N1376" s="25" t="str">
        <f>TEXT(tbl_Ledger[[#This Row],[Date]],"yyyy-mm")</f>
        <v>2025-09</v>
      </c>
      <c r="O1376" s="25" t="str">
        <f>TEXT(tbl_Ledger[[#This Row],[Date]],"yyyy-mm") &amp; TRIM(tbl_Ledger[[#This Row],[Currency]])</f>
        <v>2025-09NGN</v>
      </c>
      <c r="P1376" s="25">
        <f>_xlfn.XLOOKUP(tbl_Ledger[[#This Row],[Key]], tbl_FX[Key], tbl_FX[Rate_to_NGN])</f>
        <v>1</v>
      </c>
      <c r="Q1376" s="37">
        <f>IF(tbl_Ledger[[#This Row],[Account_Type]]="Expense",-ABS(tbl_Ledger[[#This Row],[Amount]]*tbl_Ledger[[#This Row],[Rate_to_NGN]]),tbl_Ledger[[#This Row],[Amount]]*tbl_Ledger[[#This Row],[Rate_to_NGN]])</f>
        <v>37600</v>
      </c>
      <c r="R1376" s="25" t="str">
        <f>_xlfn.XLOOKUP(tbl_Ledger[[#This Row],[Account_Code]], tbl_Accounts[Account_Code], tbl_Accounts[Type])</f>
        <v>Revenue</v>
      </c>
      <c r="S1376" s="25" t="str">
        <f>_xlfn.XLOOKUP(tbl_Ledger[[#This Row],[Account_Code]], tbl_Accounts[Account_Code], tbl_Accounts[PL_Bucket])</f>
        <v>Revenue</v>
      </c>
      <c r="T1376" s="25">
        <f t="shared" si="21"/>
        <v>37600</v>
      </c>
    </row>
    <row r="1377" spans="1:20">
      <c r="A1377" t="s">
        <v>3641</v>
      </c>
      <c r="B1377" s="7">
        <v>45927</v>
      </c>
      <c r="C1377" t="s">
        <v>93</v>
      </c>
      <c r="D1377" t="s">
        <v>94</v>
      </c>
      <c r="E1377" t="s">
        <v>99</v>
      </c>
      <c r="F1377" s="12" t="s">
        <v>24</v>
      </c>
      <c r="G1377" t="s">
        <v>25</v>
      </c>
      <c r="H1377" t="s">
        <v>3642</v>
      </c>
      <c r="I1377" t="s">
        <v>71</v>
      </c>
      <c r="J1377" s="6">
        <v>39300</v>
      </c>
      <c r="K1377" t="s">
        <v>3</v>
      </c>
      <c r="L1377" t="s">
        <v>3643</v>
      </c>
      <c r="M1377" t="s">
        <v>3</v>
      </c>
      <c r="N1377" s="25" t="str">
        <f>TEXT(tbl_Ledger[[#This Row],[Date]],"yyyy-mm")</f>
        <v>2025-09</v>
      </c>
      <c r="O1377" s="25" t="str">
        <f>TEXT(tbl_Ledger[[#This Row],[Date]],"yyyy-mm") &amp; TRIM(tbl_Ledger[[#This Row],[Currency]])</f>
        <v>2025-09NGN</v>
      </c>
      <c r="P1377" s="25">
        <f>_xlfn.XLOOKUP(tbl_Ledger[[#This Row],[Key]], tbl_FX[Key], tbl_FX[Rate_to_NGN])</f>
        <v>1</v>
      </c>
      <c r="Q1377" s="37">
        <f>IF(tbl_Ledger[[#This Row],[Account_Type]]="Expense",-ABS(tbl_Ledger[[#This Row],[Amount]]*tbl_Ledger[[#This Row],[Rate_to_NGN]]),tbl_Ledger[[#This Row],[Amount]]*tbl_Ledger[[#This Row],[Rate_to_NGN]])</f>
        <v>39300</v>
      </c>
      <c r="R1377" s="25" t="str">
        <f>_xlfn.XLOOKUP(tbl_Ledger[[#This Row],[Account_Code]], tbl_Accounts[Account_Code], tbl_Accounts[Type])</f>
        <v>Revenue</v>
      </c>
      <c r="S1377" s="25" t="str">
        <f>_xlfn.XLOOKUP(tbl_Ledger[[#This Row],[Account_Code]], tbl_Accounts[Account_Code], tbl_Accounts[PL_Bucket])</f>
        <v>Revenue</v>
      </c>
      <c r="T1377" s="25">
        <f t="shared" si="21"/>
        <v>39300</v>
      </c>
    </row>
    <row r="1378" spans="1:20">
      <c r="A1378" t="s">
        <v>3644</v>
      </c>
      <c r="B1378" s="7">
        <v>45927</v>
      </c>
      <c r="C1378" t="s">
        <v>93</v>
      </c>
      <c r="D1378" t="s">
        <v>94</v>
      </c>
      <c r="E1378" t="s">
        <v>103</v>
      </c>
      <c r="F1378" s="12" t="s">
        <v>24</v>
      </c>
      <c r="G1378" t="s">
        <v>25</v>
      </c>
      <c r="H1378" t="s">
        <v>3645</v>
      </c>
      <c r="I1378" t="s">
        <v>71</v>
      </c>
      <c r="J1378" s="6">
        <v>35900</v>
      </c>
      <c r="K1378" t="s">
        <v>3</v>
      </c>
      <c r="L1378" t="s">
        <v>3646</v>
      </c>
      <c r="M1378" t="s">
        <v>3</v>
      </c>
      <c r="N1378" s="25" t="str">
        <f>TEXT(tbl_Ledger[[#This Row],[Date]],"yyyy-mm")</f>
        <v>2025-09</v>
      </c>
      <c r="O1378" s="25" t="str">
        <f>TEXT(tbl_Ledger[[#This Row],[Date]],"yyyy-mm") &amp; TRIM(tbl_Ledger[[#This Row],[Currency]])</f>
        <v>2025-09NGN</v>
      </c>
      <c r="P1378" s="25">
        <f>_xlfn.XLOOKUP(tbl_Ledger[[#This Row],[Key]], tbl_FX[Key], tbl_FX[Rate_to_NGN])</f>
        <v>1</v>
      </c>
      <c r="Q1378" s="37">
        <f>IF(tbl_Ledger[[#This Row],[Account_Type]]="Expense",-ABS(tbl_Ledger[[#This Row],[Amount]]*tbl_Ledger[[#This Row],[Rate_to_NGN]]),tbl_Ledger[[#This Row],[Amount]]*tbl_Ledger[[#This Row],[Rate_to_NGN]])</f>
        <v>35900</v>
      </c>
      <c r="R1378" s="25" t="str">
        <f>_xlfn.XLOOKUP(tbl_Ledger[[#This Row],[Account_Code]], tbl_Accounts[Account_Code], tbl_Accounts[Type])</f>
        <v>Revenue</v>
      </c>
      <c r="S1378" s="25" t="str">
        <f>_xlfn.XLOOKUP(tbl_Ledger[[#This Row],[Account_Code]], tbl_Accounts[Account_Code], tbl_Accounts[PL_Bucket])</f>
        <v>Revenue</v>
      </c>
      <c r="T1378" s="25">
        <f t="shared" si="21"/>
        <v>35900</v>
      </c>
    </row>
    <row r="1379" spans="1:20">
      <c r="A1379" t="s">
        <v>3647</v>
      </c>
      <c r="B1379" s="7">
        <v>45927</v>
      </c>
      <c r="C1379" t="s">
        <v>93</v>
      </c>
      <c r="D1379" t="s">
        <v>94</v>
      </c>
      <c r="E1379" t="s">
        <v>160</v>
      </c>
      <c r="F1379" s="12" t="s">
        <v>24</v>
      </c>
      <c r="G1379" t="s">
        <v>25</v>
      </c>
      <c r="H1379" t="s">
        <v>3648</v>
      </c>
      <c r="I1379" t="s">
        <v>71</v>
      </c>
      <c r="J1379" s="6">
        <v>39700</v>
      </c>
      <c r="K1379" t="s">
        <v>3</v>
      </c>
      <c r="L1379" t="s">
        <v>3646</v>
      </c>
      <c r="M1379" t="s">
        <v>3</v>
      </c>
      <c r="N1379" s="25" t="str">
        <f>TEXT(tbl_Ledger[[#This Row],[Date]],"yyyy-mm")</f>
        <v>2025-09</v>
      </c>
      <c r="O1379" s="25" t="str">
        <f>TEXT(tbl_Ledger[[#This Row],[Date]],"yyyy-mm") &amp; TRIM(tbl_Ledger[[#This Row],[Currency]])</f>
        <v>2025-09NGN</v>
      </c>
      <c r="P1379" s="25">
        <f>_xlfn.XLOOKUP(tbl_Ledger[[#This Row],[Key]], tbl_FX[Key], tbl_FX[Rate_to_NGN])</f>
        <v>1</v>
      </c>
      <c r="Q1379" s="37">
        <f>IF(tbl_Ledger[[#This Row],[Account_Type]]="Expense",-ABS(tbl_Ledger[[#This Row],[Amount]]*tbl_Ledger[[#This Row],[Rate_to_NGN]]),tbl_Ledger[[#This Row],[Amount]]*tbl_Ledger[[#This Row],[Rate_to_NGN]])</f>
        <v>39700</v>
      </c>
      <c r="R1379" s="25" t="str">
        <f>_xlfn.XLOOKUP(tbl_Ledger[[#This Row],[Account_Code]], tbl_Accounts[Account_Code], tbl_Accounts[Type])</f>
        <v>Revenue</v>
      </c>
      <c r="S1379" s="25" t="str">
        <f>_xlfn.XLOOKUP(tbl_Ledger[[#This Row],[Account_Code]], tbl_Accounts[Account_Code], tbl_Accounts[PL_Bucket])</f>
        <v>Revenue</v>
      </c>
      <c r="T1379" s="25">
        <f t="shared" si="21"/>
        <v>39700</v>
      </c>
    </row>
    <row r="1380" spans="1:20">
      <c r="A1380" t="s">
        <v>3649</v>
      </c>
      <c r="B1380" s="7">
        <v>45927</v>
      </c>
      <c r="C1380" t="s">
        <v>93</v>
      </c>
      <c r="D1380" t="s">
        <v>94</v>
      </c>
      <c r="E1380" t="s">
        <v>107</v>
      </c>
      <c r="F1380" s="12" t="s">
        <v>24</v>
      </c>
      <c r="G1380" t="s">
        <v>25</v>
      </c>
      <c r="H1380" t="s">
        <v>3650</v>
      </c>
      <c r="I1380" t="s">
        <v>71</v>
      </c>
      <c r="J1380" s="6">
        <v>39700</v>
      </c>
      <c r="K1380" t="s">
        <v>3</v>
      </c>
      <c r="L1380" t="s">
        <v>3651</v>
      </c>
      <c r="M1380" t="s">
        <v>3</v>
      </c>
      <c r="N1380" s="25" t="str">
        <f>TEXT(tbl_Ledger[[#This Row],[Date]],"yyyy-mm")</f>
        <v>2025-09</v>
      </c>
      <c r="O1380" s="25" t="str">
        <f>TEXT(tbl_Ledger[[#This Row],[Date]],"yyyy-mm") &amp; TRIM(tbl_Ledger[[#This Row],[Currency]])</f>
        <v>2025-09NGN</v>
      </c>
      <c r="P1380" s="25">
        <f>_xlfn.XLOOKUP(tbl_Ledger[[#This Row],[Key]], tbl_FX[Key], tbl_FX[Rate_to_NGN])</f>
        <v>1</v>
      </c>
      <c r="Q1380" s="37">
        <f>IF(tbl_Ledger[[#This Row],[Account_Type]]="Expense",-ABS(tbl_Ledger[[#This Row],[Amount]]*tbl_Ledger[[#This Row],[Rate_to_NGN]]),tbl_Ledger[[#This Row],[Amount]]*tbl_Ledger[[#This Row],[Rate_to_NGN]])</f>
        <v>39700</v>
      </c>
      <c r="R1380" s="25" t="str">
        <f>_xlfn.XLOOKUP(tbl_Ledger[[#This Row],[Account_Code]], tbl_Accounts[Account_Code], tbl_Accounts[Type])</f>
        <v>Revenue</v>
      </c>
      <c r="S1380" s="25" t="str">
        <f>_xlfn.XLOOKUP(tbl_Ledger[[#This Row],[Account_Code]], tbl_Accounts[Account_Code], tbl_Accounts[PL_Bucket])</f>
        <v>Revenue</v>
      </c>
      <c r="T1380" s="25">
        <f t="shared" si="21"/>
        <v>39700</v>
      </c>
    </row>
    <row r="1381" spans="1:20">
      <c r="A1381" t="s">
        <v>3652</v>
      </c>
      <c r="B1381" s="7">
        <v>45927</v>
      </c>
      <c r="C1381" t="s">
        <v>93</v>
      </c>
      <c r="D1381" t="s">
        <v>111</v>
      </c>
      <c r="E1381" t="s">
        <v>112</v>
      </c>
      <c r="F1381" s="12" t="s">
        <v>24</v>
      </c>
      <c r="G1381" t="s">
        <v>25</v>
      </c>
      <c r="H1381" t="s">
        <v>3653</v>
      </c>
      <c r="I1381" t="s">
        <v>71</v>
      </c>
      <c r="J1381" s="6">
        <v>64200</v>
      </c>
      <c r="K1381" t="s">
        <v>3</v>
      </c>
      <c r="L1381" t="s">
        <v>3654</v>
      </c>
      <c r="M1381" t="s">
        <v>3</v>
      </c>
      <c r="N1381" s="25" t="str">
        <f>TEXT(tbl_Ledger[[#This Row],[Date]],"yyyy-mm")</f>
        <v>2025-09</v>
      </c>
      <c r="O1381" s="25" t="str">
        <f>TEXT(tbl_Ledger[[#This Row],[Date]],"yyyy-mm") &amp; TRIM(tbl_Ledger[[#This Row],[Currency]])</f>
        <v>2025-09NGN</v>
      </c>
      <c r="P1381" s="25">
        <f>_xlfn.XLOOKUP(tbl_Ledger[[#This Row],[Key]], tbl_FX[Key], tbl_FX[Rate_to_NGN])</f>
        <v>1</v>
      </c>
      <c r="Q1381" s="37">
        <f>IF(tbl_Ledger[[#This Row],[Account_Type]]="Expense",-ABS(tbl_Ledger[[#This Row],[Amount]]*tbl_Ledger[[#This Row],[Rate_to_NGN]]),tbl_Ledger[[#This Row],[Amount]]*tbl_Ledger[[#This Row],[Rate_to_NGN]])</f>
        <v>64200</v>
      </c>
      <c r="R1381" s="25" t="str">
        <f>_xlfn.XLOOKUP(tbl_Ledger[[#This Row],[Account_Code]], tbl_Accounts[Account_Code], tbl_Accounts[Type])</f>
        <v>Revenue</v>
      </c>
      <c r="S1381" s="25" t="str">
        <f>_xlfn.XLOOKUP(tbl_Ledger[[#This Row],[Account_Code]], tbl_Accounts[Account_Code], tbl_Accounts[PL_Bucket])</f>
        <v>Revenue</v>
      </c>
      <c r="T1381" s="25">
        <f t="shared" si="21"/>
        <v>64200</v>
      </c>
    </row>
    <row r="1382" spans="1:20">
      <c r="A1382" t="s">
        <v>3655</v>
      </c>
      <c r="B1382" s="7">
        <v>45927</v>
      </c>
      <c r="C1382" t="s">
        <v>93</v>
      </c>
      <c r="D1382" t="s">
        <v>111</v>
      </c>
      <c r="E1382" t="s">
        <v>116</v>
      </c>
      <c r="F1382" s="12" t="s">
        <v>24</v>
      </c>
      <c r="G1382" t="s">
        <v>25</v>
      </c>
      <c r="H1382" t="s">
        <v>3656</v>
      </c>
      <c r="I1382" t="s">
        <v>71</v>
      </c>
      <c r="J1382" s="6">
        <v>62100</v>
      </c>
      <c r="K1382" t="s">
        <v>3</v>
      </c>
      <c r="L1382" t="s">
        <v>3654</v>
      </c>
      <c r="M1382" t="s">
        <v>3</v>
      </c>
      <c r="N1382" s="25" t="str">
        <f>TEXT(tbl_Ledger[[#This Row],[Date]],"yyyy-mm")</f>
        <v>2025-09</v>
      </c>
      <c r="O1382" s="25" t="str">
        <f>TEXT(tbl_Ledger[[#This Row],[Date]],"yyyy-mm") &amp; TRIM(tbl_Ledger[[#This Row],[Currency]])</f>
        <v>2025-09NGN</v>
      </c>
      <c r="P1382" s="25">
        <f>_xlfn.XLOOKUP(tbl_Ledger[[#This Row],[Key]], tbl_FX[Key], tbl_FX[Rate_to_NGN])</f>
        <v>1</v>
      </c>
      <c r="Q1382" s="37">
        <f>IF(tbl_Ledger[[#This Row],[Account_Type]]="Expense",-ABS(tbl_Ledger[[#This Row],[Amount]]*tbl_Ledger[[#This Row],[Rate_to_NGN]]),tbl_Ledger[[#This Row],[Amount]]*tbl_Ledger[[#This Row],[Rate_to_NGN]])</f>
        <v>62100</v>
      </c>
      <c r="R1382" s="25" t="str">
        <f>_xlfn.XLOOKUP(tbl_Ledger[[#This Row],[Account_Code]], tbl_Accounts[Account_Code], tbl_Accounts[Type])</f>
        <v>Revenue</v>
      </c>
      <c r="S1382" s="25" t="str">
        <f>_xlfn.XLOOKUP(tbl_Ledger[[#This Row],[Account_Code]], tbl_Accounts[Account_Code], tbl_Accounts[PL_Bucket])</f>
        <v>Revenue</v>
      </c>
      <c r="T1382" s="25">
        <f t="shared" si="21"/>
        <v>62100</v>
      </c>
    </row>
    <row r="1383" spans="1:20">
      <c r="A1383" t="s">
        <v>3657</v>
      </c>
      <c r="B1383" s="7">
        <v>45927</v>
      </c>
      <c r="C1383" t="s">
        <v>93</v>
      </c>
      <c r="D1383" t="s">
        <v>111</v>
      </c>
      <c r="E1383" t="s">
        <v>119</v>
      </c>
      <c r="F1383" s="12" t="s">
        <v>24</v>
      </c>
      <c r="G1383" t="s">
        <v>25</v>
      </c>
      <c r="H1383" t="s">
        <v>3658</v>
      </c>
      <c r="I1383" t="s">
        <v>71</v>
      </c>
      <c r="J1383" s="6">
        <v>65400</v>
      </c>
      <c r="K1383" t="s">
        <v>3</v>
      </c>
      <c r="L1383" t="s">
        <v>3654</v>
      </c>
      <c r="M1383" t="s">
        <v>3</v>
      </c>
      <c r="N1383" s="25" t="str">
        <f>TEXT(tbl_Ledger[[#This Row],[Date]],"yyyy-mm")</f>
        <v>2025-09</v>
      </c>
      <c r="O1383" s="25" t="str">
        <f>TEXT(tbl_Ledger[[#This Row],[Date]],"yyyy-mm") &amp; TRIM(tbl_Ledger[[#This Row],[Currency]])</f>
        <v>2025-09NGN</v>
      </c>
      <c r="P1383" s="25">
        <f>_xlfn.XLOOKUP(tbl_Ledger[[#This Row],[Key]], tbl_FX[Key], tbl_FX[Rate_to_NGN])</f>
        <v>1</v>
      </c>
      <c r="Q1383" s="37">
        <f>IF(tbl_Ledger[[#This Row],[Account_Type]]="Expense",-ABS(tbl_Ledger[[#This Row],[Amount]]*tbl_Ledger[[#This Row],[Rate_to_NGN]]),tbl_Ledger[[#This Row],[Amount]]*tbl_Ledger[[#This Row],[Rate_to_NGN]])</f>
        <v>65400</v>
      </c>
      <c r="R1383" s="25" t="str">
        <f>_xlfn.XLOOKUP(tbl_Ledger[[#This Row],[Account_Code]], tbl_Accounts[Account_Code], tbl_Accounts[Type])</f>
        <v>Revenue</v>
      </c>
      <c r="S1383" s="25" t="str">
        <f>_xlfn.XLOOKUP(tbl_Ledger[[#This Row],[Account_Code]], tbl_Accounts[Account_Code], tbl_Accounts[PL_Bucket])</f>
        <v>Revenue</v>
      </c>
      <c r="T1383" s="25">
        <f t="shared" si="21"/>
        <v>65400</v>
      </c>
    </row>
    <row r="1384" spans="1:20">
      <c r="A1384" t="s">
        <v>3659</v>
      </c>
      <c r="B1384" s="7">
        <v>45927</v>
      </c>
      <c r="C1384" t="s">
        <v>93</v>
      </c>
      <c r="D1384" t="s">
        <v>111</v>
      </c>
      <c r="E1384" t="s">
        <v>170</v>
      </c>
      <c r="F1384" s="12" t="s">
        <v>24</v>
      </c>
      <c r="G1384" t="s">
        <v>25</v>
      </c>
      <c r="H1384" t="s">
        <v>3660</v>
      </c>
      <c r="I1384" t="s">
        <v>71</v>
      </c>
      <c r="J1384" s="6">
        <v>66200</v>
      </c>
      <c r="K1384" t="s">
        <v>3</v>
      </c>
      <c r="L1384" t="s">
        <v>3654</v>
      </c>
      <c r="M1384" t="s">
        <v>3</v>
      </c>
      <c r="N1384" s="25" t="str">
        <f>TEXT(tbl_Ledger[[#This Row],[Date]],"yyyy-mm")</f>
        <v>2025-09</v>
      </c>
      <c r="O1384" s="25" t="str">
        <f>TEXT(tbl_Ledger[[#This Row],[Date]],"yyyy-mm") &amp; TRIM(tbl_Ledger[[#This Row],[Currency]])</f>
        <v>2025-09NGN</v>
      </c>
      <c r="P1384" s="25">
        <f>_xlfn.XLOOKUP(tbl_Ledger[[#This Row],[Key]], tbl_FX[Key], tbl_FX[Rate_to_NGN])</f>
        <v>1</v>
      </c>
      <c r="Q1384" s="37">
        <f>IF(tbl_Ledger[[#This Row],[Account_Type]]="Expense",-ABS(tbl_Ledger[[#This Row],[Amount]]*tbl_Ledger[[#This Row],[Rate_to_NGN]]),tbl_Ledger[[#This Row],[Amount]]*tbl_Ledger[[#This Row],[Rate_to_NGN]])</f>
        <v>66200</v>
      </c>
      <c r="R1384" s="25" t="str">
        <f>_xlfn.XLOOKUP(tbl_Ledger[[#This Row],[Account_Code]], tbl_Accounts[Account_Code], tbl_Accounts[Type])</f>
        <v>Revenue</v>
      </c>
      <c r="S1384" s="25" t="str">
        <f>_xlfn.XLOOKUP(tbl_Ledger[[#This Row],[Account_Code]], tbl_Accounts[Account_Code], tbl_Accounts[PL_Bucket])</f>
        <v>Revenue</v>
      </c>
      <c r="T1384" s="25">
        <f t="shared" si="21"/>
        <v>66200</v>
      </c>
    </row>
    <row r="1385" spans="1:20">
      <c r="A1385" t="s">
        <v>3661</v>
      </c>
      <c r="B1385" s="7">
        <v>45927</v>
      </c>
      <c r="C1385" t="s">
        <v>93</v>
      </c>
      <c r="D1385" t="s">
        <v>111</v>
      </c>
      <c r="E1385" t="s">
        <v>122</v>
      </c>
      <c r="F1385" s="12" t="s">
        <v>24</v>
      </c>
      <c r="G1385" t="s">
        <v>25</v>
      </c>
      <c r="H1385" t="s">
        <v>3662</v>
      </c>
      <c r="I1385" t="s">
        <v>71</v>
      </c>
      <c r="J1385" s="6">
        <v>59800</v>
      </c>
      <c r="K1385" t="s">
        <v>3</v>
      </c>
      <c r="L1385" t="s">
        <v>3663</v>
      </c>
      <c r="M1385" t="s">
        <v>3</v>
      </c>
      <c r="N1385" s="25" t="str">
        <f>TEXT(tbl_Ledger[[#This Row],[Date]],"yyyy-mm")</f>
        <v>2025-09</v>
      </c>
      <c r="O1385" s="25" t="str">
        <f>TEXT(tbl_Ledger[[#This Row],[Date]],"yyyy-mm") &amp; TRIM(tbl_Ledger[[#This Row],[Currency]])</f>
        <v>2025-09NGN</v>
      </c>
      <c r="P1385" s="25">
        <f>_xlfn.XLOOKUP(tbl_Ledger[[#This Row],[Key]], tbl_FX[Key], tbl_FX[Rate_to_NGN])</f>
        <v>1</v>
      </c>
      <c r="Q1385" s="37">
        <f>IF(tbl_Ledger[[#This Row],[Account_Type]]="Expense",-ABS(tbl_Ledger[[#This Row],[Amount]]*tbl_Ledger[[#This Row],[Rate_to_NGN]]),tbl_Ledger[[#This Row],[Amount]]*tbl_Ledger[[#This Row],[Rate_to_NGN]])</f>
        <v>59800</v>
      </c>
      <c r="R1385" s="25" t="str">
        <f>_xlfn.XLOOKUP(tbl_Ledger[[#This Row],[Account_Code]], tbl_Accounts[Account_Code], tbl_Accounts[Type])</f>
        <v>Revenue</v>
      </c>
      <c r="S1385" s="25" t="str">
        <f>_xlfn.XLOOKUP(tbl_Ledger[[#This Row],[Account_Code]], tbl_Accounts[Account_Code], tbl_Accounts[PL_Bucket])</f>
        <v>Revenue</v>
      </c>
      <c r="T1385" s="25">
        <f t="shared" si="21"/>
        <v>59800</v>
      </c>
    </row>
    <row r="1386" spans="1:20">
      <c r="A1386" t="s">
        <v>3664</v>
      </c>
      <c r="B1386" s="7">
        <v>45927</v>
      </c>
      <c r="C1386" t="s">
        <v>126</v>
      </c>
      <c r="D1386" t="s">
        <v>88</v>
      </c>
      <c r="E1386" t="s">
        <v>127</v>
      </c>
      <c r="F1386" s="12" t="s">
        <v>29</v>
      </c>
      <c r="G1386" t="s">
        <v>30</v>
      </c>
      <c r="H1386" t="s">
        <v>3665</v>
      </c>
      <c r="I1386" t="s">
        <v>71</v>
      </c>
      <c r="J1386" s="6">
        <v>56400</v>
      </c>
      <c r="K1386" t="s">
        <v>129</v>
      </c>
      <c r="L1386" t="s">
        <v>3666</v>
      </c>
      <c r="M1386" t="s">
        <v>3</v>
      </c>
      <c r="N1386" s="25" t="str">
        <f>TEXT(tbl_Ledger[[#This Row],[Date]],"yyyy-mm")</f>
        <v>2025-09</v>
      </c>
      <c r="O1386" s="25" t="str">
        <f>TEXT(tbl_Ledger[[#This Row],[Date]],"yyyy-mm") &amp; TRIM(tbl_Ledger[[#This Row],[Currency]])</f>
        <v>2025-09NGN</v>
      </c>
      <c r="P1386" s="25">
        <f>_xlfn.XLOOKUP(tbl_Ledger[[#This Row],[Key]], tbl_FX[Key], tbl_FX[Rate_to_NGN])</f>
        <v>1</v>
      </c>
      <c r="Q1386" s="37">
        <f>IF(tbl_Ledger[[#This Row],[Account_Type]]="Expense",-ABS(tbl_Ledger[[#This Row],[Amount]]*tbl_Ledger[[#This Row],[Rate_to_NGN]]),tbl_Ledger[[#This Row],[Amount]]*tbl_Ledger[[#This Row],[Rate_to_NGN]])</f>
        <v>56400</v>
      </c>
      <c r="R1386" s="25" t="str">
        <f>_xlfn.XLOOKUP(tbl_Ledger[[#This Row],[Account_Code]], tbl_Accounts[Account_Code], tbl_Accounts[Type])</f>
        <v>Revenue</v>
      </c>
      <c r="S1386" s="25" t="str">
        <f>_xlfn.XLOOKUP(tbl_Ledger[[#This Row],[Account_Code]], tbl_Accounts[Account_Code], tbl_Accounts[PL_Bucket])</f>
        <v>Revenue</v>
      </c>
      <c r="T1386" s="25">
        <f t="shared" si="21"/>
        <v>56400</v>
      </c>
    </row>
    <row r="1387" spans="1:20">
      <c r="A1387" t="s">
        <v>3667</v>
      </c>
      <c r="B1387" s="7">
        <v>45927</v>
      </c>
      <c r="C1387" t="s">
        <v>126</v>
      </c>
      <c r="D1387" t="s">
        <v>88</v>
      </c>
      <c r="E1387" t="s">
        <v>132</v>
      </c>
      <c r="F1387" s="12" t="s">
        <v>29</v>
      </c>
      <c r="G1387" t="s">
        <v>30</v>
      </c>
      <c r="H1387" t="s">
        <v>3668</v>
      </c>
      <c r="I1387" t="s">
        <v>71</v>
      </c>
      <c r="J1387" s="6">
        <v>58600</v>
      </c>
      <c r="K1387" t="s">
        <v>134</v>
      </c>
      <c r="L1387" t="s">
        <v>3666</v>
      </c>
      <c r="M1387" t="s">
        <v>3</v>
      </c>
      <c r="N1387" s="25" t="str">
        <f>TEXT(tbl_Ledger[[#This Row],[Date]],"yyyy-mm")</f>
        <v>2025-09</v>
      </c>
      <c r="O1387" s="25" t="str">
        <f>TEXT(tbl_Ledger[[#This Row],[Date]],"yyyy-mm") &amp; TRIM(tbl_Ledger[[#This Row],[Currency]])</f>
        <v>2025-09NGN</v>
      </c>
      <c r="P1387" s="25">
        <f>_xlfn.XLOOKUP(tbl_Ledger[[#This Row],[Key]], tbl_FX[Key], tbl_FX[Rate_to_NGN])</f>
        <v>1</v>
      </c>
      <c r="Q1387" s="37">
        <f>IF(tbl_Ledger[[#This Row],[Account_Type]]="Expense",-ABS(tbl_Ledger[[#This Row],[Amount]]*tbl_Ledger[[#This Row],[Rate_to_NGN]]),tbl_Ledger[[#This Row],[Amount]]*tbl_Ledger[[#This Row],[Rate_to_NGN]])</f>
        <v>58600</v>
      </c>
      <c r="R1387" s="25" t="str">
        <f>_xlfn.XLOOKUP(tbl_Ledger[[#This Row],[Account_Code]], tbl_Accounts[Account_Code], tbl_Accounts[Type])</f>
        <v>Revenue</v>
      </c>
      <c r="S1387" s="25" t="str">
        <f>_xlfn.XLOOKUP(tbl_Ledger[[#This Row],[Account_Code]], tbl_Accounts[Account_Code], tbl_Accounts[PL_Bucket])</f>
        <v>Revenue</v>
      </c>
      <c r="T1387" s="25">
        <f t="shared" si="21"/>
        <v>58600</v>
      </c>
    </row>
    <row r="1388" spans="1:20">
      <c r="A1388" t="s">
        <v>3669</v>
      </c>
      <c r="B1388" s="7">
        <v>45927</v>
      </c>
      <c r="C1388" t="s">
        <v>126</v>
      </c>
      <c r="D1388" t="s">
        <v>88</v>
      </c>
      <c r="E1388" t="s">
        <v>136</v>
      </c>
      <c r="F1388" s="12" t="s">
        <v>29</v>
      </c>
      <c r="G1388" t="s">
        <v>30</v>
      </c>
      <c r="H1388" t="s">
        <v>3670</v>
      </c>
      <c r="I1388" t="s">
        <v>72</v>
      </c>
      <c r="J1388" s="6">
        <v>30.35</v>
      </c>
      <c r="K1388" t="s">
        <v>138</v>
      </c>
      <c r="L1388" t="s">
        <v>3666</v>
      </c>
      <c r="M1388" t="s">
        <v>3</v>
      </c>
      <c r="N1388" s="25" t="str">
        <f>TEXT(tbl_Ledger[[#This Row],[Date]],"yyyy-mm")</f>
        <v>2025-09</v>
      </c>
      <c r="O1388" s="25" t="str">
        <f>TEXT(tbl_Ledger[[#This Row],[Date]],"yyyy-mm") &amp; TRIM(tbl_Ledger[[#This Row],[Currency]])</f>
        <v>2025-09USD</v>
      </c>
      <c r="P1388" s="25">
        <f>_xlfn.XLOOKUP(tbl_Ledger[[#This Row],[Key]], tbl_FX[Key], tbl_FX[Rate_to_NGN])</f>
        <v>1611</v>
      </c>
      <c r="Q1388" s="37">
        <f>IF(tbl_Ledger[[#This Row],[Account_Type]]="Expense",-ABS(tbl_Ledger[[#This Row],[Amount]]*tbl_Ledger[[#This Row],[Rate_to_NGN]]),tbl_Ledger[[#This Row],[Amount]]*tbl_Ledger[[#This Row],[Rate_to_NGN]])</f>
        <v>48893.850000000006</v>
      </c>
      <c r="R1388" s="25" t="str">
        <f>_xlfn.XLOOKUP(tbl_Ledger[[#This Row],[Account_Code]], tbl_Accounts[Account_Code], tbl_Accounts[Type])</f>
        <v>Revenue</v>
      </c>
      <c r="S1388" s="25" t="str">
        <f>_xlfn.XLOOKUP(tbl_Ledger[[#This Row],[Account_Code]], tbl_Accounts[Account_Code], tbl_Accounts[PL_Bucket])</f>
        <v>Revenue</v>
      </c>
      <c r="T1388" s="25">
        <f t="shared" si="21"/>
        <v>48893.850000000006</v>
      </c>
    </row>
    <row r="1389" spans="1:20">
      <c r="A1389" t="s">
        <v>3671</v>
      </c>
      <c r="B1389" s="7">
        <v>45927</v>
      </c>
      <c r="C1389" t="s">
        <v>126</v>
      </c>
      <c r="D1389" t="s">
        <v>88</v>
      </c>
      <c r="E1389" t="s">
        <v>140</v>
      </c>
      <c r="F1389" s="12" t="s">
        <v>29</v>
      </c>
      <c r="G1389" t="s">
        <v>30</v>
      </c>
      <c r="H1389" t="s">
        <v>3672</v>
      </c>
      <c r="I1389" t="s">
        <v>71</v>
      </c>
      <c r="J1389" s="6">
        <v>49300</v>
      </c>
      <c r="K1389" t="s">
        <v>3</v>
      </c>
      <c r="L1389" t="s">
        <v>3673</v>
      </c>
      <c r="M1389" t="s">
        <v>3</v>
      </c>
      <c r="N1389" s="25" t="str">
        <f>TEXT(tbl_Ledger[[#This Row],[Date]],"yyyy-mm")</f>
        <v>2025-09</v>
      </c>
      <c r="O1389" s="25" t="str">
        <f>TEXT(tbl_Ledger[[#This Row],[Date]],"yyyy-mm") &amp; TRIM(tbl_Ledger[[#This Row],[Currency]])</f>
        <v>2025-09NGN</v>
      </c>
      <c r="P1389" s="25">
        <f>_xlfn.XLOOKUP(tbl_Ledger[[#This Row],[Key]], tbl_FX[Key], tbl_FX[Rate_to_NGN])</f>
        <v>1</v>
      </c>
      <c r="Q1389" s="37">
        <f>IF(tbl_Ledger[[#This Row],[Account_Type]]="Expense",-ABS(tbl_Ledger[[#This Row],[Amount]]*tbl_Ledger[[#This Row],[Rate_to_NGN]]),tbl_Ledger[[#This Row],[Amount]]*tbl_Ledger[[#This Row],[Rate_to_NGN]])</f>
        <v>49300</v>
      </c>
      <c r="R1389" s="25" t="str">
        <f>_xlfn.XLOOKUP(tbl_Ledger[[#This Row],[Account_Code]], tbl_Accounts[Account_Code], tbl_Accounts[Type])</f>
        <v>Revenue</v>
      </c>
      <c r="S1389" s="25" t="str">
        <f>_xlfn.XLOOKUP(tbl_Ledger[[#This Row],[Account_Code]], tbl_Accounts[Account_Code], tbl_Accounts[PL_Bucket])</f>
        <v>Revenue</v>
      </c>
      <c r="T1389" s="25">
        <f t="shared" si="21"/>
        <v>49300</v>
      </c>
    </row>
    <row r="1390" spans="1:20">
      <c r="A1390" t="s">
        <v>3674</v>
      </c>
      <c r="B1390" s="7">
        <v>45928</v>
      </c>
      <c r="C1390" t="s">
        <v>93</v>
      </c>
      <c r="D1390" t="s">
        <v>94</v>
      </c>
      <c r="E1390" t="s">
        <v>95</v>
      </c>
      <c r="F1390" s="12" t="s">
        <v>24</v>
      </c>
      <c r="G1390" t="s">
        <v>25</v>
      </c>
      <c r="H1390" t="s">
        <v>3675</v>
      </c>
      <c r="I1390" t="s">
        <v>71</v>
      </c>
      <c r="J1390" s="6">
        <v>37300</v>
      </c>
      <c r="K1390" t="s">
        <v>3</v>
      </c>
      <c r="L1390" t="s">
        <v>3676</v>
      </c>
      <c r="M1390" t="s">
        <v>3</v>
      </c>
      <c r="N1390" s="25" t="str">
        <f>TEXT(tbl_Ledger[[#This Row],[Date]],"yyyy-mm")</f>
        <v>2025-09</v>
      </c>
      <c r="O1390" s="25" t="str">
        <f>TEXT(tbl_Ledger[[#This Row],[Date]],"yyyy-mm") &amp; TRIM(tbl_Ledger[[#This Row],[Currency]])</f>
        <v>2025-09NGN</v>
      </c>
      <c r="P1390" s="25">
        <f>_xlfn.XLOOKUP(tbl_Ledger[[#This Row],[Key]], tbl_FX[Key], tbl_FX[Rate_to_NGN])</f>
        <v>1</v>
      </c>
      <c r="Q1390" s="37">
        <f>IF(tbl_Ledger[[#This Row],[Account_Type]]="Expense",-ABS(tbl_Ledger[[#This Row],[Amount]]*tbl_Ledger[[#This Row],[Rate_to_NGN]]),tbl_Ledger[[#This Row],[Amount]]*tbl_Ledger[[#This Row],[Rate_to_NGN]])</f>
        <v>37300</v>
      </c>
      <c r="R1390" s="25" t="str">
        <f>_xlfn.XLOOKUP(tbl_Ledger[[#This Row],[Account_Code]], tbl_Accounts[Account_Code], tbl_Accounts[Type])</f>
        <v>Revenue</v>
      </c>
      <c r="S1390" s="25" t="str">
        <f>_xlfn.XLOOKUP(tbl_Ledger[[#This Row],[Account_Code]], tbl_Accounts[Account_Code], tbl_Accounts[PL_Bucket])</f>
        <v>Revenue</v>
      </c>
      <c r="T1390" s="25">
        <f t="shared" si="21"/>
        <v>37300</v>
      </c>
    </row>
    <row r="1391" spans="1:20">
      <c r="A1391" t="s">
        <v>3677</v>
      </c>
      <c r="B1391" s="7">
        <v>45928</v>
      </c>
      <c r="C1391" t="s">
        <v>93</v>
      </c>
      <c r="D1391" t="s">
        <v>94</v>
      </c>
      <c r="E1391" t="s">
        <v>103</v>
      </c>
      <c r="F1391" s="12" t="s">
        <v>24</v>
      </c>
      <c r="G1391" t="s">
        <v>25</v>
      </c>
      <c r="H1391" t="s">
        <v>3678</v>
      </c>
      <c r="I1391" t="s">
        <v>71</v>
      </c>
      <c r="J1391" s="6">
        <v>41000</v>
      </c>
      <c r="K1391" t="s">
        <v>3</v>
      </c>
      <c r="L1391" t="s">
        <v>3679</v>
      </c>
      <c r="M1391" t="s">
        <v>3</v>
      </c>
      <c r="N1391" s="25" t="str">
        <f>TEXT(tbl_Ledger[[#This Row],[Date]],"yyyy-mm")</f>
        <v>2025-09</v>
      </c>
      <c r="O1391" s="25" t="str">
        <f>TEXT(tbl_Ledger[[#This Row],[Date]],"yyyy-mm") &amp; TRIM(tbl_Ledger[[#This Row],[Currency]])</f>
        <v>2025-09NGN</v>
      </c>
      <c r="P1391" s="25">
        <f>_xlfn.XLOOKUP(tbl_Ledger[[#This Row],[Key]], tbl_FX[Key], tbl_FX[Rate_to_NGN])</f>
        <v>1</v>
      </c>
      <c r="Q1391" s="37">
        <f>IF(tbl_Ledger[[#This Row],[Account_Type]]="Expense",-ABS(tbl_Ledger[[#This Row],[Amount]]*tbl_Ledger[[#This Row],[Rate_to_NGN]]),tbl_Ledger[[#This Row],[Amount]]*tbl_Ledger[[#This Row],[Rate_to_NGN]])</f>
        <v>41000</v>
      </c>
      <c r="R1391" s="25" t="str">
        <f>_xlfn.XLOOKUP(tbl_Ledger[[#This Row],[Account_Code]], tbl_Accounts[Account_Code], tbl_Accounts[Type])</f>
        <v>Revenue</v>
      </c>
      <c r="S1391" s="25" t="str">
        <f>_xlfn.XLOOKUP(tbl_Ledger[[#This Row],[Account_Code]], tbl_Accounts[Account_Code], tbl_Accounts[PL_Bucket])</f>
        <v>Revenue</v>
      </c>
      <c r="T1391" s="25">
        <f t="shared" si="21"/>
        <v>41000</v>
      </c>
    </row>
    <row r="1392" spans="1:20">
      <c r="A1392" t="s">
        <v>3680</v>
      </c>
      <c r="B1392" s="7">
        <v>45928</v>
      </c>
      <c r="C1392" t="s">
        <v>93</v>
      </c>
      <c r="D1392" t="s">
        <v>94</v>
      </c>
      <c r="E1392" t="s">
        <v>160</v>
      </c>
      <c r="F1392" s="12" t="s">
        <v>24</v>
      </c>
      <c r="G1392" t="s">
        <v>25</v>
      </c>
      <c r="H1392" t="s">
        <v>3681</v>
      </c>
      <c r="I1392" t="s">
        <v>71</v>
      </c>
      <c r="J1392" s="6">
        <v>40400</v>
      </c>
      <c r="K1392" t="s">
        <v>3</v>
      </c>
      <c r="L1392" t="s">
        <v>3679</v>
      </c>
      <c r="M1392" t="s">
        <v>3</v>
      </c>
      <c r="N1392" s="25" t="str">
        <f>TEXT(tbl_Ledger[[#This Row],[Date]],"yyyy-mm")</f>
        <v>2025-09</v>
      </c>
      <c r="O1392" s="25" t="str">
        <f>TEXT(tbl_Ledger[[#This Row],[Date]],"yyyy-mm") &amp; TRIM(tbl_Ledger[[#This Row],[Currency]])</f>
        <v>2025-09NGN</v>
      </c>
      <c r="P1392" s="25">
        <f>_xlfn.XLOOKUP(tbl_Ledger[[#This Row],[Key]], tbl_FX[Key], tbl_FX[Rate_to_NGN])</f>
        <v>1</v>
      </c>
      <c r="Q1392" s="37">
        <f>IF(tbl_Ledger[[#This Row],[Account_Type]]="Expense",-ABS(tbl_Ledger[[#This Row],[Amount]]*tbl_Ledger[[#This Row],[Rate_to_NGN]]),tbl_Ledger[[#This Row],[Amount]]*tbl_Ledger[[#This Row],[Rate_to_NGN]])</f>
        <v>40400</v>
      </c>
      <c r="R1392" s="25" t="str">
        <f>_xlfn.XLOOKUP(tbl_Ledger[[#This Row],[Account_Code]], tbl_Accounts[Account_Code], tbl_Accounts[Type])</f>
        <v>Revenue</v>
      </c>
      <c r="S1392" s="25" t="str">
        <f>_xlfn.XLOOKUP(tbl_Ledger[[#This Row],[Account_Code]], tbl_Accounts[Account_Code], tbl_Accounts[PL_Bucket])</f>
        <v>Revenue</v>
      </c>
      <c r="T1392" s="25">
        <f t="shared" si="21"/>
        <v>40400</v>
      </c>
    </row>
    <row r="1393" spans="1:20">
      <c r="A1393" t="s">
        <v>3682</v>
      </c>
      <c r="B1393" s="7">
        <v>45928</v>
      </c>
      <c r="C1393" t="s">
        <v>93</v>
      </c>
      <c r="D1393" t="s">
        <v>94</v>
      </c>
      <c r="E1393" t="s">
        <v>107</v>
      </c>
      <c r="F1393" s="12" t="s">
        <v>24</v>
      </c>
      <c r="G1393" t="s">
        <v>25</v>
      </c>
      <c r="H1393" t="s">
        <v>3683</v>
      </c>
      <c r="I1393" t="s">
        <v>71</v>
      </c>
      <c r="J1393" s="6">
        <v>40800</v>
      </c>
      <c r="K1393" t="s">
        <v>3</v>
      </c>
      <c r="L1393" t="s">
        <v>3684</v>
      </c>
      <c r="M1393" t="s">
        <v>3</v>
      </c>
      <c r="N1393" s="25" t="str">
        <f>TEXT(tbl_Ledger[[#This Row],[Date]],"yyyy-mm")</f>
        <v>2025-09</v>
      </c>
      <c r="O1393" s="25" t="str">
        <f>TEXT(tbl_Ledger[[#This Row],[Date]],"yyyy-mm") &amp; TRIM(tbl_Ledger[[#This Row],[Currency]])</f>
        <v>2025-09NGN</v>
      </c>
      <c r="P1393" s="25">
        <f>_xlfn.XLOOKUP(tbl_Ledger[[#This Row],[Key]], tbl_FX[Key], tbl_FX[Rate_to_NGN])</f>
        <v>1</v>
      </c>
      <c r="Q1393" s="37">
        <f>IF(tbl_Ledger[[#This Row],[Account_Type]]="Expense",-ABS(tbl_Ledger[[#This Row],[Amount]]*tbl_Ledger[[#This Row],[Rate_to_NGN]]),tbl_Ledger[[#This Row],[Amount]]*tbl_Ledger[[#This Row],[Rate_to_NGN]])</f>
        <v>40800</v>
      </c>
      <c r="R1393" s="25" t="str">
        <f>_xlfn.XLOOKUP(tbl_Ledger[[#This Row],[Account_Code]], tbl_Accounts[Account_Code], tbl_Accounts[Type])</f>
        <v>Revenue</v>
      </c>
      <c r="S1393" s="25" t="str">
        <f>_xlfn.XLOOKUP(tbl_Ledger[[#This Row],[Account_Code]], tbl_Accounts[Account_Code], tbl_Accounts[PL_Bucket])</f>
        <v>Revenue</v>
      </c>
      <c r="T1393" s="25">
        <f t="shared" si="21"/>
        <v>40800</v>
      </c>
    </row>
    <row r="1394" spans="1:20">
      <c r="A1394" t="s">
        <v>3685</v>
      </c>
      <c r="B1394" s="7">
        <v>45928</v>
      </c>
      <c r="C1394" t="s">
        <v>93</v>
      </c>
      <c r="D1394" t="s">
        <v>111</v>
      </c>
      <c r="E1394" t="s">
        <v>112</v>
      </c>
      <c r="F1394" s="12" t="s">
        <v>24</v>
      </c>
      <c r="G1394" t="s">
        <v>25</v>
      </c>
      <c r="H1394" t="s">
        <v>3686</v>
      </c>
      <c r="I1394" t="s">
        <v>71</v>
      </c>
      <c r="J1394" s="6">
        <v>66200</v>
      </c>
      <c r="K1394" t="s">
        <v>3</v>
      </c>
      <c r="L1394" t="s">
        <v>3687</v>
      </c>
      <c r="M1394" t="s">
        <v>3</v>
      </c>
      <c r="N1394" s="25" t="str">
        <f>TEXT(tbl_Ledger[[#This Row],[Date]],"yyyy-mm")</f>
        <v>2025-09</v>
      </c>
      <c r="O1394" s="25" t="str">
        <f>TEXT(tbl_Ledger[[#This Row],[Date]],"yyyy-mm") &amp; TRIM(tbl_Ledger[[#This Row],[Currency]])</f>
        <v>2025-09NGN</v>
      </c>
      <c r="P1394" s="25">
        <f>_xlfn.XLOOKUP(tbl_Ledger[[#This Row],[Key]], tbl_FX[Key], tbl_FX[Rate_to_NGN])</f>
        <v>1</v>
      </c>
      <c r="Q1394" s="37">
        <f>IF(tbl_Ledger[[#This Row],[Account_Type]]="Expense",-ABS(tbl_Ledger[[#This Row],[Amount]]*tbl_Ledger[[#This Row],[Rate_to_NGN]]),tbl_Ledger[[#This Row],[Amount]]*tbl_Ledger[[#This Row],[Rate_to_NGN]])</f>
        <v>66200</v>
      </c>
      <c r="R1394" s="25" t="str">
        <f>_xlfn.XLOOKUP(tbl_Ledger[[#This Row],[Account_Code]], tbl_Accounts[Account_Code], tbl_Accounts[Type])</f>
        <v>Revenue</v>
      </c>
      <c r="S1394" s="25" t="str">
        <f>_xlfn.XLOOKUP(tbl_Ledger[[#This Row],[Account_Code]], tbl_Accounts[Account_Code], tbl_Accounts[PL_Bucket])</f>
        <v>Revenue</v>
      </c>
      <c r="T1394" s="25">
        <f t="shared" si="21"/>
        <v>66200</v>
      </c>
    </row>
    <row r="1395" spans="1:20">
      <c r="A1395" t="s">
        <v>3688</v>
      </c>
      <c r="B1395" s="7">
        <v>45928</v>
      </c>
      <c r="C1395" t="s">
        <v>93</v>
      </c>
      <c r="D1395" t="s">
        <v>111</v>
      </c>
      <c r="E1395" t="s">
        <v>119</v>
      </c>
      <c r="F1395" s="12" t="s">
        <v>24</v>
      </c>
      <c r="G1395" t="s">
        <v>25</v>
      </c>
      <c r="H1395" t="s">
        <v>3689</v>
      </c>
      <c r="I1395" t="s">
        <v>71</v>
      </c>
      <c r="J1395" s="6">
        <v>62600</v>
      </c>
      <c r="K1395" t="s">
        <v>3</v>
      </c>
      <c r="L1395" t="s">
        <v>3687</v>
      </c>
      <c r="M1395" t="s">
        <v>3</v>
      </c>
      <c r="N1395" s="25" t="str">
        <f>TEXT(tbl_Ledger[[#This Row],[Date]],"yyyy-mm")</f>
        <v>2025-09</v>
      </c>
      <c r="O1395" s="25" t="str">
        <f>TEXT(tbl_Ledger[[#This Row],[Date]],"yyyy-mm") &amp; TRIM(tbl_Ledger[[#This Row],[Currency]])</f>
        <v>2025-09NGN</v>
      </c>
      <c r="P1395" s="25">
        <f>_xlfn.XLOOKUP(tbl_Ledger[[#This Row],[Key]], tbl_FX[Key], tbl_FX[Rate_to_NGN])</f>
        <v>1</v>
      </c>
      <c r="Q1395" s="37">
        <f>IF(tbl_Ledger[[#This Row],[Account_Type]]="Expense",-ABS(tbl_Ledger[[#This Row],[Amount]]*tbl_Ledger[[#This Row],[Rate_to_NGN]]),tbl_Ledger[[#This Row],[Amount]]*tbl_Ledger[[#This Row],[Rate_to_NGN]])</f>
        <v>62600</v>
      </c>
      <c r="R1395" s="25" t="str">
        <f>_xlfn.XLOOKUP(tbl_Ledger[[#This Row],[Account_Code]], tbl_Accounts[Account_Code], tbl_Accounts[Type])</f>
        <v>Revenue</v>
      </c>
      <c r="S1395" s="25" t="str">
        <f>_xlfn.XLOOKUP(tbl_Ledger[[#This Row],[Account_Code]], tbl_Accounts[Account_Code], tbl_Accounts[PL_Bucket])</f>
        <v>Revenue</v>
      </c>
      <c r="T1395" s="25">
        <f t="shared" si="21"/>
        <v>62600</v>
      </c>
    </row>
    <row r="1396" spans="1:20">
      <c r="A1396" t="s">
        <v>3690</v>
      </c>
      <c r="B1396" s="7">
        <v>45928</v>
      </c>
      <c r="C1396" t="s">
        <v>93</v>
      </c>
      <c r="D1396" t="s">
        <v>111</v>
      </c>
      <c r="E1396" t="s">
        <v>170</v>
      </c>
      <c r="F1396" s="12" t="s">
        <v>24</v>
      </c>
      <c r="G1396" t="s">
        <v>25</v>
      </c>
      <c r="H1396" t="s">
        <v>3691</v>
      </c>
      <c r="I1396" t="s">
        <v>71</v>
      </c>
      <c r="J1396" s="6">
        <v>65500</v>
      </c>
      <c r="K1396" t="s">
        <v>3</v>
      </c>
      <c r="L1396" t="s">
        <v>3687</v>
      </c>
      <c r="M1396" t="s">
        <v>3</v>
      </c>
      <c r="N1396" s="25" t="str">
        <f>TEXT(tbl_Ledger[[#This Row],[Date]],"yyyy-mm")</f>
        <v>2025-09</v>
      </c>
      <c r="O1396" s="25" t="str">
        <f>TEXT(tbl_Ledger[[#This Row],[Date]],"yyyy-mm") &amp; TRIM(tbl_Ledger[[#This Row],[Currency]])</f>
        <v>2025-09NGN</v>
      </c>
      <c r="P1396" s="25">
        <f>_xlfn.XLOOKUP(tbl_Ledger[[#This Row],[Key]], tbl_FX[Key], tbl_FX[Rate_to_NGN])</f>
        <v>1</v>
      </c>
      <c r="Q1396" s="37">
        <f>IF(tbl_Ledger[[#This Row],[Account_Type]]="Expense",-ABS(tbl_Ledger[[#This Row],[Amount]]*tbl_Ledger[[#This Row],[Rate_to_NGN]]),tbl_Ledger[[#This Row],[Amount]]*tbl_Ledger[[#This Row],[Rate_to_NGN]])</f>
        <v>65500</v>
      </c>
      <c r="R1396" s="25" t="str">
        <f>_xlfn.XLOOKUP(tbl_Ledger[[#This Row],[Account_Code]], tbl_Accounts[Account_Code], tbl_Accounts[Type])</f>
        <v>Revenue</v>
      </c>
      <c r="S1396" s="25" t="str">
        <f>_xlfn.XLOOKUP(tbl_Ledger[[#This Row],[Account_Code]], tbl_Accounts[Account_Code], tbl_Accounts[PL_Bucket])</f>
        <v>Revenue</v>
      </c>
      <c r="T1396" s="25">
        <f t="shared" si="21"/>
        <v>65500</v>
      </c>
    </row>
    <row r="1397" spans="1:20">
      <c r="A1397" t="s">
        <v>3692</v>
      </c>
      <c r="B1397" s="7">
        <v>45928</v>
      </c>
      <c r="C1397" t="s">
        <v>93</v>
      </c>
      <c r="D1397" t="s">
        <v>111</v>
      </c>
      <c r="E1397" t="s">
        <v>122</v>
      </c>
      <c r="F1397" s="12" t="s">
        <v>24</v>
      </c>
      <c r="G1397" t="s">
        <v>25</v>
      </c>
      <c r="H1397" t="s">
        <v>3693</v>
      </c>
      <c r="I1397" t="s">
        <v>71</v>
      </c>
      <c r="J1397" s="6">
        <v>62900</v>
      </c>
      <c r="K1397" t="s">
        <v>3</v>
      </c>
      <c r="L1397" t="s">
        <v>3694</v>
      </c>
      <c r="M1397" t="s">
        <v>3</v>
      </c>
      <c r="N1397" s="25" t="str">
        <f>TEXT(tbl_Ledger[[#This Row],[Date]],"yyyy-mm")</f>
        <v>2025-09</v>
      </c>
      <c r="O1397" s="25" t="str">
        <f>TEXT(tbl_Ledger[[#This Row],[Date]],"yyyy-mm") &amp; TRIM(tbl_Ledger[[#This Row],[Currency]])</f>
        <v>2025-09NGN</v>
      </c>
      <c r="P1397" s="25">
        <f>_xlfn.XLOOKUP(tbl_Ledger[[#This Row],[Key]], tbl_FX[Key], tbl_FX[Rate_to_NGN])</f>
        <v>1</v>
      </c>
      <c r="Q1397" s="37">
        <f>IF(tbl_Ledger[[#This Row],[Account_Type]]="Expense",-ABS(tbl_Ledger[[#This Row],[Amount]]*tbl_Ledger[[#This Row],[Rate_to_NGN]]),tbl_Ledger[[#This Row],[Amount]]*tbl_Ledger[[#This Row],[Rate_to_NGN]])</f>
        <v>62900</v>
      </c>
      <c r="R1397" s="25" t="str">
        <f>_xlfn.XLOOKUP(tbl_Ledger[[#This Row],[Account_Code]], tbl_Accounts[Account_Code], tbl_Accounts[Type])</f>
        <v>Revenue</v>
      </c>
      <c r="S1397" s="25" t="str">
        <f>_xlfn.XLOOKUP(tbl_Ledger[[#This Row],[Account_Code]], tbl_Accounts[Account_Code], tbl_Accounts[PL_Bucket])</f>
        <v>Revenue</v>
      </c>
      <c r="T1397" s="25">
        <f t="shared" si="21"/>
        <v>62900</v>
      </c>
    </row>
    <row r="1398" spans="1:20">
      <c r="A1398" t="s">
        <v>3695</v>
      </c>
      <c r="B1398" s="7">
        <v>45928</v>
      </c>
      <c r="C1398" t="s">
        <v>126</v>
      </c>
      <c r="D1398" t="s">
        <v>88</v>
      </c>
      <c r="E1398" t="s">
        <v>127</v>
      </c>
      <c r="F1398" s="12" t="s">
        <v>29</v>
      </c>
      <c r="G1398" t="s">
        <v>30</v>
      </c>
      <c r="H1398" t="s">
        <v>3696</v>
      </c>
      <c r="I1398" t="s">
        <v>71</v>
      </c>
      <c r="J1398" s="6">
        <v>50300</v>
      </c>
      <c r="K1398" t="s">
        <v>129</v>
      </c>
      <c r="L1398" t="s">
        <v>3697</v>
      </c>
      <c r="M1398" t="s">
        <v>3</v>
      </c>
      <c r="N1398" s="25" t="str">
        <f>TEXT(tbl_Ledger[[#This Row],[Date]],"yyyy-mm")</f>
        <v>2025-09</v>
      </c>
      <c r="O1398" s="25" t="str">
        <f>TEXT(tbl_Ledger[[#This Row],[Date]],"yyyy-mm") &amp; TRIM(tbl_Ledger[[#This Row],[Currency]])</f>
        <v>2025-09NGN</v>
      </c>
      <c r="P1398" s="25">
        <f>_xlfn.XLOOKUP(tbl_Ledger[[#This Row],[Key]], tbl_FX[Key], tbl_FX[Rate_to_NGN])</f>
        <v>1</v>
      </c>
      <c r="Q1398" s="37">
        <f>IF(tbl_Ledger[[#This Row],[Account_Type]]="Expense",-ABS(tbl_Ledger[[#This Row],[Amount]]*tbl_Ledger[[#This Row],[Rate_to_NGN]]),tbl_Ledger[[#This Row],[Amount]]*tbl_Ledger[[#This Row],[Rate_to_NGN]])</f>
        <v>50300</v>
      </c>
      <c r="R1398" s="25" t="str">
        <f>_xlfn.XLOOKUP(tbl_Ledger[[#This Row],[Account_Code]], tbl_Accounts[Account_Code], tbl_Accounts[Type])</f>
        <v>Revenue</v>
      </c>
      <c r="S1398" s="25" t="str">
        <f>_xlfn.XLOOKUP(tbl_Ledger[[#This Row],[Account_Code]], tbl_Accounts[Account_Code], tbl_Accounts[PL_Bucket])</f>
        <v>Revenue</v>
      </c>
      <c r="T1398" s="25">
        <f t="shared" si="21"/>
        <v>50300</v>
      </c>
    </row>
    <row r="1399" spans="1:20">
      <c r="A1399" t="s">
        <v>3698</v>
      </c>
      <c r="B1399" s="7">
        <v>45928</v>
      </c>
      <c r="C1399" t="s">
        <v>126</v>
      </c>
      <c r="D1399" t="s">
        <v>88</v>
      </c>
      <c r="E1399" t="s">
        <v>132</v>
      </c>
      <c r="F1399" s="12" t="s">
        <v>29</v>
      </c>
      <c r="G1399" t="s">
        <v>30</v>
      </c>
      <c r="H1399" t="s">
        <v>3699</v>
      </c>
      <c r="I1399" t="s">
        <v>71</v>
      </c>
      <c r="J1399" s="6">
        <v>49600</v>
      </c>
      <c r="K1399" t="s">
        <v>134</v>
      </c>
      <c r="L1399" t="s">
        <v>3697</v>
      </c>
      <c r="M1399" t="s">
        <v>3</v>
      </c>
      <c r="N1399" s="25" t="str">
        <f>TEXT(tbl_Ledger[[#This Row],[Date]],"yyyy-mm")</f>
        <v>2025-09</v>
      </c>
      <c r="O1399" s="25" t="str">
        <f>TEXT(tbl_Ledger[[#This Row],[Date]],"yyyy-mm") &amp; TRIM(tbl_Ledger[[#This Row],[Currency]])</f>
        <v>2025-09NGN</v>
      </c>
      <c r="P1399" s="25">
        <f>_xlfn.XLOOKUP(tbl_Ledger[[#This Row],[Key]], tbl_FX[Key], tbl_FX[Rate_to_NGN])</f>
        <v>1</v>
      </c>
      <c r="Q1399" s="37">
        <f>IF(tbl_Ledger[[#This Row],[Account_Type]]="Expense",-ABS(tbl_Ledger[[#This Row],[Amount]]*tbl_Ledger[[#This Row],[Rate_to_NGN]]),tbl_Ledger[[#This Row],[Amount]]*tbl_Ledger[[#This Row],[Rate_to_NGN]])</f>
        <v>49600</v>
      </c>
      <c r="R1399" s="25" t="str">
        <f>_xlfn.XLOOKUP(tbl_Ledger[[#This Row],[Account_Code]], tbl_Accounts[Account_Code], tbl_Accounts[Type])</f>
        <v>Revenue</v>
      </c>
      <c r="S1399" s="25" t="str">
        <f>_xlfn.XLOOKUP(tbl_Ledger[[#This Row],[Account_Code]], tbl_Accounts[Account_Code], tbl_Accounts[PL_Bucket])</f>
        <v>Revenue</v>
      </c>
      <c r="T1399" s="25">
        <f t="shared" si="21"/>
        <v>49600</v>
      </c>
    </row>
    <row r="1400" spans="1:20">
      <c r="A1400" t="s">
        <v>3700</v>
      </c>
      <c r="B1400" s="7">
        <v>45928</v>
      </c>
      <c r="C1400" t="s">
        <v>126</v>
      </c>
      <c r="D1400" t="s">
        <v>88</v>
      </c>
      <c r="E1400" t="s">
        <v>136</v>
      </c>
      <c r="F1400" s="12" t="s">
        <v>29</v>
      </c>
      <c r="G1400" t="s">
        <v>30</v>
      </c>
      <c r="H1400" t="s">
        <v>3701</v>
      </c>
      <c r="I1400" t="s">
        <v>71</v>
      </c>
      <c r="J1400" s="6">
        <v>50800</v>
      </c>
      <c r="K1400" t="s">
        <v>138</v>
      </c>
      <c r="L1400" t="s">
        <v>3697</v>
      </c>
      <c r="M1400" t="s">
        <v>3</v>
      </c>
      <c r="N1400" s="25" t="str">
        <f>TEXT(tbl_Ledger[[#This Row],[Date]],"yyyy-mm")</f>
        <v>2025-09</v>
      </c>
      <c r="O1400" s="25" t="str">
        <f>TEXT(tbl_Ledger[[#This Row],[Date]],"yyyy-mm") &amp; TRIM(tbl_Ledger[[#This Row],[Currency]])</f>
        <v>2025-09NGN</v>
      </c>
      <c r="P1400" s="25">
        <f>_xlfn.XLOOKUP(tbl_Ledger[[#This Row],[Key]], tbl_FX[Key], tbl_FX[Rate_to_NGN])</f>
        <v>1</v>
      </c>
      <c r="Q1400" s="37">
        <f>IF(tbl_Ledger[[#This Row],[Account_Type]]="Expense",-ABS(tbl_Ledger[[#This Row],[Amount]]*tbl_Ledger[[#This Row],[Rate_to_NGN]]),tbl_Ledger[[#This Row],[Amount]]*tbl_Ledger[[#This Row],[Rate_to_NGN]])</f>
        <v>50800</v>
      </c>
      <c r="R1400" s="25" t="str">
        <f>_xlfn.XLOOKUP(tbl_Ledger[[#This Row],[Account_Code]], tbl_Accounts[Account_Code], tbl_Accounts[Type])</f>
        <v>Revenue</v>
      </c>
      <c r="S1400" s="25" t="str">
        <f>_xlfn.XLOOKUP(tbl_Ledger[[#This Row],[Account_Code]], tbl_Accounts[Account_Code], tbl_Accounts[PL_Bucket])</f>
        <v>Revenue</v>
      </c>
      <c r="T1400" s="25">
        <f t="shared" si="21"/>
        <v>50800</v>
      </c>
    </row>
    <row r="1401" spans="1:20">
      <c r="A1401" t="s">
        <v>3702</v>
      </c>
      <c r="B1401" s="7">
        <v>45928</v>
      </c>
      <c r="C1401" t="s">
        <v>126</v>
      </c>
      <c r="D1401" t="s">
        <v>88</v>
      </c>
      <c r="E1401" t="s">
        <v>140</v>
      </c>
      <c r="F1401" s="12" t="s">
        <v>29</v>
      </c>
      <c r="G1401" t="s">
        <v>30</v>
      </c>
      <c r="H1401" t="s">
        <v>3703</v>
      </c>
      <c r="I1401" t="s">
        <v>71</v>
      </c>
      <c r="J1401" s="6">
        <v>58200</v>
      </c>
      <c r="K1401" t="s">
        <v>3</v>
      </c>
      <c r="L1401" t="s">
        <v>3704</v>
      </c>
      <c r="M1401" t="s">
        <v>3</v>
      </c>
      <c r="N1401" s="25" t="str">
        <f>TEXT(tbl_Ledger[[#This Row],[Date]],"yyyy-mm")</f>
        <v>2025-09</v>
      </c>
      <c r="O1401" s="25" t="str">
        <f>TEXT(tbl_Ledger[[#This Row],[Date]],"yyyy-mm") &amp; TRIM(tbl_Ledger[[#This Row],[Currency]])</f>
        <v>2025-09NGN</v>
      </c>
      <c r="P1401" s="25">
        <f>_xlfn.XLOOKUP(tbl_Ledger[[#This Row],[Key]], tbl_FX[Key], tbl_FX[Rate_to_NGN])</f>
        <v>1</v>
      </c>
      <c r="Q1401" s="37">
        <f>IF(tbl_Ledger[[#This Row],[Account_Type]]="Expense",-ABS(tbl_Ledger[[#This Row],[Amount]]*tbl_Ledger[[#This Row],[Rate_to_NGN]]),tbl_Ledger[[#This Row],[Amount]]*tbl_Ledger[[#This Row],[Rate_to_NGN]])</f>
        <v>58200</v>
      </c>
      <c r="R1401" s="25" t="str">
        <f>_xlfn.XLOOKUP(tbl_Ledger[[#This Row],[Account_Code]], tbl_Accounts[Account_Code], tbl_Accounts[Type])</f>
        <v>Revenue</v>
      </c>
      <c r="S1401" s="25" t="str">
        <f>_xlfn.XLOOKUP(tbl_Ledger[[#This Row],[Account_Code]], tbl_Accounts[Account_Code], tbl_Accounts[PL_Bucket])</f>
        <v>Revenue</v>
      </c>
      <c r="T1401" s="25">
        <f t="shared" si="21"/>
        <v>58200</v>
      </c>
    </row>
    <row r="1402" spans="1:20">
      <c r="A1402" t="s">
        <v>3705</v>
      </c>
      <c r="B1402" s="7">
        <v>45928</v>
      </c>
      <c r="C1402" t="s">
        <v>87</v>
      </c>
      <c r="D1402" t="s">
        <v>94</v>
      </c>
      <c r="E1402" t="s">
        <v>3</v>
      </c>
      <c r="F1402" s="12" t="s">
        <v>33</v>
      </c>
      <c r="G1402" t="s">
        <v>34</v>
      </c>
      <c r="H1402" t="s">
        <v>2691</v>
      </c>
      <c r="I1402" t="s">
        <v>71</v>
      </c>
      <c r="J1402" s="6">
        <v>-431000</v>
      </c>
      <c r="K1402" t="s">
        <v>316</v>
      </c>
      <c r="L1402" t="s">
        <v>3706</v>
      </c>
      <c r="M1402" t="s">
        <v>3</v>
      </c>
      <c r="N1402" s="25" t="str">
        <f>TEXT(tbl_Ledger[[#This Row],[Date]],"yyyy-mm")</f>
        <v>2025-09</v>
      </c>
      <c r="O1402" s="25" t="str">
        <f>TEXT(tbl_Ledger[[#This Row],[Date]],"yyyy-mm") &amp; TRIM(tbl_Ledger[[#This Row],[Currency]])</f>
        <v>2025-09NGN</v>
      </c>
      <c r="P1402" s="25">
        <f>_xlfn.XLOOKUP(tbl_Ledger[[#This Row],[Key]], tbl_FX[Key], tbl_FX[Rate_to_NGN])</f>
        <v>1</v>
      </c>
      <c r="Q1402" s="37">
        <f>IF(tbl_Ledger[[#This Row],[Account_Type]]="Expense",-ABS(tbl_Ledger[[#This Row],[Amount]]*tbl_Ledger[[#This Row],[Rate_to_NGN]]),tbl_Ledger[[#This Row],[Amount]]*tbl_Ledger[[#This Row],[Rate_to_NGN]])</f>
        <v>-431000</v>
      </c>
      <c r="R1402" s="25" t="str">
        <f>_xlfn.XLOOKUP(tbl_Ledger[[#This Row],[Account_Code]], tbl_Accounts[Account_Code], tbl_Accounts[Type])</f>
        <v>COGS</v>
      </c>
      <c r="S1402" s="25" t="str">
        <f>_xlfn.XLOOKUP(tbl_Ledger[[#This Row],[Account_Code]], tbl_Accounts[Account_Code], tbl_Accounts[PL_Bucket])</f>
        <v>COGS</v>
      </c>
      <c r="T1402" s="25">
        <f t="shared" si="21"/>
        <v>-431000</v>
      </c>
    </row>
    <row r="1403" spans="1:20">
      <c r="A1403" t="s">
        <v>3707</v>
      </c>
      <c r="B1403" s="7">
        <v>45928</v>
      </c>
      <c r="C1403" t="s">
        <v>87</v>
      </c>
      <c r="D1403" t="s">
        <v>94</v>
      </c>
      <c r="E1403" t="s">
        <v>3</v>
      </c>
      <c r="F1403" s="12" t="s">
        <v>44</v>
      </c>
      <c r="G1403" t="s">
        <v>45</v>
      </c>
      <c r="H1403" t="s">
        <v>2726</v>
      </c>
      <c r="I1403" t="s">
        <v>71</v>
      </c>
      <c r="J1403" s="6">
        <v>-196000</v>
      </c>
      <c r="K1403" t="s">
        <v>191</v>
      </c>
      <c r="L1403" t="s">
        <v>3708</v>
      </c>
      <c r="M1403" t="s">
        <v>3</v>
      </c>
      <c r="N1403" s="25" t="str">
        <f>TEXT(tbl_Ledger[[#This Row],[Date]],"yyyy-mm")</f>
        <v>2025-09</v>
      </c>
      <c r="O1403" s="25" t="str">
        <f>TEXT(tbl_Ledger[[#This Row],[Date]],"yyyy-mm") &amp; TRIM(tbl_Ledger[[#This Row],[Currency]])</f>
        <v>2025-09NGN</v>
      </c>
      <c r="P1403" s="25">
        <f>_xlfn.XLOOKUP(tbl_Ledger[[#This Row],[Key]], tbl_FX[Key], tbl_FX[Rate_to_NGN])</f>
        <v>1</v>
      </c>
      <c r="Q1403" s="37">
        <f>IF(tbl_Ledger[[#This Row],[Account_Type]]="Expense",-ABS(tbl_Ledger[[#This Row],[Amount]]*tbl_Ledger[[#This Row],[Rate_to_NGN]]),tbl_Ledger[[#This Row],[Amount]]*tbl_Ledger[[#This Row],[Rate_to_NGN]])</f>
        <v>-196000</v>
      </c>
      <c r="R1403" s="25" t="str">
        <f>_xlfn.XLOOKUP(tbl_Ledger[[#This Row],[Account_Code]], tbl_Accounts[Account_Code], tbl_Accounts[Type])</f>
        <v>COGS</v>
      </c>
      <c r="S1403" s="25" t="str">
        <f>_xlfn.XLOOKUP(tbl_Ledger[[#This Row],[Account_Code]], tbl_Accounts[Account_Code], tbl_Accounts[PL_Bucket])</f>
        <v>COGS</v>
      </c>
      <c r="T1403" s="25">
        <f t="shared" si="21"/>
        <v>-196000</v>
      </c>
    </row>
    <row r="1404" spans="1:20">
      <c r="A1404" t="s">
        <v>3709</v>
      </c>
      <c r="B1404" s="7">
        <v>45928</v>
      </c>
      <c r="C1404" t="s">
        <v>87</v>
      </c>
      <c r="D1404" t="s">
        <v>88</v>
      </c>
      <c r="E1404" t="s">
        <v>3</v>
      </c>
      <c r="F1404" s="12" t="s">
        <v>42</v>
      </c>
      <c r="G1404" t="s">
        <v>43</v>
      </c>
      <c r="H1404" t="s">
        <v>2864</v>
      </c>
      <c r="I1404" t="s">
        <v>71</v>
      </c>
      <c r="J1404" s="6">
        <v>-570000</v>
      </c>
      <c r="K1404" t="s">
        <v>398</v>
      </c>
      <c r="L1404" t="s">
        <v>3710</v>
      </c>
      <c r="M1404" t="s">
        <v>3</v>
      </c>
      <c r="N1404" s="25" t="str">
        <f>TEXT(tbl_Ledger[[#This Row],[Date]],"yyyy-mm")</f>
        <v>2025-09</v>
      </c>
      <c r="O1404" s="25" t="str">
        <f>TEXT(tbl_Ledger[[#This Row],[Date]],"yyyy-mm") &amp; TRIM(tbl_Ledger[[#This Row],[Currency]])</f>
        <v>2025-09NGN</v>
      </c>
      <c r="P1404" s="25">
        <f>_xlfn.XLOOKUP(tbl_Ledger[[#This Row],[Key]], tbl_FX[Key], tbl_FX[Rate_to_NGN])</f>
        <v>1</v>
      </c>
      <c r="Q1404" s="37">
        <f>IF(tbl_Ledger[[#This Row],[Account_Type]]="Expense",-ABS(tbl_Ledger[[#This Row],[Amount]]*tbl_Ledger[[#This Row],[Rate_to_NGN]]),tbl_Ledger[[#This Row],[Amount]]*tbl_Ledger[[#This Row],[Rate_to_NGN]])</f>
        <v>-570000</v>
      </c>
      <c r="R1404" s="25" t="str">
        <f>_xlfn.XLOOKUP(tbl_Ledger[[#This Row],[Account_Code]], tbl_Accounts[Account_Code], tbl_Accounts[Type])</f>
        <v>COGS</v>
      </c>
      <c r="S1404" s="25" t="str">
        <f>_xlfn.XLOOKUP(tbl_Ledger[[#This Row],[Account_Code]], tbl_Accounts[Account_Code], tbl_Accounts[PL_Bucket])</f>
        <v>COGS</v>
      </c>
      <c r="T1404" s="25">
        <f t="shared" si="21"/>
        <v>-570000</v>
      </c>
    </row>
    <row r="1405" spans="1:20">
      <c r="A1405" t="s">
        <v>3711</v>
      </c>
      <c r="B1405" s="7">
        <v>45929</v>
      </c>
      <c r="C1405" t="s">
        <v>93</v>
      </c>
      <c r="D1405" t="s">
        <v>94</v>
      </c>
      <c r="E1405" t="s">
        <v>95</v>
      </c>
      <c r="F1405" s="12" t="s">
        <v>24</v>
      </c>
      <c r="G1405" t="s">
        <v>25</v>
      </c>
      <c r="H1405" t="s">
        <v>3712</v>
      </c>
      <c r="I1405" t="s">
        <v>71</v>
      </c>
      <c r="J1405" s="6">
        <v>31100</v>
      </c>
      <c r="K1405" t="s">
        <v>3</v>
      </c>
      <c r="L1405" t="s">
        <v>3713</v>
      </c>
      <c r="M1405" t="s">
        <v>3</v>
      </c>
      <c r="N1405" s="25" t="str">
        <f>TEXT(tbl_Ledger[[#This Row],[Date]],"yyyy-mm")</f>
        <v>2025-09</v>
      </c>
      <c r="O1405" s="25" t="str">
        <f>TEXT(tbl_Ledger[[#This Row],[Date]],"yyyy-mm") &amp; TRIM(tbl_Ledger[[#This Row],[Currency]])</f>
        <v>2025-09NGN</v>
      </c>
      <c r="P1405" s="25">
        <f>_xlfn.XLOOKUP(tbl_Ledger[[#This Row],[Key]], tbl_FX[Key], tbl_FX[Rate_to_NGN])</f>
        <v>1</v>
      </c>
      <c r="Q1405" s="37">
        <f>IF(tbl_Ledger[[#This Row],[Account_Type]]="Expense",-ABS(tbl_Ledger[[#This Row],[Amount]]*tbl_Ledger[[#This Row],[Rate_to_NGN]]),tbl_Ledger[[#This Row],[Amount]]*tbl_Ledger[[#This Row],[Rate_to_NGN]])</f>
        <v>31100</v>
      </c>
      <c r="R1405" s="25" t="str">
        <f>_xlfn.XLOOKUP(tbl_Ledger[[#This Row],[Account_Code]], tbl_Accounts[Account_Code], tbl_Accounts[Type])</f>
        <v>Revenue</v>
      </c>
      <c r="S1405" s="25" t="str">
        <f>_xlfn.XLOOKUP(tbl_Ledger[[#This Row],[Account_Code]], tbl_Accounts[Account_Code], tbl_Accounts[PL_Bucket])</f>
        <v>Revenue</v>
      </c>
      <c r="T1405" s="25">
        <f t="shared" si="21"/>
        <v>31100</v>
      </c>
    </row>
    <row r="1406" spans="1:20">
      <c r="A1406" t="s">
        <v>3714</v>
      </c>
      <c r="B1406" s="7">
        <v>45929</v>
      </c>
      <c r="C1406" t="s">
        <v>93</v>
      </c>
      <c r="D1406" t="s">
        <v>94</v>
      </c>
      <c r="E1406" t="s">
        <v>99</v>
      </c>
      <c r="F1406" s="12" t="s">
        <v>24</v>
      </c>
      <c r="G1406" t="s">
        <v>25</v>
      </c>
      <c r="H1406" t="s">
        <v>3715</v>
      </c>
      <c r="I1406" t="s">
        <v>71</v>
      </c>
      <c r="J1406" s="6">
        <v>29000</v>
      </c>
      <c r="K1406" t="s">
        <v>3</v>
      </c>
      <c r="L1406" t="s">
        <v>3716</v>
      </c>
      <c r="M1406" t="s">
        <v>3</v>
      </c>
      <c r="N1406" s="25" t="str">
        <f>TEXT(tbl_Ledger[[#This Row],[Date]],"yyyy-mm")</f>
        <v>2025-09</v>
      </c>
      <c r="O1406" s="25" t="str">
        <f>TEXT(tbl_Ledger[[#This Row],[Date]],"yyyy-mm") &amp; TRIM(tbl_Ledger[[#This Row],[Currency]])</f>
        <v>2025-09NGN</v>
      </c>
      <c r="P1406" s="25">
        <f>_xlfn.XLOOKUP(tbl_Ledger[[#This Row],[Key]], tbl_FX[Key], tbl_FX[Rate_to_NGN])</f>
        <v>1</v>
      </c>
      <c r="Q1406" s="37">
        <f>IF(tbl_Ledger[[#This Row],[Account_Type]]="Expense",-ABS(tbl_Ledger[[#This Row],[Amount]]*tbl_Ledger[[#This Row],[Rate_to_NGN]]),tbl_Ledger[[#This Row],[Amount]]*tbl_Ledger[[#This Row],[Rate_to_NGN]])</f>
        <v>29000</v>
      </c>
      <c r="R1406" s="25" t="str">
        <f>_xlfn.XLOOKUP(tbl_Ledger[[#This Row],[Account_Code]], tbl_Accounts[Account_Code], tbl_Accounts[Type])</f>
        <v>Revenue</v>
      </c>
      <c r="S1406" s="25" t="str">
        <f>_xlfn.XLOOKUP(tbl_Ledger[[#This Row],[Account_Code]], tbl_Accounts[Account_Code], tbl_Accounts[PL_Bucket])</f>
        <v>Revenue</v>
      </c>
      <c r="T1406" s="25">
        <f t="shared" si="21"/>
        <v>29000</v>
      </c>
    </row>
    <row r="1407" spans="1:20">
      <c r="A1407" t="s">
        <v>3717</v>
      </c>
      <c r="B1407" s="7">
        <v>45929</v>
      </c>
      <c r="C1407" t="s">
        <v>93</v>
      </c>
      <c r="D1407" t="s">
        <v>94</v>
      </c>
      <c r="E1407" t="s">
        <v>103</v>
      </c>
      <c r="F1407" s="12" t="s">
        <v>24</v>
      </c>
      <c r="G1407" t="s">
        <v>25</v>
      </c>
      <c r="H1407" t="s">
        <v>3718</v>
      </c>
      <c r="I1407" t="s">
        <v>71</v>
      </c>
      <c r="J1407" s="6">
        <v>30800</v>
      </c>
      <c r="K1407" t="s">
        <v>3</v>
      </c>
      <c r="L1407" t="s">
        <v>3719</v>
      </c>
      <c r="M1407" t="s">
        <v>3</v>
      </c>
      <c r="N1407" s="25" t="str">
        <f>TEXT(tbl_Ledger[[#This Row],[Date]],"yyyy-mm")</f>
        <v>2025-09</v>
      </c>
      <c r="O1407" s="25" t="str">
        <f>TEXT(tbl_Ledger[[#This Row],[Date]],"yyyy-mm") &amp; TRIM(tbl_Ledger[[#This Row],[Currency]])</f>
        <v>2025-09NGN</v>
      </c>
      <c r="P1407" s="25">
        <f>_xlfn.XLOOKUP(tbl_Ledger[[#This Row],[Key]], tbl_FX[Key], tbl_FX[Rate_to_NGN])</f>
        <v>1</v>
      </c>
      <c r="Q1407" s="37">
        <f>IF(tbl_Ledger[[#This Row],[Account_Type]]="Expense",-ABS(tbl_Ledger[[#This Row],[Amount]]*tbl_Ledger[[#This Row],[Rate_to_NGN]]),tbl_Ledger[[#This Row],[Amount]]*tbl_Ledger[[#This Row],[Rate_to_NGN]])</f>
        <v>30800</v>
      </c>
      <c r="R1407" s="25" t="str">
        <f>_xlfn.XLOOKUP(tbl_Ledger[[#This Row],[Account_Code]], tbl_Accounts[Account_Code], tbl_Accounts[Type])</f>
        <v>Revenue</v>
      </c>
      <c r="S1407" s="25" t="str">
        <f>_xlfn.XLOOKUP(tbl_Ledger[[#This Row],[Account_Code]], tbl_Accounts[Account_Code], tbl_Accounts[PL_Bucket])</f>
        <v>Revenue</v>
      </c>
      <c r="T1407" s="25">
        <f t="shared" si="21"/>
        <v>30800</v>
      </c>
    </row>
    <row r="1408" spans="1:20">
      <c r="A1408" t="s">
        <v>3720</v>
      </c>
      <c r="B1408" s="7">
        <v>45929</v>
      </c>
      <c r="C1408" t="s">
        <v>93</v>
      </c>
      <c r="D1408" t="s">
        <v>94</v>
      </c>
      <c r="E1408" t="s">
        <v>160</v>
      </c>
      <c r="F1408" s="12" t="s">
        <v>24</v>
      </c>
      <c r="G1408" t="s">
        <v>25</v>
      </c>
      <c r="H1408" t="s">
        <v>3721</v>
      </c>
      <c r="I1408" t="s">
        <v>71</v>
      </c>
      <c r="J1408" s="6">
        <v>32900</v>
      </c>
      <c r="K1408" t="s">
        <v>3</v>
      </c>
      <c r="L1408" t="s">
        <v>3719</v>
      </c>
      <c r="M1408" t="s">
        <v>3</v>
      </c>
      <c r="N1408" s="25" t="str">
        <f>TEXT(tbl_Ledger[[#This Row],[Date]],"yyyy-mm")</f>
        <v>2025-09</v>
      </c>
      <c r="O1408" s="25" t="str">
        <f>TEXT(tbl_Ledger[[#This Row],[Date]],"yyyy-mm") &amp; TRIM(tbl_Ledger[[#This Row],[Currency]])</f>
        <v>2025-09NGN</v>
      </c>
      <c r="P1408" s="25">
        <f>_xlfn.XLOOKUP(tbl_Ledger[[#This Row],[Key]], tbl_FX[Key], tbl_FX[Rate_to_NGN])</f>
        <v>1</v>
      </c>
      <c r="Q1408" s="37">
        <f>IF(tbl_Ledger[[#This Row],[Account_Type]]="Expense",-ABS(tbl_Ledger[[#This Row],[Amount]]*tbl_Ledger[[#This Row],[Rate_to_NGN]]),tbl_Ledger[[#This Row],[Amount]]*tbl_Ledger[[#This Row],[Rate_to_NGN]])</f>
        <v>32900</v>
      </c>
      <c r="R1408" s="25" t="str">
        <f>_xlfn.XLOOKUP(tbl_Ledger[[#This Row],[Account_Code]], tbl_Accounts[Account_Code], tbl_Accounts[Type])</f>
        <v>Revenue</v>
      </c>
      <c r="S1408" s="25" t="str">
        <f>_xlfn.XLOOKUP(tbl_Ledger[[#This Row],[Account_Code]], tbl_Accounts[Account_Code], tbl_Accounts[PL_Bucket])</f>
        <v>Revenue</v>
      </c>
      <c r="T1408" s="25">
        <f t="shared" si="21"/>
        <v>32900</v>
      </c>
    </row>
    <row r="1409" spans="1:20">
      <c r="A1409" t="s">
        <v>3722</v>
      </c>
      <c r="B1409" s="7">
        <v>45929</v>
      </c>
      <c r="C1409" t="s">
        <v>93</v>
      </c>
      <c r="D1409" t="s">
        <v>94</v>
      </c>
      <c r="E1409" t="s">
        <v>107</v>
      </c>
      <c r="F1409" s="12" t="s">
        <v>24</v>
      </c>
      <c r="G1409" t="s">
        <v>25</v>
      </c>
      <c r="H1409" t="s">
        <v>3723</v>
      </c>
      <c r="I1409" t="s">
        <v>71</v>
      </c>
      <c r="J1409" s="6">
        <v>29100</v>
      </c>
      <c r="K1409" t="s">
        <v>3</v>
      </c>
      <c r="L1409" t="s">
        <v>3724</v>
      </c>
      <c r="M1409" t="s">
        <v>3</v>
      </c>
      <c r="N1409" s="25" t="str">
        <f>TEXT(tbl_Ledger[[#This Row],[Date]],"yyyy-mm")</f>
        <v>2025-09</v>
      </c>
      <c r="O1409" s="25" t="str">
        <f>TEXT(tbl_Ledger[[#This Row],[Date]],"yyyy-mm") &amp; TRIM(tbl_Ledger[[#This Row],[Currency]])</f>
        <v>2025-09NGN</v>
      </c>
      <c r="P1409" s="25">
        <f>_xlfn.XLOOKUP(tbl_Ledger[[#This Row],[Key]], tbl_FX[Key], tbl_FX[Rate_to_NGN])</f>
        <v>1</v>
      </c>
      <c r="Q1409" s="37">
        <f>IF(tbl_Ledger[[#This Row],[Account_Type]]="Expense",-ABS(tbl_Ledger[[#This Row],[Amount]]*tbl_Ledger[[#This Row],[Rate_to_NGN]]),tbl_Ledger[[#This Row],[Amount]]*tbl_Ledger[[#This Row],[Rate_to_NGN]])</f>
        <v>29100</v>
      </c>
      <c r="R1409" s="25" t="str">
        <f>_xlfn.XLOOKUP(tbl_Ledger[[#This Row],[Account_Code]], tbl_Accounts[Account_Code], tbl_Accounts[Type])</f>
        <v>Revenue</v>
      </c>
      <c r="S1409" s="25" t="str">
        <f>_xlfn.XLOOKUP(tbl_Ledger[[#This Row],[Account_Code]], tbl_Accounts[Account_Code], tbl_Accounts[PL_Bucket])</f>
        <v>Revenue</v>
      </c>
      <c r="T1409" s="25">
        <f t="shared" si="21"/>
        <v>29100</v>
      </c>
    </row>
    <row r="1410" spans="1:20">
      <c r="A1410" t="s">
        <v>3725</v>
      </c>
      <c r="B1410" s="7">
        <v>45929</v>
      </c>
      <c r="C1410" t="s">
        <v>93</v>
      </c>
      <c r="D1410" t="s">
        <v>111</v>
      </c>
      <c r="E1410" t="s">
        <v>112</v>
      </c>
      <c r="F1410" s="12" t="s">
        <v>24</v>
      </c>
      <c r="G1410" t="s">
        <v>25</v>
      </c>
      <c r="H1410" t="s">
        <v>3726</v>
      </c>
      <c r="I1410" t="s">
        <v>71</v>
      </c>
      <c r="J1410" s="6">
        <v>52900</v>
      </c>
      <c r="K1410" t="s">
        <v>3</v>
      </c>
      <c r="L1410" t="s">
        <v>3727</v>
      </c>
      <c r="M1410" t="s">
        <v>3</v>
      </c>
      <c r="N1410" s="25" t="str">
        <f>TEXT(tbl_Ledger[[#This Row],[Date]],"yyyy-mm")</f>
        <v>2025-09</v>
      </c>
      <c r="O1410" s="25" t="str">
        <f>TEXT(tbl_Ledger[[#This Row],[Date]],"yyyy-mm") &amp; TRIM(tbl_Ledger[[#This Row],[Currency]])</f>
        <v>2025-09NGN</v>
      </c>
      <c r="P1410" s="25">
        <f>_xlfn.XLOOKUP(tbl_Ledger[[#This Row],[Key]], tbl_FX[Key], tbl_FX[Rate_to_NGN])</f>
        <v>1</v>
      </c>
      <c r="Q1410" s="37">
        <f>IF(tbl_Ledger[[#This Row],[Account_Type]]="Expense",-ABS(tbl_Ledger[[#This Row],[Amount]]*tbl_Ledger[[#This Row],[Rate_to_NGN]]),tbl_Ledger[[#This Row],[Amount]]*tbl_Ledger[[#This Row],[Rate_to_NGN]])</f>
        <v>52900</v>
      </c>
      <c r="R1410" s="25" t="str">
        <f>_xlfn.XLOOKUP(tbl_Ledger[[#This Row],[Account_Code]], tbl_Accounts[Account_Code], tbl_Accounts[Type])</f>
        <v>Revenue</v>
      </c>
      <c r="S1410" s="25" t="str">
        <f>_xlfn.XLOOKUP(tbl_Ledger[[#This Row],[Account_Code]], tbl_Accounts[Account_Code], tbl_Accounts[PL_Bucket])</f>
        <v>Revenue</v>
      </c>
      <c r="T1410" s="25">
        <f t="shared" ref="T1410:T1436" si="22">IF(AND(S1410="Revenue",F1410&lt;&gt;4900),ABS(Q1410),-ABS(Q1410))</f>
        <v>52900</v>
      </c>
    </row>
    <row r="1411" spans="1:20">
      <c r="A1411" t="s">
        <v>3728</v>
      </c>
      <c r="B1411" s="7">
        <v>45929</v>
      </c>
      <c r="C1411" t="s">
        <v>93</v>
      </c>
      <c r="D1411" t="s">
        <v>111</v>
      </c>
      <c r="E1411" t="s">
        <v>119</v>
      </c>
      <c r="F1411" s="12" t="s">
        <v>24</v>
      </c>
      <c r="G1411" t="s">
        <v>25</v>
      </c>
      <c r="H1411" t="s">
        <v>3729</v>
      </c>
      <c r="I1411" t="s">
        <v>71</v>
      </c>
      <c r="J1411" s="6">
        <v>50000</v>
      </c>
      <c r="K1411" t="s">
        <v>3</v>
      </c>
      <c r="L1411" t="s">
        <v>3727</v>
      </c>
      <c r="M1411" t="s">
        <v>3</v>
      </c>
      <c r="N1411" s="25" t="str">
        <f>TEXT(tbl_Ledger[[#This Row],[Date]],"yyyy-mm")</f>
        <v>2025-09</v>
      </c>
      <c r="O1411" s="25" t="str">
        <f>TEXT(tbl_Ledger[[#This Row],[Date]],"yyyy-mm") &amp; TRIM(tbl_Ledger[[#This Row],[Currency]])</f>
        <v>2025-09NGN</v>
      </c>
      <c r="P1411" s="25">
        <f>_xlfn.XLOOKUP(tbl_Ledger[[#This Row],[Key]], tbl_FX[Key], tbl_FX[Rate_to_NGN])</f>
        <v>1</v>
      </c>
      <c r="Q1411" s="37">
        <f>IF(tbl_Ledger[[#This Row],[Account_Type]]="Expense",-ABS(tbl_Ledger[[#This Row],[Amount]]*tbl_Ledger[[#This Row],[Rate_to_NGN]]),tbl_Ledger[[#This Row],[Amount]]*tbl_Ledger[[#This Row],[Rate_to_NGN]])</f>
        <v>50000</v>
      </c>
      <c r="R1411" s="25" t="str">
        <f>_xlfn.XLOOKUP(tbl_Ledger[[#This Row],[Account_Code]], tbl_Accounts[Account_Code], tbl_Accounts[Type])</f>
        <v>Revenue</v>
      </c>
      <c r="S1411" s="25" t="str">
        <f>_xlfn.XLOOKUP(tbl_Ledger[[#This Row],[Account_Code]], tbl_Accounts[Account_Code], tbl_Accounts[PL_Bucket])</f>
        <v>Revenue</v>
      </c>
      <c r="T1411" s="25">
        <f t="shared" si="22"/>
        <v>50000</v>
      </c>
    </row>
    <row r="1412" spans="1:20">
      <c r="A1412" t="s">
        <v>3730</v>
      </c>
      <c r="B1412" s="7">
        <v>45929</v>
      </c>
      <c r="C1412" t="s">
        <v>93</v>
      </c>
      <c r="D1412" t="s">
        <v>111</v>
      </c>
      <c r="E1412" t="s">
        <v>170</v>
      </c>
      <c r="F1412" s="12" t="s">
        <v>24</v>
      </c>
      <c r="G1412" t="s">
        <v>25</v>
      </c>
      <c r="H1412" t="s">
        <v>3731</v>
      </c>
      <c r="I1412" t="s">
        <v>71</v>
      </c>
      <c r="J1412" s="6">
        <v>49800</v>
      </c>
      <c r="K1412" t="s">
        <v>3</v>
      </c>
      <c r="L1412" t="s">
        <v>3727</v>
      </c>
      <c r="M1412" t="s">
        <v>3</v>
      </c>
      <c r="N1412" s="25" t="str">
        <f>TEXT(tbl_Ledger[[#This Row],[Date]],"yyyy-mm")</f>
        <v>2025-09</v>
      </c>
      <c r="O1412" s="25" t="str">
        <f>TEXT(tbl_Ledger[[#This Row],[Date]],"yyyy-mm") &amp; TRIM(tbl_Ledger[[#This Row],[Currency]])</f>
        <v>2025-09NGN</v>
      </c>
      <c r="P1412" s="25">
        <f>_xlfn.XLOOKUP(tbl_Ledger[[#This Row],[Key]], tbl_FX[Key], tbl_FX[Rate_to_NGN])</f>
        <v>1</v>
      </c>
      <c r="Q1412" s="37">
        <f>IF(tbl_Ledger[[#This Row],[Account_Type]]="Expense",-ABS(tbl_Ledger[[#This Row],[Amount]]*tbl_Ledger[[#This Row],[Rate_to_NGN]]),tbl_Ledger[[#This Row],[Amount]]*tbl_Ledger[[#This Row],[Rate_to_NGN]])</f>
        <v>49800</v>
      </c>
      <c r="R1412" s="25" t="str">
        <f>_xlfn.XLOOKUP(tbl_Ledger[[#This Row],[Account_Code]], tbl_Accounts[Account_Code], tbl_Accounts[Type])</f>
        <v>Revenue</v>
      </c>
      <c r="S1412" s="25" t="str">
        <f>_xlfn.XLOOKUP(tbl_Ledger[[#This Row],[Account_Code]], tbl_Accounts[Account_Code], tbl_Accounts[PL_Bucket])</f>
        <v>Revenue</v>
      </c>
      <c r="T1412" s="25">
        <f t="shared" si="22"/>
        <v>49800</v>
      </c>
    </row>
    <row r="1413" spans="1:20">
      <c r="A1413" t="s">
        <v>3732</v>
      </c>
      <c r="B1413" s="7">
        <v>45929</v>
      </c>
      <c r="C1413" t="s">
        <v>93</v>
      </c>
      <c r="D1413" t="s">
        <v>111</v>
      </c>
      <c r="E1413" t="s">
        <v>122</v>
      </c>
      <c r="F1413" s="12" t="s">
        <v>24</v>
      </c>
      <c r="G1413" t="s">
        <v>25</v>
      </c>
      <c r="H1413" t="s">
        <v>3733</v>
      </c>
      <c r="I1413" t="s">
        <v>71</v>
      </c>
      <c r="J1413" s="6">
        <v>51300</v>
      </c>
      <c r="K1413" t="s">
        <v>3</v>
      </c>
      <c r="L1413" t="s">
        <v>3734</v>
      </c>
      <c r="M1413" t="s">
        <v>3</v>
      </c>
      <c r="N1413" s="25" t="str">
        <f>TEXT(tbl_Ledger[[#This Row],[Date]],"yyyy-mm")</f>
        <v>2025-09</v>
      </c>
      <c r="O1413" s="25" t="str">
        <f>TEXT(tbl_Ledger[[#This Row],[Date]],"yyyy-mm") &amp; TRIM(tbl_Ledger[[#This Row],[Currency]])</f>
        <v>2025-09NGN</v>
      </c>
      <c r="P1413" s="25">
        <f>_xlfn.XLOOKUP(tbl_Ledger[[#This Row],[Key]], tbl_FX[Key], tbl_FX[Rate_to_NGN])</f>
        <v>1</v>
      </c>
      <c r="Q1413" s="37">
        <f>IF(tbl_Ledger[[#This Row],[Account_Type]]="Expense",-ABS(tbl_Ledger[[#This Row],[Amount]]*tbl_Ledger[[#This Row],[Rate_to_NGN]]),tbl_Ledger[[#This Row],[Amount]]*tbl_Ledger[[#This Row],[Rate_to_NGN]])</f>
        <v>51300</v>
      </c>
      <c r="R1413" s="25" t="str">
        <f>_xlfn.XLOOKUP(tbl_Ledger[[#This Row],[Account_Code]], tbl_Accounts[Account_Code], tbl_Accounts[Type])</f>
        <v>Revenue</v>
      </c>
      <c r="S1413" s="25" t="str">
        <f>_xlfn.XLOOKUP(tbl_Ledger[[#This Row],[Account_Code]], tbl_Accounts[Account_Code], tbl_Accounts[PL_Bucket])</f>
        <v>Revenue</v>
      </c>
      <c r="T1413" s="25">
        <f t="shared" si="22"/>
        <v>51300</v>
      </c>
    </row>
    <row r="1414" spans="1:20">
      <c r="A1414" t="s">
        <v>3735</v>
      </c>
      <c r="B1414" s="7">
        <v>45929</v>
      </c>
      <c r="C1414" t="s">
        <v>126</v>
      </c>
      <c r="D1414" t="s">
        <v>88</v>
      </c>
      <c r="E1414" t="s">
        <v>127</v>
      </c>
      <c r="F1414" s="12" t="s">
        <v>29</v>
      </c>
      <c r="G1414" t="s">
        <v>30</v>
      </c>
      <c r="H1414" t="s">
        <v>3736</v>
      </c>
      <c r="I1414" t="s">
        <v>71</v>
      </c>
      <c r="J1414" s="6">
        <v>50800</v>
      </c>
      <c r="K1414" t="s">
        <v>129</v>
      </c>
      <c r="L1414" t="s">
        <v>3737</v>
      </c>
      <c r="M1414" t="s">
        <v>3</v>
      </c>
      <c r="N1414" s="25" t="str">
        <f>TEXT(tbl_Ledger[[#This Row],[Date]],"yyyy-mm")</f>
        <v>2025-09</v>
      </c>
      <c r="O1414" s="25" t="str">
        <f>TEXT(tbl_Ledger[[#This Row],[Date]],"yyyy-mm") &amp; TRIM(tbl_Ledger[[#This Row],[Currency]])</f>
        <v>2025-09NGN</v>
      </c>
      <c r="P1414" s="25">
        <f>_xlfn.XLOOKUP(tbl_Ledger[[#This Row],[Key]], tbl_FX[Key], tbl_FX[Rate_to_NGN])</f>
        <v>1</v>
      </c>
      <c r="Q1414" s="37">
        <f>IF(tbl_Ledger[[#This Row],[Account_Type]]="Expense",-ABS(tbl_Ledger[[#This Row],[Amount]]*tbl_Ledger[[#This Row],[Rate_to_NGN]]),tbl_Ledger[[#This Row],[Amount]]*tbl_Ledger[[#This Row],[Rate_to_NGN]])</f>
        <v>50800</v>
      </c>
      <c r="R1414" s="25" t="str">
        <f>_xlfn.XLOOKUP(tbl_Ledger[[#This Row],[Account_Code]], tbl_Accounts[Account_Code], tbl_Accounts[Type])</f>
        <v>Revenue</v>
      </c>
      <c r="S1414" s="25" t="str">
        <f>_xlfn.XLOOKUP(tbl_Ledger[[#This Row],[Account_Code]], tbl_Accounts[Account_Code], tbl_Accounts[PL_Bucket])</f>
        <v>Revenue</v>
      </c>
      <c r="T1414" s="25">
        <f t="shared" si="22"/>
        <v>50800</v>
      </c>
    </row>
    <row r="1415" spans="1:20">
      <c r="A1415" t="s">
        <v>3738</v>
      </c>
      <c r="B1415" s="7">
        <v>45929</v>
      </c>
      <c r="C1415" t="s">
        <v>126</v>
      </c>
      <c r="D1415" t="s">
        <v>88</v>
      </c>
      <c r="E1415" t="s">
        <v>132</v>
      </c>
      <c r="F1415" s="12" t="s">
        <v>29</v>
      </c>
      <c r="G1415" t="s">
        <v>30</v>
      </c>
      <c r="H1415" t="s">
        <v>3739</v>
      </c>
      <c r="I1415" t="s">
        <v>71</v>
      </c>
      <c r="J1415" s="6">
        <v>57800</v>
      </c>
      <c r="K1415" t="s">
        <v>134</v>
      </c>
      <c r="L1415" t="s">
        <v>3737</v>
      </c>
      <c r="M1415" t="s">
        <v>3</v>
      </c>
      <c r="N1415" s="25" t="str">
        <f>TEXT(tbl_Ledger[[#This Row],[Date]],"yyyy-mm")</f>
        <v>2025-09</v>
      </c>
      <c r="O1415" s="25" t="str">
        <f>TEXT(tbl_Ledger[[#This Row],[Date]],"yyyy-mm") &amp; TRIM(tbl_Ledger[[#This Row],[Currency]])</f>
        <v>2025-09NGN</v>
      </c>
      <c r="P1415" s="25">
        <f>_xlfn.XLOOKUP(tbl_Ledger[[#This Row],[Key]], tbl_FX[Key], tbl_FX[Rate_to_NGN])</f>
        <v>1</v>
      </c>
      <c r="Q1415" s="37">
        <f>IF(tbl_Ledger[[#This Row],[Account_Type]]="Expense",-ABS(tbl_Ledger[[#This Row],[Amount]]*tbl_Ledger[[#This Row],[Rate_to_NGN]]),tbl_Ledger[[#This Row],[Amount]]*tbl_Ledger[[#This Row],[Rate_to_NGN]])</f>
        <v>57800</v>
      </c>
      <c r="R1415" s="25" t="str">
        <f>_xlfn.XLOOKUP(tbl_Ledger[[#This Row],[Account_Code]], tbl_Accounts[Account_Code], tbl_Accounts[Type])</f>
        <v>Revenue</v>
      </c>
      <c r="S1415" s="25" t="str">
        <f>_xlfn.XLOOKUP(tbl_Ledger[[#This Row],[Account_Code]], tbl_Accounts[Account_Code], tbl_Accounts[PL_Bucket])</f>
        <v>Revenue</v>
      </c>
      <c r="T1415" s="25">
        <f t="shared" si="22"/>
        <v>57800</v>
      </c>
    </row>
    <row r="1416" spans="1:20">
      <c r="A1416" t="s">
        <v>3740</v>
      </c>
      <c r="B1416" s="7">
        <v>45929</v>
      </c>
      <c r="C1416" t="s">
        <v>126</v>
      </c>
      <c r="D1416" t="s">
        <v>88</v>
      </c>
      <c r="E1416" t="s">
        <v>136</v>
      </c>
      <c r="F1416" s="12" t="s">
        <v>29</v>
      </c>
      <c r="G1416" t="s">
        <v>30</v>
      </c>
      <c r="H1416" t="s">
        <v>3741</v>
      </c>
      <c r="I1416" t="s">
        <v>72</v>
      </c>
      <c r="J1416" s="6">
        <v>33.21</v>
      </c>
      <c r="K1416" t="s">
        <v>138</v>
      </c>
      <c r="L1416" t="s">
        <v>3737</v>
      </c>
      <c r="M1416" t="s">
        <v>3</v>
      </c>
      <c r="N1416" s="25" t="str">
        <f>TEXT(tbl_Ledger[[#This Row],[Date]],"yyyy-mm")</f>
        <v>2025-09</v>
      </c>
      <c r="O1416" s="25" t="str">
        <f>TEXT(tbl_Ledger[[#This Row],[Date]],"yyyy-mm") &amp; TRIM(tbl_Ledger[[#This Row],[Currency]])</f>
        <v>2025-09USD</v>
      </c>
      <c r="P1416" s="25">
        <f>_xlfn.XLOOKUP(tbl_Ledger[[#This Row],[Key]], tbl_FX[Key], tbl_FX[Rate_to_NGN])</f>
        <v>1611</v>
      </c>
      <c r="Q1416" s="37">
        <f>IF(tbl_Ledger[[#This Row],[Account_Type]]="Expense",-ABS(tbl_Ledger[[#This Row],[Amount]]*tbl_Ledger[[#This Row],[Rate_to_NGN]]),tbl_Ledger[[#This Row],[Amount]]*tbl_Ledger[[#This Row],[Rate_to_NGN]])</f>
        <v>53501.310000000005</v>
      </c>
      <c r="R1416" s="25" t="str">
        <f>_xlfn.XLOOKUP(tbl_Ledger[[#This Row],[Account_Code]], tbl_Accounts[Account_Code], tbl_Accounts[Type])</f>
        <v>Revenue</v>
      </c>
      <c r="S1416" s="25" t="str">
        <f>_xlfn.XLOOKUP(tbl_Ledger[[#This Row],[Account_Code]], tbl_Accounts[Account_Code], tbl_Accounts[PL_Bucket])</f>
        <v>Revenue</v>
      </c>
      <c r="T1416" s="25">
        <f t="shared" si="22"/>
        <v>53501.310000000005</v>
      </c>
    </row>
    <row r="1417" spans="1:20">
      <c r="A1417" t="s">
        <v>3742</v>
      </c>
      <c r="B1417" s="7">
        <v>45929</v>
      </c>
      <c r="C1417" t="s">
        <v>126</v>
      </c>
      <c r="D1417" t="s">
        <v>88</v>
      </c>
      <c r="E1417" t="s">
        <v>140</v>
      </c>
      <c r="F1417" s="12" t="s">
        <v>29</v>
      </c>
      <c r="G1417" t="s">
        <v>30</v>
      </c>
      <c r="H1417" t="s">
        <v>3743</v>
      </c>
      <c r="I1417" t="s">
        <v>71</v>
      </c>
      <c r="J1417" s="6">
        <v>49500</v>
      </c>
      <c r="K1417" t="s">
        <v>3</v>
      </c>
      <c r="L1417" t="s">
        <v>3744</v>
      </c>
      <c r="M1417" t="s">
        <v>3</v>
      </c>
      <c r="N1417" s="25" t="str">
        <f>TEXT(tbl_Ledger[[#This Row],[Date]],"yyyy-mm")</f>
        <v>2025-09</v>
      </c>
      <c r="O1417" s="25" t="str">
        <f>TEXT(tbl_Ledger[[#This Row],[Date]],"yyyy-mm") &amp; TRIM(tbl_Ledger[[#This Row],[Currency]])</f>
        <v>2025-09NGN</v>
      </c>
      <c r="P1417" s="25">
        <f>_xlfn.XLOOKUP(tbl_Ledger[[#This Row],[Key]], tbl_FX[Key], tbl_FX[Rate_to_NGN])</f>
        <v>1</v>
      </c>
      <c r="Q1417" s="37">
        <f>IF(tbl_Ledger[[#This Row],[Account_Type]]="Expense",-ABS(tbl_Ledger[[#This Row],[Amount]]*tbl_Ledger[[#This Row],[Rate_to_NGN]]),tbl_Ledger[[#This Row],[Amount]]*tbl_Ledger[[#This Row],[Rate_to_NGN]])</f>
        <v>49500</v>
      </c>
      <c r="R1417" s="25" t="str">
        <f>_xlfn.XLOOKUP(tbl_Ledger[[#This Row],[Account_Code]], tbl_Accounts[Account_Code], tbl_Accounts[Type])</f>
        <v>Revenue</v>
      </c>
      <c r="S1417" s="25" t="str">
        <f>_xlfn.XLOOKUP(tbl_Ledger[[#This Row],[Account_Code]], tbl_Accounts[Account_Code], tbl_Accounts[PL_Bucket])</f>
        <v>Revenue</v>
      </c>
      <c r="T1417" s="25">
        <f t="shared" si="22"/>
        <v>49500</v>
      </c>
    </row>
    <row r="1418" spans="1:20">
      <c r="A1418" t="s">
        <v>3745</v>
      </c>
      <c r="B1418" s="7">
        <v>45929</v>
      </c>
      <c r="C1418" t="s">
        <v>87</v>
      </c>
      <c r="D1418" t="s">
        <v>88</v>
      </c>
      <c r="E1418" t="s">
        <v>3</v>
      </c>
      <c r="F1418" s="12" t="s">
        <v>42</v>
      </c>
      <c r="G1418" t="s">
        <v>43</v>
      </c>
      <c r="H1418" t="s">
        <v>2864</v>
      </c>
      <c r="I1418" t="s">
        <v>71</v>
      </c>
      <c r="J1418" s="6">
        <v>-670000</v>
      </c>
      <c r="K1418" t="s">
        <v>398</v>
      </c>
      <c r="L1418" t="s">
        <v>3746</v>
      </c>
      <c r="M1418" t="s">
        <v>3</v>
      </c>
      <c r="N1418" s="25" t="str">
        <f>TEXT(tbl_Ledger[[#This Row],[Date]],"yyyy-mm")</f>
        <v>2025-09</v>
      </c>
      <c r="O1418" s="25" t="str">
        <f>TEXT(tbl_Ledger[[#This Row],[Date]],"yyyy-mm") &amp; TRIM(tbl_Ledger[[#This Row],[Currency]])</f>
        <v>2025-09NGN</v>
      </c>
      <c r="P1418" s="25">
        <f>_xlfn.XLOOKUP(tbl_Ledger[[#This Row],[Key]], tbl_FX[Key], tbl_FX[Rate_to_NGN])</f>
        <v>1</v>
      </c>
      <c r="Q1418" s="37">
        <f>IF(tbl_Ledger[[#This Row],[Account_Type]]="Expense",-ABS(tbl_Ledger[[#This Row],[Amount]]*tbl_Ledger[[#This Row],[Rate_to_NGN]]),tbl_Ledger[[#This Row],[Amount]]*tbl_Ledger[[#This Row],[Rate_to_NGN]])</f>
        <v>-670000</v>
      </c>
      <c r="R1418" s="25" t="str">
        <f>_xlfn.XLOOKUP(tbl_Ledger[[#This Row],[Account_Code]], tbl_Accounts[Account_Code], tbl_Accounts[Type])</f>
        <v>COGS</v>
      </c>
      <c r="S1418" s="25" t="str">
        <f>_xlfn.XLOOKUP(tbl_Ledger[[#This Row],[Account_Code]], tbl_Accounts[Account_Code], tbl_Accounts[PL_Bucket])</f>
        <v>COGS</v>
      </c>
      <c r="T1418" s="25">
        <f t="shared" si="22"/>
        <v>-670000</v>
      </c>
    </row>
    <row r="1419" spans="1:20">
      <c r="A1419" t="s">
        <v>3747</v>
      </c>
      <c r="B1419" s="7">
        <v>45929</v>
      </c>
      <c r="C1419" t="s">
        <v>1274</v>
      </c>
      <c r="D1419" t="s">
        <v>94</v>
      </c>
      <c r="E1419" t="s">
        <v>3</v>
      </c>
      <c r="F1419" s="12" t="s">
        <v>59</v>
      </c>
      <c r="G1419" t="s">
        <v>60</v>
      </c>
      <c r="H1419" t="s">
        <v>3748</v>
      </c>
      <c r="I1419" t="s">
        <v>71</v>
      </c>
      <c r="J1419" s="6">
        <v>-95021</v>
      </c>
      <c r="K1419" t="s">
        <v>1276</v>
      </c>
      <c r="L1419" t="s">
        <v>3749</v>
      </c>
      <c r="M1419" t="s">
        <v>3</v>
      </c>
      <c r="N1419" s="25" t="str">
        <f>TEXT(tbl_Ledger[[#This Row],[Date]],"yyyy-mm")</f>
        <v>2025-09</v>
      </c>
      <c r="O1419" s="25" t="str">
        <f>TEXT(tbl_Ledger[[#This Row],[Date]],"yyyy-mm") &amp; TRIM(tbl_Ledger[[#This Row],[Currency]])</f>
        <v>2025-09NGN</v>
      </c>
      <c r="P1419" s="25">
        <f>_xlfn.XLOOKUP(tbl_Ledger[[#This Row],[Key]], tbl_FX[Key], tbl_FX[Rate_to_NGN])</f>
        <v>1</v>
      </c>
      <c r="Q1419" s="37">
        <f>IF(tbl_Ledger[[#This Row],[Account_Type]]="Expense",-ABS(tbl_Ledger[[#This Row],[Amount]]*tbl_Ledger[[#This Row],[Rate_to_NGN]]),tbl_Ledger[[#This Row],[Amount]]*tbl_Ledger[[#This Row],[Rate_to_NGN]])</f>
        <v>-95021</v>
      </c>
      <c r="R1419" s="25" t="str">
        <f>_xlfn.XLOOKUP(tbl_Ledger[[#This Row],[Account_Code]], tbl_Accounts[Account_Code], tbl_Accounts[Type])</f>
        <v>Opex</v>
      </c>
      <c r="S1419" s="25" t="str">
        <f>_xlfn.XLOOKUP(tbl_Ledger[[#This Row],[Account_Code]], tbl_Accounts[Account_Code], tbl_Accounts[PL_Bucket])</f>
        <v>Opex</v>
      </c>
      <c r="T1419" s="25">
        <f t="shared" si="22"/>
        <v>-95021</v>
      </c>
    </row>
    <row r="1420" spans="1:20">
      <c r="A1420" t="s">
        <v>3750</v>
      </c>
      <c r="B1420" s="7">
        <v>45929</v>
      </c>
      <c r="C1420" t="s">
        <v>1274</v>
      </c>
      <c r="D1420" t="s">
        <v>111</v>
      </c>
      <c r="E1420" t="s">
        <v>3</v>
      </c>
      <c r="F1420" s="12" t="s">
        <v>59</v>
      </c>
      <c r="G1420" t="s">
        <v>60</v>
      </c>
      <c r="H1420" t="s">
        <v>3748</v>
      </c>
      <c r="I1420" t="s">
        <v>71</v>
      </c>
      <c r="J1420" s="6">
        <v>-168490</v>
      </c>
      <c r="K1420" t="s">
        <v>1276</v>
      </c>
      <c r="L1420" t="s">
        <v>3751</v>
      </c>
      <c r="N1420" s="25" t="str">
        <f>TEXT(tbl_Ledger[[#This Row],[Date]],"yyyy-mm")</f>
        <v>2025-09</v>
      </c>
      <c r="O1420" s="25" t="str">
        <f>TEXT(tbl_Ledger[[#This Row],[Date]],"yyyy-mm") &amp; TRIM(tbl_Ledger[[#This Row],[Currency]])</f>
        <v>2025-09NGN</v>
      </c>
      <c r="P1420" s="25">
        <f>_xlfn.XLOOKUP(tbl_Ledger[[#This Row],[Key]], tbl_FX[Key], tbl_FX[Rate_to_NGN])</f>
        <v>1</v>
      </c>
      <c r="Q1420" s="37">
        <f>IF(tbl_Ledger[[#This Row],[Account_Type]]="Expense",-ABS(tbl_Ledger[[#This Row],[Amount]]*tbl_Ledger[[#This Row],[Rate_to_NGN]]),tbl_Ledger[[#This Row],[Amount]]*tbl_Ledger[[#This Row],[Rate_to_NGN]])</f>
        <v>-168490</v>
      </c>
      <c r="R1420" s="25" t="str">
        <f>_xlfn.XLOOKUP(tbl_Ledger[[#This Row],[Account_Code]], tbl_Accounts[Account_Code], tbl_Accounts[Type])</f>
        <v>Opex</v>
      </c>
      <c r="S1420" s="25" t="str">
        <f>_xlfn.XLOOKUP(tbl_Ledger[[#This Row],[Account_Code]], tbl_Accounts[Account_Code], tbl_Accounts[PL_Bucket])</f>
        <v>Opex</v>
      </c>
      <c r="T1420" s="25">
        <f t="shared" si="22"/>
        <v>-168490</v>
      </c>
    </row>
    <row r="1421" spans="1:20">
      <c r="A1421" t="s">
        <v>3752</v>
      </c>
      <c r="B1421" s="7">
        <v>45929</v>
      </c>
      <c r="C1421" t="s">
        <v>1274</v>
      </c>
      <c r="D1421" t="s">
        <v>88</v>
      </c>
      <c r="E1421" t="s">
        <v>3</v>
      </c>
      <c r="F1421" s="12" t="s">
        <v>59</v>
      </c>
      <c r="G1421" t="s">
        <v>60</v>
      </c>
      <c r="H1421" t="s">
        <v>3748</v>
      </c>
      <c r="I1421" t="s">
        <v>71</v>
      </c>
      <c r="J1421" s="6">
        <v>-81294</v>
      </c>
      <c r="K1421" t="s">
        <v>1276</v>
      </c>
      <c r="L1421" t="s">
        <v>3753</v>
      </c>
      <c r="M1421" t="s">
        <v>3</v>
      </c>
      <c r="N1421" s="25" t="str">
        <f>TEXT(tbl_Ledger[[#This Row],[Date]],"yyyy-mm")</f>
        <v>2025-09</v>
      </c>
      <c r="O1421" s="25" t="str">
        <f>TEXT(tbl_Ledger[[#This Row],[Date]],"yyyy-mm") &amp; TRIM(tbl_Ledger[[#This Row],[Currency]])</f>
        <v>2025-09NGN</v>
      </c>
      <c r="P1421" s="25">
        <f>_xlfn.XLOOKUP(tbl_Ledger[[#This Row],[Key]], tbl_FX[Key], tbl_FX[Rate_to_NGN])</f>
        <v>1</v>
      </c>
      <c r="Q1421" s="37">
        <f>IF(tbl_Ledger[[#This Row],[Account_Type]]="Expense",-ABS(tbl_Ledger[[#This Row],[Amount]]*tbl_Ledger[[#This Row],[Rate_to_NGN]]),tbl_Ledger[[#This Row],[Amount]]*tbl_Ledger[[#This Row],[Rate_to_NGN]])</f>
        <v>-81294</v>
      </c>
      <c r="R1421" s="25" t="str">
        <f>_xlfn.XLOOKUP(tbl_Ledger[[#This Row],[Account_Code]], tbl_Accounts[Account_Code], tbl_Accounts[Type])</f>
        <v>Opex</v>
      </c>
      <c r="S1421" s="25" t="str">
        <f>_xlfn.XLOOKUP(tbl_Ledger[[#This Row],[Account_Code]], tbl_Accounts[Account_Code], tbl_Accounts[PL_Bucket])</f>
        <v>Opex</v>
      </c>
      <c r="T1421" s="25">
        <f t="shared" si="22"/>
        <v>-81294</v>
      </c>
    </row>
    <row r="1422" spans="1:20">
      <c r="A1422" t="s">
        <v>3754</v>
      </c>
      <c r="B1422" s="7">
        <v>45930</v>
      </c>
      <c r="C1422" t="s">
        <v>93</v>
      </c>
      <c r="D1422" t="s">
        <v>94</v>
      </c>
      <c r="E1422" t="s">
        <v>99</v>
      </c>
      <c r="F1422" s="12" t="s">
        <v>24</v>
      </c>
      <c r="G1422" t="s">
        <v>25</v>
      </c>
      <c r="H1422" t="s">
        <v>3755</v>
      </c>
      <c r="I1422" t="s">
        <v>71</v>
      </c>
      <c r="J1422" s="6">
        <v>28500</v>
      </c>
      <c r="K1422" t="s">
        <v>3</v>
      </c>
      <c r="L1422" t="s">
        <v>3756</v>
      </c>
      <c r="M1422" t="s">
        <v>3</v>
      </c>
      <c r="N1422" s="25" t="str">
        <f>TEXT(tbl_Ledger[[#This Row],[Date]],"yyyy-mm")</f>
        <v>2025-09</v>
      </c>
      <c r="O1422" s="25" t="str">
        <f>TEXT(tbl_Ledger[[#This Row],[Date]],"yyyy-mm") &amp; TRIM(tbl_Ledger[[#This Row],[Currency]])</f>
        <v>2025-09NGN</v>
      </c>
      <c r="P1422" s="25">
        <f>_xlfn.XLOOKUP(tbl_Ledger[[#This Row],[Key]], tbl_FX[Key], tbl_FX[Rate_to_NGN])</f>
        <v>1</v>
      </c>
      <c r="Q1422" s="37">
        <f>IF(tbl_Ledger[[#This Row],[Account_Type]]="Expense",-ABS(tbl_Ledger[[#This Row],[Amount]]*tbl_Ledger[[#This Row],[Rate_to_NGN]]),tbl_Ledger[[#This Row],[Amount]]*tbl_Ledger[[#This Row],[Rate_to_NGN]])</f>
        <v>28500</v>
      </c>
      <c r="R1422" s="25" t="str">
        <f>_xlfn.XLOOKUP(tbl_Ledger[[#This Row],[Account_Code]], tbl_Accounts[Account_Code], tbl_Accounts[Type])</f>
        <v>Revenue</v>
      </c>
      <c r="S1422" s="25" t="str">
        <f>_xlfn.XLOOKUP(tbl_Ledger[[#This Row],[Account_Code]], tbl_Accounts[Account_Code], tbl_Accounts[PL_Bucket])</f>
        <v>Revenue</v>
      </c>
      <c r="T1422" s="25">
        <f t="shared" si="22"/>
        <v>28500</v>
      </c>
    </row>
    <row r="1423" spans="1:20">
      <c r="A1423" t="s">
        <v>3757</v>
      </c>
      <c r="B1423" s="7">
        <v>45930</v>
      </c>
      <c r="C1423" t="s">
        <v>93</v>
      </c>
      <c r="D1423" t="s">
        <v>94</v>
      </c>
      <c r="E1423" t="s">
        <v>103</v>
      </c>
      <c r="F1423" s="12" t="s">
        <v>24</v>
      </c>
      <c r="G1423" t="s">
        <v>25</v>
      </c>
      <c r="H1423" t="s">
        <v>3758</v>
      </c>
      <c r="I1423" t="s">
        <v>71</v>
      </c>
      <c r="J1423" s="6">
        <v>32800</v>
      </c>
      <c r="K1423" t="s">
        <v>3</v>
      </c>
      <c r="L1423" t="s">
        <v>3759</v>
      </c>
      <c r="M1423" t="s">
        <v>3</v>
      </c>
      <c r="N1423" s="25" t="str">
        <f>TEXT(tbl_Ledger[[#This Row],[Date]],"yyyy-mm")</f>
        <v>2025-09</v>
      </c>
      <c r="O1423" s="25" t="str">
        <f>TEXT(tbl_Ledger[[#This Row],[Date]],"yyyy-mm") &amp; TRIM(tbl_Ledger[[#This Row],[Currency]])</f>
        <v>2025-09NGN</v>
      </c>
      <c r="P1423" s="25">
        <f>_xlfn.XLOOKUP(tbl_Ledger[[#This Row],[Key]], tbl_FX[Key], tbl_FX[Rate_to_NGN])</f>
        <v>1</v>
      </c>
      <c r="Q1423" s="37">
        <f>IF(tbl_Ledger[[#This Row],[Account_Type]]="Expense",-ABS(tbl_Ledger[[#This Row],[Amount]]*tbl_Ledger[[#This Row],[Rate_to_NGN]]),tbl_Ledger[[#This Row],[Amount]]*tbl_Ledger[[#This Row],[Rate_to_NGN]])</f>
        <v>32800</v>
      </c>
      <c r="R1423" s="25" t="str">
        <f>_xlfn.XLOOKUP(tbl_Ledger[[#This Row],[Account_Code]], tbl_Accounts[Account_Code], tbl_Accounts[Type])</f>
        <v>Revenue</v>
      </c>
      <c r="S1423" s="25" t="str">
        <f>_xlfn.XLOOKUP(tbl_Ledger[[#This Row],[Account_Code]], tbl_Accounts[Account_Code], tbl_Accounts[PL_Bucket])</f>
        <v>Revenue</v>
      </c>
      <c r="T1423" s="25">
        <f t="shared" si="22"/>
        <v>32800</v>
      </c>
    </row>
    <row r="1424" spans="1:20">
      <c r="A1424" t="s">
        <v>3760</v>
      </c>
      <c r="B1424" s="7">
        <v>45930</v>
      </c>
      <c r="C1424" t="s">
        <v>93</v>
      </c>
      <c r="D1424" t="s">
        <v>94</v>
      </c>
      <c r="E1424" t="s">
        <v>160</v>
      </c>
      <c r="F1424" s="12" t="s">
        <v>24</v>
      </c>
      <c r="G1424" t="s">
        <v>25</v>
      </c>
      <c r="H1424" t="s">
        <v>3761</v>
      </c>
      <c r="I1424" t="s">
        <v>71</v>
      </c>
      <c r="J1424" s="6">
        <v>30100</v>
      </c>
      <c r="K1424" t="s">
        <v>3</v>
      </c>
      <c r="L1424" t="s">
        <v>3759</v>
      </c>
      <c r="M1424" t="s">
        <v>3</v>
      </c>
      <c r="N1424" s="25" t="str">
        <f>TEXT(tbl_Ledger[[#This Row],[Date]],"yyyy-mm")</f>
        <v>2025-09</v>
      </c>
      <c r="O1424" s="25" t="str">
        <f>TEXT(tbl_Ledger[[#This Row],[Date]],"yyyy-mm") &amp; TRIM(tbl_Ledger[[#This Row],[Currency]])</f>
        <v>2025-09NGN</v>
      </c>
      <c r="P1424" s="25">
        <f>_xlfn.XLOOKUP(tbl_Ledger[[#This Row],[Key]], tbl_FX[Key], tbl_FX[Rate_to_NGN])</f>
        <v>1</v>
      </c>
      <c r="Q1424" s="37">
        <f>IF(tbl_Ledger[[#This Row],[Account_Type]]="Expense",-ABS(tbl_Ledger[[#This Row],[Amount]]*tbl_Ledger[[#This Row],[Rate_to_NGN]]),tbl_Ledger[[#This Row],[Amount]]*tbl_Ledger[[#This Row],[Rate_to_NGN]])</f>
        <v>30100</v>
      </c>
      <c r="R1424" s="25" t="str">
        <f>_xlfn.XLOOKUP(tbl_Ledger[[#This Row],[Account_Code]], tbl_Accounts[Account_Code], tbl_Accounts[Type])</f>
        <v>Revenue</v>
      </c>
      <c r="S1424" s="25" t="str">
        <f>_xlfn.XLOOKUP(tbl_Ledger[[#This Row],[Account_Code]], tbl_Accounts[Account_Code], tbl_Accounts[PL_Bucket])</f>
        <v>Revenue</v>
      </c>
      <c r="T1424" s="25">
        <f t="shared" si="22"/>
        <v>30100</v>
      </c>
    </row>
    <row r="1425" spans="1:20">
      <c r="A1425" t="s">
        <v>3762</v>
      </c>
      <c r="B1425" s="7">
        <v>45930</v>
      </c>
      <c r="C1425" t="s">
        <v>93</v>
      </c>
      <c r="D1425" t="s">
        <v>94</v>
      </c>
      <c r="E1425" t="s">
        <v>107</v>
      </c>
      <c r="F1425" s="12" t="s">
        <v>24</v>
      </c>
      <c r="G1425" t="s">
        <v>25</v>
      </c>
      <c r="H1425" t="s">
        <v>3763</v>
      </c>
      <c r="I1425" t="s">
        <v>71</v>
      </c>
      <c r="J1425" s="6">
        <v>31800</v>
      </c>
      <c r="K1425" t="s">
        <v>3</v>
      </c>
      <c r="L1425" t="s">
        <v>3764</v>
      </c>
      <c r="M1425" t="s">
        <v>3</v>
      </c>
      <c r="N1425" s="25" t="str">
        <f>TEXT(tbl_Ledger[[#This Row],[Date]],"yyyy-mm")</f>
        <v>2025-09</v>
      </c>
      <c r="O1425" s="25" t="str">
        <f>TEXT(tbl_Ledger[[#This Row],[Date]],"yyyy-mm") &amp; TRIM(tbl_Ledger[[#This Row],[Currency]])</f>
        <v>2025-09NGN</v>
      </c>
      <c r="P1425" s="25">
        <f>_xlfn.XLOOKUP(tbl_Ledger[[#This Row],[Key]], tbl_FX[Key], tbl_FX[Rate_to_NGN])</f>
        <v>1</v>
      </c>
      <c r="Q1425" s="37">
        <f>IF(tbl_Ledger[[#This Row],[Account_Type]]="Expense",-ABS(tbl_Ledger[[#This Row],[Amount]]*tbl_Ledger[[#This Row],[Rate_to_NGN]]),tbl_Ledger[[#This Row],[Amount]]*tbl_Ledger[[#This Row],[Rate_to_NGN]])</f>
        <v>31800</v>
      </c>
      <c r="R1425" s="25" t="str">
        <f>_xlfn.XLOOKUP(tbl_Ledger[[#This Row],[Account_Code]], tbl_Accounts[Account_Code], tbl_Accounts[Type])</f>
        <v>Revenue</v>
      </c>
      <c r="S1425" s="25" t="str">
        <f>_xlfn.XLOOKUP(tbl_Ledger[[#This Row],[Account_Code]], tbl_Accounts[Account_Code], tbl_Accounts[PL_Bucket])</f>
        <v>Revenue</v>
      </c>
      <c r="T1425" s="25">
        <f t="shared" si="22"/>
        <v>31800</v>
      </c>
    </row>
    <row r="1426" spans="1:20">
      <c r="A1426" t="s">
        <v>3765</v>
      </c>
      <c r="B1426" s="7">
        <v>45930</v>
      </c>
      <c r="C1426" t="s">
        <v>93</v>
      </c>
      <c r="D1426" t="s">
        <v>111</v>
      </c>
      <c r="E1426" t="s">
        <v>112</v>
      </c>
      <c r="F1426" s="12" t="s">
        <v>24</v>
      </c>
      <c r="G1426" t="s">
        <v>25</v>
      </c>
      <c r="H1426" t="s">
        <v>3766</v>
      </c>
      <c r="I1426" t="s">
        <v>71</v>
      </c>
      <c r="J1426" s="6">
        <v>52500</v>
      </c>
      <c r="K1426" t="s">
        <v>3</v>
      </c>
      <c r="L1426" t="s">
        <v>3767</v>
      </c>
      <c r="M1426" t="s">
        <v>3</v>
      </c>
      <c r="N1426" s="25" t="str">
        <f>TEXT(tbl_Ledger[[#This Row],[Date]],"yyyy-mm")</f>
        <v>2025-09</v>
      </c>
      <c r="O1426" s="25" t="str">
        <f>TEXT(tbl_Ledger[[#This Row],[Date]],"yyyy-mm") &amp; TRIM(tbl_Ledger[[#This Row],[Currency]])</f>
        <v>2025-09NGN</v>
      </c>
      <c r="P1426" s="25">
        <f>_xlfn.XLOOKUP(tbl_Ledger[[#This Row],[Key]], tbl_FX[Key], tbl_FX[Rate_to_NGN])</f>
        <v>1</v>
      </c>
      <c r="Q1426" s="37">
        <f>IF(tbl_Ledger[[#This Row],[Account_Type]]="Expense",-ABS(tbl_Ledger[[#This Row],[Amount]]*tbl_Ledger[[#This Row],[Rate_to_NGN]]),tbl_Ledger[[#This Row],[Amount]]*tbl_Ledger[[#This Row],[Rate_to_NGN]])</f>
        <v>52500</v>
      </c>
      <c r="R1426" s="25" t="str">
        <f>_xlfn.XLOOKUP(tbl_Ledger[[#This Row],[Account_Code]], tbl_Accounts[Account_Code], tbl_Accounts[Type])</f>
        <v>Revenue</v>
      </c>
      <c r="S1426" s="25" t="str">
        <f>_xlfn.XLOOKUP(tbl_Ledger[[#This Row],[Account_Code]], tbl_Accounts[Account_Code], tbl_Accounts[PL_Bucket])</f>
        <v>Revenue</v>
      </c>
      <c r="T1426" s="25">
        <f t="shared" si="22"/>
        <v>52500</v>
      </c>
    </row>
    <row r="1427" spans="1:20">
      <c r="A1427" t="s">
        <v>3768</v>
      </c>
      <c r="B1427" s="7">
        <v>45930</v>
      </c>
      <c r="C1427" t="s">
        <v>93</v>
      </c>
      <c r="D1427" t="s">
        <v>111</v>
      </c>
      <c r="E1427" t="s">
        <v>116</v>
      </c>
      <c r="F1427" s="12" t="s">
        <v>24</v>
      </c>
      <c r="G1427" t="s">
        <v>25</v>
      </c>
      <c r="H1427" t="s">
        <v>3769</v>
      </c>
      <c r="I1427" t="s">
        <v>71</v>
      </c>
      <c r="J1427" s="6">
        <v>52100</v>
      </c>
      <c r="K1427" t="s">
        <v>3</v>
      </c>
      <c r="L1427" t="s">
        <v>3767</v>
      </c>
      <c r="M1427" t="s">
        <v>3</v>
      </c>
      <c r="N1427" s="25" t="str">
        <f>TEXT(tbl_Ledger[[#This Row],[Date]],"yyyy-mm")</f>
        <v>2025-09</v>
      </c>
      <c r="O1427" s="25" t="str">
        <f>TEXT(tbl_Ledger[[#This Row],[Date]],"yyyy-mm") &amp; TRIM(tbl_Ledger[[#This Row],[Currency]])</f>
        <v>2025-09NGN</v>
      </c>
      <c r="P1427" s="25">
        <f>_xlfn.XLOOKUP(tbl_Ledger[[#This Row],[Key]], tbl_FX[Key], tbl_FX[Rate_to_NGN])</f>
        <v>1</v>
      </c>
      <c r="Q1427" s="37">
        <f>IF(tbl_Ledger[[#This Row],[Account_Type]]="Expense",-ABS(tbl_Ledger[[#This Row],[Amount]]*tbl_Ledger[[#This Row],[Rate_to_NGN]]),tbl_Ledger[[#This Row],[Amount]]*tbl_Ledger[[#This Row],[Rate_to_NGN]])</f>
        <v>52100</v>
      </c>
      <c r="R1427" s="25" t="str">
        <f>_xlfn.XLOOKUP(tbl_Ledger[[#This Row],[Account_Code]], tbl_Accounts[Account_Code], tbl_Accounts[Type])</f>
        <v>Revenue</v>
      </c>
      <c r="S1427" s="25" t="str">
        <f>_xlfn.XLOOKUP(tbl_Ledger[[#This Row],[Account_Code]], tbl_Accounts[Account_Code], tbl_Accounts[PL_Bucket])</f>
        <v>Revenue</v>
      </c>
      <c r="T1427" s="25">
        <f t="shared" si="22"/>
        <v>52100</v>
      </c>
    </row>
    <row r="1428" spans="1:20">
      <c r="A1428" t="s">
        <v>3770</v>
      </c>
      <c r="B1428" s="7">
        <v>45930</v>
      </c>
      <c r="C1428" t="s">
        <v>93</v>
      </c>
      <c r="D1428" t="s">
        <v>111</v>
      </c>
      <c r="E1428" t="s">
        <v>119</v>
      </c>
      <c r="F1428" s="12" t="s">
        <v>24</v>
      </c>
      <c r="G1428" t="s">
        <v>25</v>
      </c>
      <c r="H1428" t="s">
        <v>3771</v>
      </c>
      <c r="I1428" t="s">
        <v>71</v>
      </c>
      <c r="J1428" s="6">
        <v>51800</v>
      </c>
      <c r="K1428" t="s">
        <v>3</v>
      </c>
      <c r="L1428" t="s">
        <v>3767</v>
      </c>
      <c r="M1428" t="s">
        <v>3</v>
      </c>
      <c r="N1428" s="25" t="str">
        <f>TEXT(tbl_Ledger[[#This Row],[Date]],"yyyy-mm")</f>
        <v>2025-09</v>
      </c>
      <c r="O1428" s="25" t="str">
        <f>TEXT(tbl_Ledger[[#This Row],[Date]],"yyyy-mm") &amp; TRIM(tbl_Ledger[[#This Row],[Currency]])</f>
        <v>2025-09NGN</v>
      </c>
      <c r="P1428" s="25">
        <f>_xlfn.XLOOKUP(tbl_Ledger[[#This Row],[Key]], tbl_FX[Key], tbl_FX[Rate_to_NGN])</f>
        <v>1</v>
      </c>
      <c r="Q1428" s="37">
        <f>IF(tbl_Ledger[[#This Row],[Account_Type]]="Expense",-ABS(tbl_Ledger[[#This Row],[Amount]]*tbl_Ledger[[#This Row],[Rate_to_NGN]]),tbl_Ledger[[#This Row],[Amount]]*tbl_Ledger[[#This Row],[Rate_to_NGN]])</f>
        <v>51800</v>
      </c>
      <c r="R1428" s="25" t="str">
        <f>_xlfn.XLOOKUP(tbl_Ledger[[#This Row],[Account_Code]], tbl_Accounts[Account_Code], tbl_Accounts[Type])</f>
        <v>Revenue</v>
      </c>
      <c r="S1428" s="25" t="str">
        <f>_xlfn.XLOOKUP(tbl_Ledger[[#This Row],[Account_Code]], tbl_Accounts[Account_Code], tbl_Accounts[PL_Bucket])</f>
        <v>Revenue</v>
      </c>
      <c r="T1428" s="25">
        <f t="shared" si="22"/>
        <v>51800</v>
      </c>
    </row>
    <row r="1429" spans="1:20">
      <c r="A1429" t="s">
        <v>3772</v>
      </c>
      <c r="B1429" s="7">
        <v>45930</v>
      </c>
      <c r="C1429" t="s">
        <v>93</v>
      </c>
      <c r="D1429" t="s">
        <v>111</v>
      </c>
      <c r="E1429" t="s">
        <v>170</v>
      </c>
      <c r="F1429" s="12" t="s">
        <v>24</v>
      </c>
      <c r="G1429" t="s">
        <v>25</v>
      </c>
      <c r="H1429" t="s">
        <v>3773</v>
      </c>
      <c r="I1429" t="s">
        <v>71</v>
      </c>
      <c r="J1429" s="6">
        <v>53300</v>
      </c>
      <c r="K1429" t="s">
        <v>3</v>
      </c>
      <c r="L1429" t="s">
        <v>3767</v>
      </c>
      <c r="M1429" t="s">
        <v>3</v>
      </c>
      <c r="N1429" s="25" t="str">
        <f>TEXT(tbl_Ledger[[#This Row],[Date]],"yyyy-mm")</f>
        <v>2025-09</v>
      </c>
      <c r="O1429" s="25" t="str">
        <f>TEXT(tbl_Ledger[[#This Row],[Date]],"yyyy-mm") &amp; TRIM(tbl_Ledger[[#This Row],[Currency]])</f>
        <v>2025-09NGN</v>
      </c>
      <c r="P1429" s="25">
        <f>_xlfn.XLOOKUP(tbl_Ledger[[#This Row],[Key]], tbl_FX[Key], tbl_FX[Rate_to_NGN])</f>
        <v>1</v>
      </c>
      <c r="Q1429" s="37">
        <f>IF(tbl_Ledger[[#This Row],[Account_Type]]="Expense",-ABS(tbl_Ledger[[#This Row],[Amount]]*tbl_Ledger[[#This Row],[Rate_to_NGN]]),tbl_Ledger[[#This Row],[Amount]]*tbl_Ledger[[#This Row],[Rate_to_NGN]])</f>
        <v>53300</v>
      </c>
      <c r="R1429" s="25" t="str">
        <f>_xlfn.XLOOKUP(tbl_Ledger[[#This Row],[Account_Code]], tbl_Accounts[Account_Code], tbl_Accounts[Type])</f>
        <v>Revenue</v>
      </c>
      <c r="S1429" s="25" t="str">
        <f>_xlfn.XLOOKUP(tbl_Ledger[[#This Row],[Account_Code]], tbl_Accounts[Account_Code], tbl_Accounts[PL_Bucket])</f>
        <v>Revenue</v>
      </c>
      <c r="T1429" s="25">
        <f t="shared" si="22"/>
        <v>53300</v>
      </c>
    </row>
    <row r="1430" spans="1:20">
      <c r="A1430" t="s">
        <v>3774</v>
      </c>
      <c r="B1430" s="7">
        <v>45930</v>
      </c>
      <c r="C1430" t="s">
        <v>93</v>
      </c>
      <c r="D1430" t="s">
        <v>111</v>
      </c>
      <c r="E1430" t="s">
        <v>122</v>
      </c>
      <c r="F1430" s="12" t="s">
        <v>24</v>
      </c>
      <c r="G1430" t="s">
        <v>25</v>
      </c>
      <c r="H1430" t="s">
        <v>3775</v>
      </c>
      <c r="I1430" t="s">
        <v>71</v>
      </c>
      <c r="J1430" s="6">
        <v>49700</v>
      </c>
      <c r="K1430" t="s">
        <v>3</v>
      </c>
      <c r="L1430" t="s">
        <v>3776</v>
      </c>
      <c r="M1430" t="s">
        <v>3</v>
      </c>
      <c r="N1430" s="25" t="str">
        <f>TEXT(tbl_Ledger[[#This Row],[Date]],"yyyy-mm")</f>
        <v>2025-09</v>
      </c>
      <c r="O1430" s="25" t="str">
        <f>TEXT(tbl_Ledger[[#This Row],[Date]],"yyyy-mm") &amp; TRIM(tbl_Ledger[[#This Row],[Currency]])</f>
        <v>2025-09NGN</v>
      </c>
      <c r="P1430" s="25">
        <f>_xlfn.XLOOKUP(tbl_Ledger[[#This Row],[Key]], tbl_FX[Key], tbl_FX[Rate_to_NGN])</f>
        <v>1</v>
      </c>
      <c r="Q1430" s="37">
        <f>IF(tbl_Ledger[[#This Row],[Account_Type]]="Expense",-ABS(tbl_Ledger[[#This Row],[Amount]]*tbl_Ledger[[#This Row],[Rate_to_NGN]]),tbl_Ledger[[#This Row],[Amount]]*tbl_Ledger[[#This Row],[Rate_to_NGN]])</f>
        <v>49700</v>
      </c>
      <c r="R1430" s="25" t="str">
        <f>_xlfn.XLOOKUP(tbl_Ledger[[#This Row],[Account_Code]], tbl_Accounts[Account_Code], tbl_Accounts[Type])</f>
        <v>Revenue</v>
      </c>
      <c r="S1430" s="25" t="str">
        <f>_xlfn.XLOOKUP(tbl_Ledger[[#This Row],[Account_Code]], tbl_Accounts[Account_Code], tbl_Accounts[PL_Bucket])</f>
        <v>Revenue</v>
      </c>
      <c r="T1430" s="25">
        <f t="shared" si="22"/>
        <v>49700</v>
      </c>
    </row>
    <row r="1431" spans="1:20">
      <c r="A1431" t="s">
        <v>3777</v>
      </c>
      <c r="B1431" s="7">
        <v>45930</v>
      </c>
      <c r="C1431" t="s">
        <v>126</v>
      </c>
      <c r="D1431" t="s">
        <v>88</v>
      </c>
      <c r="E1431" t="s">
        <v>127</v>
      </c>
      <c r="F1431" s="12" t="s">
        <v>29</v>
      </c>
      <c r="G1431" t="s">
        <v>30</v>
      </c>
      <c r="H1431" t="s">
        <v>3778</v>
      </c>
      <c r="I1431" t="s">
        <v>71</v>
      </c>
      <c r="J1431" s="6">
        <v>53100</v>
      </c>
      <c r="K1431" t="s">
        <v>129</v>
      </c>
      <c r="L1431" t="s">
        <v>3779</v>
      </c>
      <c r="M1431" t="s">
        <v>3</v>
      </c>
      <c r="N1431" s="25" t="str">
        <f>TEXT(tbl_Ledger[[#This Row],[Date]],"yyyy-mm")</f>
        <v>2025-09</v>
      </c>
      <c r="O1431" s="25" t="str">
        <f>TEXT(tbl_Ledger[[#This Row],[Date]],"yyyy-mm") &amp; TRIM(tbl_Ledger[[#This Row],[Currency]])</f>
        <v>2025-09NGN</v>
      </c>
      <c r="P1431" s="25">
        <f>_xlfn.XLOOKUP(tbl_Ledger[[#This Row],[Key]], tbl_FX[Key], tbl_FX[Rate_to_NGN])</f>
        <v>1</v>
      </c>
      <c r="Q1431" s="37">
        <f>IF(tbl_Ledger[[#This Row],[Account_Type]]="Expense",-ABS(tbl_Ledger[[#This Row],[Amount]]*tbl_Ledger[[#This Row],[Rate_to_NGN]]),tbl_Ledger[[#This Row],[Amount]]*tbl_Ledger[[#This Row],[Rate_to_NGN]])</f>
        <v>53100</v>
      </c>
      <c r="R1431" s="25" t="str">
        <f>_xlfn.XLOOKUP(tbl_Ledger[[#This Row],[Account_Code]], tbl_Accounts[Account_Code], tbl_Accounts[Type])</f>
        <v>Revenue</v>
      </c>
      <c r="S1431" s="25" t="str">
        <f>_xlfn.XLOOKUP(tbl_Ledger[[#This Row],[Account_Code]], tbl_Accounts[Account_Code], tbl_Accounts[PL_Bucket])</f>
        <v>Revenue</v>
      </c>
      <c r="T1431" s="25">
        <f t="shared" si="22"/>
        <v>53100</v>
      </c>
    </row>
    <row r="1432" spans="1:20">
      <c r="A1432" t="s">
        <v>3780</v>
      </c>
      <c r="B1432" s="7">
        <v>45930</v>
      </c>
      <c r="C1432" t="s">
        <v>126</v>
      </c>
      <c r="D1432" t="s">
        <v>88</v>
      </c>
      <c r="E1432" t="s">
        <v>132</v>
      </c>
      <c r="F1432" s="12" t="s">
        <v>29</v>
      </c>
      <c r="G1432" t="s">
        <v>30</v>
      </c>
      <c r="H1432" t="s">
        <v>3781</v>
      </c>
      <c r="I1432" t="s">
        <v>71</v>
      </c>
      <c r="J1432" s="6">
        <v>48300</v>
      </c>
      <c r="K1432" t="s">
        <v>134</v>
      </c>
      <c r="L1432" t="s">
        <v>3779</v>
      </c>
      <c r="M1432" t="s">
        <v>3</v>
      </c>
      <c r="N1432" s="25" t="str">
        <f>TEXT(tbl_Ledger[[#This Row],[Date]],"yyyy-mm")</f>
        <v>2025-09</v>
      </c>
      <c r="O1432" s="25" t="str">
        <f>TEXT(tbl_Ledger[[#This Row],[Date]],"yyyy-mm") &amp; TRIM(tbl_Ledger[[#This Row],[Currency]])</f>
        <v>2025-09NGN</v>
      </c>
      <c r="P1432" s="25">
        <f>_xlfn.XLOOKUP(tbl_Ledger[[#This Row],[Key]], tbl_FX[Key], tbl_FX[Rate_to_NGN])</f>
        <v>1</v>
      </c>
      <c r="Q1432" s="37">
        <f>IF(tbl_Ledger[[#This Row],[Account_Type]]="Expense",-ABS(tbl_Ledger[[#This Row],[Amount]]*tbl_Ledger[[#This Row],[Rate_to_NGN]]),tbl_Ledger[[#This Row],[Amount]]*tbl_Ledger[[#This Row],[Rate_to_NGN]])</f>
        <v>48300</v>
      </c>
      <c r="R1432" s="25" t="str">
        <f>_xlfn.XLOOKUP(tbl_Ledger[[#This Row],[Account_Code]], tbl_Accounts[Account_Code], tbl_Accounts[Type])</f>
        <v>Revenue</v>
      </c>
      <c r="S1432" s="25" t="str">
        <f>_xlfn.XLOOKUP(tbl_Ledger[[#This Row],[Account_Code]], tbl_Accounts[Account_Code], tbl_Accounts[PL_Bucket])</f>
        <v>Revenue</v>
      </c>
      <c r="T1432" s="25">
        <f t="shared" si="22"/>
        <v>48300</v>
      </c>
    </row>
    <row r="1433" spans="1:20">
      <c r="A1433" t="s">
        <v>3782</v>
      </c>
      <c r="B1433" s="7">
        <v>45930</v>
      </c>
      <c r="C1433" t="s">
        <v>126</v>
      </c>
      <c r="D1433" t="s">
        <v>88</v>
      </c>
      <c r="E1433" t="s">
        <v>136</v>
      </c>
      <c r="F1433" s="12" t="s">
        <v>29</v>
      </c>
      <c r="G1433" t="s">
        <v>30</v>
      </c>
      <c r="H1433" t="s">
        <v>3783</v>
      </c>
      <c r="I1433" t="s">
        <v>72</v>
      </c>
      <c r="J1433" s="6">
        <v>31.66</v>
      </c>
      <c r="K1433" t="s">
        <v>138</v>
      </c>
      <c r="L1433" t="s">
        <v>3779</v>
      </c>
      <c r="M1433" t="s">
        <v>3</v>
      </c>
      <c r="N1433" s="25" t="str">
        <f>TEXT(tbl_Ledger[[#This Row],[Date]],"yyyy-mm")</f>
        <v>2025-09</v>
      </c>
      <c r="O1433" s="25" t="str">
        <f>TEXT(tbl_Ledger[[#This Row],[Date]],"yyyy-mm") &amp; TRIM(tbl_Ledger[[#This Row],[Currency]])</f>
        <v>2025-09USD</v>
      </c>
      <c r="P1433" s="25">
        <f>_xlfn.XLOOKUP(tbl_Ledger[[#This Row],[Key]], tbl_FX[Key], tbl_FX[Rate_to_NGN])</f>
        <v>1611</v>
      </c>
      <c r="Q1433" s="37">
        <f>IF(tbl_Ledger[[#This Row],[Account_Type]]="Expense",-ABS(tbl_Ledger[[#This Row],[Amount]]*tbl_Ledger[[#This Row],[Rate_to_NGN]]),tbl_Ledger[[#This Row],[Amount]]*tbl_Ledger[[#This Row],[Rate_to_NGN]])</f>
        <v>51004.26</v>
      </c>
      <c r="R1433" s="25" t="str">
        <f>_xlfn.XLOOKUP(tbl_Ledger[[#This Row],[Account_Code]], tbl_Accounts[Account_Code], tbl_Accounts[Type])</f>
        <v>Revenue</v>
      </c>
      <c r="S1433" s="25" t="str">
        <f>_xlfn.XLOOKUP(tbl_Ledger[[#This Row],[Account_Code]], tbl_Accounts[Account_Code], tbl_Accounts[PL_Bucket])</f>
        <v>Revenue</v>
      </c>
      <c r="T1433" s="25">
        <f t="shared" si="22"/>
        <v>51004.26</v>
      </c>
    </row>
    <row r="1434" spans="1:20">
      <c r="A1434" t="s">
        <v>3784</v>
      </c>
      <c r="B1434" s="7">
        <v>45930</v>
      </c>
      <c r="C1434" t="s">
        <v>126</v>
      </c>
      <c r="D1434" t="s">
        <v>88</v>
      </c>
      <c r="E1434" t="s">
        <v>140</v>
      </c>
      <c r="F1434" s="12" t="s">
        <v>29</v>
      </c>
      <c r="G1434" t="s">
        <v>30</v>
      </c>
      <c r="H1434" t="s">
        <v>3785</v>
      </c>
      <c r="I1434" t="s">
        <v>71</v>
      </c>
      <c r="J1434" s="6">
        <v>51300</v>
      </c>
      <c r="K1434" t="s">
        <v>3</v>
      </c>
      <c r="L1434" t="s">
        <v>3786</v>
      </c>
      <c r="M1434" t="s">
        <v>3</v>
      </c>
      <c r="N1434" s="25" t="str">
        <f>TEXT(tbl_Ledger[[#This Row],[Date]],"yyyy-mm")</f>
        <v>2025-09</v>
      </c>
      <c r="O1434" s="25" t="str">
        <f>TEXT(tbl_Ledger[[#This Row],[Date]],"yyyy-mm") &amp; TRIM(tbl_Ledger[[#This Row],[Currency]])</f>
        <v>2025-09NGN</v>
      </c>
      <c r="P1434" s="25">
        <f>_xlfn.XLOOKUP(tbl_Ledger[[#This Row],[Key]], tbl_FX[Key], tbl_FX[Rate_to_NGN])</f>
        <v>1</v>
      </c>
      <c r="Q1434" s="37">
        <f>IF(tbl_Ledger[[#This Row],[Account_Type]]="Expense",-ABS(tbl_Ledger[[#This Row],[Amount]]*tbl_Ledger[[#This Row],[Rate_to_NGN]]),tbl_Ledger[[#This Row],[Amount]]*tbl_Ledger[[#This Row],[Rate_to_NGN]])</f>
        <v>51300</v>
      </c>
      <c r="R1434" s="25" t="str">
        <f>_xlfn.XLOOKUP(tbl_Ledger[[#This Row],[Account_Code]], tbl_Accounts[Account_Code], tbl_Accounts[Type])</f>
        <v>Revenue</v>
      </c>
      <c r="S1434" s="25" t="str">
        <f>_xlfn.XLOOKUP(tbl_Ledger[[#This Row],[Account_Code]], tbl_Accounts[Account_Code], tbl_Accounts[PL_Bucket])</f>
        <v>Revenue</v>
      </c>
      <c r="T1434" s="25">
        <f t="shared" si="22"/>
        <v>51300</v>
      </c>
    </row>
    <row r="1435" spans="1:20">
      <c r="A1435" t="s">
        <v>3787</v>
      </c>
      <c r="B1435" s="7">
        <v>45930</v>
      </c>
      <c r="C1435" t="s">
        <v>93</v>
      </c>
      <c r="D1435" t="s">
        <v>94</v>
      </c>
      <c r="E1435" t="s">
        <v>95</v>
      </c>
      <c r="F1435" s="12" t="s">
        <v>31</v>
      </c>
      <c r="G1435" t="s">
        <v>32</v>
      </c>
      <c r="H1435" t="s">
        <v>3788</v>
      </c>
      <c r="I1435" t="s">
        <v>71</v>
      </c>
      <c r="J1435" s="6">
        <v>-20118</v>
      </c>
      <c r="K1435" t="s">
        <v>3</v>
      </c>
      <c r="L1435" t="s">
        <v>3789</v>
      </c>
      <c r="M1435" t="s">
        <v>3</v>
      </c>
      <c r="N1435" s="25" t="str">
        <f>TEXT(tbl_Ledger[[#This Row],[Date]],"yyyy-mm")</f>
        <v>2025-09</v>
      </c>
      <c r="O1435" s="25" t="str">
        <f>TEXT(tbl_Ledger[[#This Row],[Date]],"yyyy-mm") &amp; TRIM(tbl_Ledger[[#This Row],[Currency]])</f>
        <v>2025-09NGN</v>
      </c>
      <c r="P1435" s="25">
        <f>_xlfn.XLOOKUP(tbl_Ledger[[#This Row],[Key]], tbl_FX[Key], tbl_FX[Rate_to_NGN])</f>
        <v>1</v>
      </c>
      <c r="Q1435" s="37">
        <f>IF(tbl_Ledger[[#This Row],[Account_Type]]="Expense",-ABS(tbl_Ledger[[#This Row],[Amount]]*tbl_Ledger[[#This Row],[Rate_to_NGN]]),tbl_Ledger[[#This Row],[Amount]]*tbl_Ledger[[#This Row],[Rate_to_NGN]])</f>
        <v>-20118</v>
      </c>
      <c r="R1435" s="25" t="str">
        <f>_xlfn.XLOOKUP(tbl_Ledger[[#This Row],[Account_Code]], tbl_Accounts[Account_Code], tbl_Accounts[Type])</f>
        <v>Revenue</v>
      </c>
      <c r="S1435" s="25" t="str">
        <f>_xlfn.XLOOKUP(tbl_Ledger[[#This Row],[Account_Code]], tbl_Accounts[Account_Code], tbl_Accounts[PL_Bucket])</f>
        <v>Revenue</v>
      </c>
      <c r="T1435" s="25">
        <f t="shared" si="22"/>
        <v>20118</v>
      </c>
    </row>
    <row r="1436" spans="1:20">
      <c r="A1436" t="s">
        <v>3790</v>
      </c>
      <c r="B1436" s="7">
        <v>45930</v>
      </c>
      <c r="C1436" t="s">
        <v>87</v>
      </c>
      <c r="D1436" t="s">
        <v>111</v>
      </c>
      <c r="E1436" t="s">
        <v>3</v>
      </c>
      <c r="F1436" s="12" t="s">
        <v>36</v>
      </c>
      <c r="G1436" t="s">
        <v>37</v>
      </c>
      <c r="H1436" t="s">
        <v>2770</v>
      </c>
      <c r="I1436" t="s">
        <v>71</v>
      </c>
      <c r="J1436" s="6">
        <v>-995000</v>
      </c>
      <c r="K1436" t="s">
        <v>987</v>
      </c>
      <c r="L1436" t="s">
        <v>3791</v>
      </c>
      <c r="M1436" t="s">
        <v>3</v>
      </c>
      <c r="N1436" s="25" t="str">
        <f>TEXT(tbl_Ledger[[#This Row],[Date]],"yyyy-mm")</f>
        <v>2025-09</v>
      </c>
      <c r="O1436" s="25" t="str">
        <f>TEXT(tbl_Ledger[[#This Row],[Date]],"yyyy-mm") &amp; TRIM(tbl_Ledger[[#This Row],[Currency]])</f>
        <v>2025-09NGN</v>
      </c>
      <c r="P1436" s="25">
        <f>_xlfn.XLOOKUP(tbl_Ledger[[#This Row],[Key]], tbl_FX[Key], tbl_FX[Rate_to_NGN])</f>
        <v>1</v>
      </c>
      <c r="Q1436" s="37">
        <f>IF(tbl_Ledger[[#This Row],[Account_Type]]="Expense",-ABS(tbl_Ledger[[#This Row],[Amount]]*tbl_Ledger[[#This Row],[Rate_to_NGN]]),tbl_Ledger[[#This Row],[Amount]]*tbl_Ledger[[#This Row],[Rate_to_NGN]])</f>
        <v>-995000</v>
      </c>
      <c r="R1436" s="25" t="str">
        <f>_xlfn.XLOOKUP(tbl_Ledger[[#This Row],[Account_Code]], tbl_Accounts[Account_Code], tbl_Accounts[Type])</f>
        <v>COGS</v>
      </c>
      <c r="S1436" s="25" t="str">
        <f>_xlfn.XLOOKUP(tbl_Ledger[[#This Row],[Account_Code]], tbl_Accounts[Account_Code], tbl_Accounts[PL_Bucket])</f>
        <v>COGS</v>
      </c>
      <c r="T1436" s="25">
        <f t="shared" si="22"/>
        <v>-995000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9"/>
  <sheetViews>
    <sheetView showGridLines="0" workbookViewId="0">
      <selection activeCell="E1" sqref="E1:E1048576"/>
    </sheetView>
  </sheetViews>
  <sheetFormatPr defaultRowHeight="14.5"/>
  <cols>
    <col min="1" max="1" width="23.453125" bestFit="1" customWidth="1"/>
    <col min="2" max="2" width="21.90625" bestFit="1" customWidth="1"/>
    <col min="3" max="3" width="16.81640625" style="65" bestFit="1" customWidth="1"/>
    <col min="4" max="4" width="12.1796875" bestFit="1" customWidth="1"/>
    <col min="5" max="5" width="12.36328125" bestFit="1" customWidth="1"/>
    <col min="6" max="6" width="27.7265625" bestFit="1" customWidth="1"/>
    <col min="7" max="7" width="77.08984375" bestFit="1" customWidth="1"/>
  </cols>
  <sheetData>
    <row r="1" spans="1:7">
      <c r="A1" s="44" t="s">
        <v>3804</v>
      </c>
      <c r="B1" s="42" t="s">
        <v>76</v>
      </c>
      <c r="C1" s="61" t="s">
        <v>77</v>
      </c>
      <c r="D1" s="42" t="s">
        <v>79</v>
      </c>
      <c r="E1" s="42" t="s">
        <v>3805</v>
      </c>
      <c r="F1" s="42" t="s">
        <v>3806</v>
      </c>
      <c r="G1" s="42" t="s">
        <v>3807</v>
      </c>
    </row>
    <row r="2" spans="1:7">
      <c r="A2" s="45">
        <v>1</v>
      </c>
      <c r="B2" s="45" t="s">
        <v>1836</v>
      </c>
      <c r="C2" s="62">
        <f>_xlfn.XLOOKUP(B2,tbl_Ledger[Txn_ID],tbl_Ledger[Date])</f>
        <v>45881</v>
      </c>
      <c r="D2" s="45" t="str">
        <f>_xlfn.XLOOKUP(B2,tbl_Ledger[Txn_ID],tbl_Ledger[Brand])</f>
        <v>Zumi Mart</v>
      </c>
      <c r="E2" s="46">
        <f>_xlfn.XLOOKUP(B2,tbl_Ledger[Txn_ID],tbl_Ledger[Adjusted_Amount_NGN])</f>
        <v>-1840000</v>
      </c>
      <c r="F2" s="45" t="s">
        <v>3808</v>
      </c>
      <c r="G2" s="45" t="s">
        <v>3813</v>
      </c>
    </row>
    <row r="3" spans="1:7">
      <c r="A3" s="45">
        <v>2</v>
      </c>
      <c r="B3" s="45" t="s">
        <v>2350</v>
      </c>
      <c r="C3" s="63">
        <f>_xlfn.XLOOKUP(B3,tbl_Ledger[Txn_ID],tbl_Ledger[Date])</f>
        <v>45894</v>
      </c>
      <c r="D3" s="46" t="str">
        <f>_xlfn.XLOOKUP(B3,tbl_Ledger[Txn_ID],tbl_Ledger[Brand])</f>
        <v>Zumi Mart</v>
      </c>
      <c r="E3" s="46">
        <f>_xlfn.XLOOKUP(B3,tbl_Ledger[Txn_ID],tbl_Ledger[Adjusted_Amount_NGN])</f>
        <v>-680000</v>
      </c>
      <c r="F3" s="46" t="s">
        <v>3809</v>
      </c>
      <c r="G3" s="45" t="s">
        <v>3814</v>
      </c>
    </row>
    <row r="4" spans="1:7">
      <c r="A4" s="45">
        <v>3</v>
      </c>
      <c r="B4" s="45" t="s">
        <v>3599</v>
      </c>
      <c r="C4" s="62">
        <f>_xlfn.XLOOKUP(B4,tbl_Ledger[Txn_ID],tbl_Ledger[Date])</f>
        <v>45925</v>
      </c>
      <c r="D4" s="46" t="str">
        <f>_xlfn.XLOOKUP(B4,tbl_Ledger[Txn_ID],tbl_Ledger[Brand])</f>
        <v>Zumi Eats</v>
      </c>
      <c r="E4" s="46">
        <f>_xlfn.XLOOKUP(B4,tbl_Ledger[Txn_ID],tbl_Ledger[Adjusted_Amount_NGN])</f>
        <v>-540000</v>
      </c>
      <c r="F4" s="46" t="s">
        <v>3810</v>
      </c>
      <c r="G4" s="47" t="s">
        <v>3815</v>
      </c>
    </row>
    <row r="5" spans="1:7">
      <c r="A5" s="45">
        <v>4</v>
      </c>
      <c r="B5" s="45" t="s">
        <v>3472</v>
      </c>
      <c r="C5" s="62">
        <v>45922</v>
      </c>
      <c r="D5" s="45" t="str">
        <f>_xlfn.XLOOKUP(B5,tbl_Ledger[Txn_ID],tbl_Ledger[Brand])</f>
        <v>Zumi Eats</v>
      </c>
      <c r="E5" s="46">
        <f>_xlfn.XLOOKUP(B5,tbl_Ledger[Txn_ID],tbl_Ledger[Adjusted_Amount_NGN])</f>
        <v>-180000</v>
      </c>
      <c r="F5" s="45" t="s">
        <v>3811</v>
      </c>
      <c r="G5" s="47" t="s">
        <v>3816</v>
      </c>
    </row>
    <row r="6" spans="1:7">
      <c r="A6" s="45">
        <v>5</v>
      </c>
      <c r="B6" s="45" t="s">
        <v>86</v>
      </c>
      <c r="C6" s="62" t="s">
        <v>3882</v>
      </c>
      <c r="D6" s="46" t="str">
        <f>_xlfn.XLOOKUP(B6,tbl_Ledger[Txn_ID],tbl_Ledger[Brand])</f>
        <v>Zumi Logistics</v>
      </c>
      <c r="E6" s="46">
        <f>_xlfn.XLOOKUP(B6,tbl_Ledger[Txn_ID],tbl_Ledger[Adjusted_Amount_NGN])</f>
        <v>-240000</v>
      </c>
      <c r="F6" s="45" t="s">
        <v>3812</v>
      </c>
      <c r="G6" s="45" t="s">
        <v>3817</v>
      </c>
    </row>
    <row r="7" spans="1:7">
      <c r="A7" s="48">
        <v>6</v>
      </c>
      <c r="B7" s="48" t="s">
        <v>3822</v>
      </c>
      <c r="C7" s="64" t="s">
        <v>3818</v>
      </c>
      <c r="D7" s="48" t="s">
        <v>3819</v>
      </c>
      <c r="E7" s="49">
        <f>SUMIFS(tbl_Cleaned[Clean_Amount],tbl_Cleaned[Account_Name],"Refunds &amp; Chargebacks")</f>
        <v>-2962453</v>
      </c>
      <c r="F7" s="48" t="s">
        <v>3820</v>
      </c>
      <c r="G7" s="50" t="s">
        <v>3821</v>
      </c>
    </row>
    <row r="9" spans="1:7">
      <c r="A9" s="51" t="s">
        <v>3823</v>
      </c>
      <c r="B9" s="52"/>
      <c r="C9" s="66"/>
      <c r="D9" s="52"/>
      <c r="E9" s="51">
        <f>SUM(E2:E7)</f>
        <v>-6442453</v>
      </c>
      <c r="F9" s="52"/>
      <c r="G9" s="52"/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432"/>
  <sheetViews>
    <sheetView showGridLines="0" topLeftCell="O1" workbookViewId="0">
      <selection activeCell="V8" sqref="V8"/>
    </sheetView>
  </sheetViews>
  <sheetFormatPr defaultRowHeight="14.5"/>
  <cols>
    <col min="1" max="1" width="10" customWidth="1"/>
    <col min="3" max="3" width="15.453125" customWidth="1"/>
    <col min="4" max="4" width="12.1796875" bestFit="1" customWidth="1"/>
    <col min="5" max="5" width="12.90625" bestFit="1" customWidth="1"/>
    <col min="6" max="6" width="14.90625" customWidth="1"/>
    <col min="7" max="7" width="15.54296875" customWidth="1"/>
    <col min="8" max="8" width="12.36328125" customWidth="1"/>
    <col min="9" max="9" width="10.26953125" customWidth="1"/>
    <col min="10" max="10" width="9.6328125" customWidth="1"/>
    <col min="11" max="11" width="21" customWidth="1"/>
    <col min="12" max="12" width="14.7265625" customWidth="1"/>
    <col min="15" max="15" width="11.26953125" bestFit="1" customWidth="1"/>
    <col min="16" max="16" width="14.26953125" customWidth="1"/>
    <col min="17" max="17" width="23" customWidth="1"/>
    <col min="18" max="18" width="14.6328125" customWidth="1"/>
    <col min="19" max="19" width="11.453125" customWidth="1"/>
    <col min="20" max="20" width="15.26953125" customWidth="1"/>
  </cols>
  <sheetData>
    <row r="1" spans="1:20">
      <c r="A1" s="10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20</v>
      </c>
      <c r="G1" t="s">
        <v>21</v>
      </c>
      <c r="H1" t="s">
        <v>81</v>
      </c>
      <c r="I1" t="s">
        <v>68</v>
      </c>
      <c r="J1" t="s">
        <v>82</v>
      </c>
      <c r="K1" t="s">
        <v>83</v>
      </c>
      <c r="L1" t="s">
        <v>84</v>
      </c>
      <c r="M1" t="s">
        <v>85</v>
      </c>
      <c r="N1" t="s">
        <v>67</v>
      </c>
      <c r="O1" s="25" t="s">
        <v>3800</v>
      </c>
      <c r="P1" s="25" t="s">
        <v>69</v>
      </c>
      <c r="Q1" s="25" t="s">
        <v>3801</v>
      </c>
      <c r="R1" s="25" t="s">
        <v>3802</v>
      </c>
      <c r="S1" s="25" t="s">
        <v>23</v>
      </c>
      <c r="T1" s="25" t="s">
        <v>3803</v>
      </c>
    </row>
    <row r="2" spans="1:20">
      <c r="A2" t="s">
        <v>92</v>
      </c>
      <c r="B2">
        <v>45839</v>
      </c>
      <c r="C2" t="s">
        <v>93</v>
      </c>
      <c r="D2" t="s">
        <v>94</v>
      </c>
      <c r="E2" t="s">
        <v>95</v>
      </c>
      <c r="F2">
        <v>4000</v>
      </c>
      <c r="G2" t="s">
        <v>25</v>
      </c>
      <c r="H2" t="s">
        <v>96</v>
      </c>
      <c r="I2" t="s">
        <v>71</v>
      </c>
      <c r="J2" s="6">
        <v>27600</v>
      </c>
      <c r="K2" t="s">
        <v>3</v>
      </c>
      <c r="L2" t="s">
        <v>97</v>
      </c>
      <c r="M2" t="s">
        <v>3</v>
      </c>
      <c r="N2" t="s">
        <v>70</v>
      </c>
      <c r="O2" s="25" t="s">
        <v>3824</v>
      </c>
      <c r="P2" s="25">
        <v>1</v>
      </c>
      <c r="Q2" s="25">
        <v>27600</v>
      </c>
      <c r="R2" s="25" t="s">
        <v>26</v>
      </c>
      <c r="S2" s="25" t="s">
        <v>26</v>
      </c>
      <c r="T2" s="25">
        <f t="shared" ref="T2:T65" si="0">IF(AND(S2="Revenue",G2&lt;&gt;"Refunds &amp; Chargebacks"),ABS(Q2),-ABS(Q2))</f>
        <v>27600</v>
      </c>
    </row>
    <row r="3" spans="1:20">
      <c r="A3" t="s">
        <v>98</v>
      </c>
      <c r="B3">
        <v>45839</v>
      </c>
      <c r="C3" t="s">
        <v>93</v>
      </c>
      <c r="D3" t="s">
        <v>94</v>
      </c>
      <c r="E3" t="s">
        <v>99</v>
      </c>
      <c r="F3">
        <v>4000</v>
      </c>
      <c r="G3" t="s">
        <v>25</v>
      </c>
      <c r="H3" t="s">
        <v>100</v>
      </c>
      <c r="I3" t="s">
        <v>71</v>
      </c>
      <c r="J3">
        <v>29800</v>
      </c>
      <c r="K3" t="s">
        <v>3</v>
      </c>
      <c r="L3" t="s">
        <v>101</v>
      </c>
      <c r="M3" t="s">
        <v>3</v>
      </c>
      <c r="N3" t="s">
        <v>70</v>
      </c>
      <c r="O3" s="25" t="s">
        <v>3824</v>
      </c>
      <c r="P3" s="25">
        <v>1</v>
      </c>
      <c r="Q3" s="25">
        <v>29800</v>
      </c>
      <c r="R3" s="25" t="s">
        <v>26</v>
      </c>
      <c r="S3" s="25" t="s">
        <v>26</v>
      </c>
      <c r="T3" s="25">
        <f t="shared" si="0"/>
        <v>29800</v>
      </c>
    </row>
    <row r="4" spans="1:20">
      <c r="A4" t="s">
        <v>102</v>
      </c>
      <c r="B4">
        <v>45839</v>
      </c>
      <c r="C4" t="s">
        <v>93</v>
      </c>
      <c r="D4" t="s">
        <v>94</v>
      </c>
      <c r="E4" t="s">
        <v>103</v>
      </c>
      <c r="F4">
        <v>4000</v>
      </c>
      <c r="G4" t="s">
        <v>25</v>
      </c>
      <c r="H4" t="s">
        <v>104</v>
      </c>
      <c r="I4" t="s">
        <v>71</v>
      </c>
      <c r="J4">
        <v>29500</v>
      </c>
      <c r="K4" t="s">
        <v>3</v>
      </c>
      <c r="L4" t="s">
        <v>105</v>
      </c>
      <c r="M4" t="s">
        <v>3</v>
      </c>
      <c r="N4" t="s">
        <v>70</v>
      </c>
      <c r="O4" s="25" t="s">
        <v>3824</v>
      </c>
      <c r="P4" s="25">
        <v>1</v>
      </c>
      <c r="Q4" s="25">
        <v>29500</v>
      </c>
      <c r="R4" s="25" t="s">
        <v>26</v>
      </c>
      <c r="S4" s="25" t="s">
        <v>26</v>
      </c>
      <c r="T4" s="25">
        <f t="shared" si="0"/>
        <v>29500</v>
      </c>
    </row>
    <row r="5" spans="1:20">
      <c r="A5" t="s">
        <v>106</v>
      </c>
      <c r="B5">
        <v>45839</v>
      </c>
      <c r="C5" t="s">
        <v>93</v>
      </c>
      <c r="D5" t="s">
        <v>94</v>
      </c>
      <c r="E5" t="s">
        <v>107</v>
      </c>
      <c r="F5">
        <v>4000</v>
      </c>
      <c r="G5" t="s">
        <v>25</v>
      </c>
      <c r="H5" t="s">
        <v>108</v>
      </c>
      <c r="I5" t="s">
        <v>71</v>
      </c>
      <c r="J5">
        <v>31400</v>
      </c>
      <c r="K5" t="s">
        <v>3</v>
      </c>
      <c r="L5" t="s">
        <v>109</v>
      </c>
      <c r="M5" t="s">
        <v>3</v>
      </c>
      <c r="N5" t="s">
        <v>70</v>
      </c>
      <c r="O5" s="25" t="s">
        <v>3824</v>
      </c>
      <c r="P5" s="25">
        <v>1</v>
      </c>
      <c r="Q5" s="25">
        <v>31400</v>
      </c>
      <c r="R5" s="25" t="s">
        <v>26</v>
      </c>
      <c r="S5" s="25" t="s">
        <v>26</v>
      </c>
      <c r="T5" s="25">
        <f t="shared" si="0"/>
        <v>31400</v>
      </c>
    </row>
    <row r="6" spans="1:20">
      <c r="A6" t="s">
        <v>110</v>
      </c>
      <c r="B6">
        <v>45839</v>
      </c>
      <c r="C6" t="s">
        <v>93</v>
      </c>
      <c r="D6" t="s">
        <v>111</v>
      </c>
      <c r="E6" t="s">
        <v>112</v>
      </c>
      <c r="F6">
        <v>4000</v>
      </c>
      <c r="G6" t="s">
        <v>25</v>
      </c>
      <c r="H6" t="s">
        <v>113</v>
      </c>
      <c r="I6" t="s">
        <v>71</v>
      </c>
      <c r="J6">
        <v>48600</v>
      </c>
      <c r="K6" t="s">
        <v>3</v>
      </c>
      <c r="L6" t="s">
        <v>114</v>
      </c>
      <c r="M6" t="s">
        <v>3</v>
      </c>
      <c r="N6" t="s">
        <v>70</v>
      </c>
      <c r="O6" s="25" t="s">
        <v>3824</v>
      </c>
      <c r="P6" s="25">
        <v>1</v>
      </c>
      <c r="Q6" s="25">
        <v>48600</v>
      </c>
      <c r="R6" s="25" t="s">
        <v>26</v>
      </c>
      <c r="S6" s="25" t="s">
        <v>26</v>
      </c>
      <c r="T6" s="25">
        <f t="shared" si="0"/>
        <v>48600</v>
      </c>
    </row>
    <row r="7" spans="1:20">
      <c r="A7" t="s">
        <v>115</v>
      </c>
      <c r="B7">
        <v>45839</v>
      </c>
      <c r="C7" t="s">
        <v>93</v>
      </c>
      <c r="D7" t="s">
        <v>111</v>
      </c>
      <c r="E7" t="s">
        <v>116</v>
      </c>
      <c r="F7">
        <v>4000</v>
      </c>
      <c r="G7" t="s">
        <v>25</v>
      </c>
      <c r="H7" t="s">
        <v>117</v>
      </c>
      <c r="I7" t="s">
        <v>71</v>
      </c>
      <c r="J7">
        <v>45700</v>
      </c>
      <c r="K7" t="s">
        <v>3</v>
      </c>
      <c r="L7" t="s">
        <v>114</v>
      </c>
      <c r="M7" t="s">
        <v>3</v>
      </c>
      <c r="N7" t="s">
        <v>70</v>
      </c>
      <c r="O7" s="25" t="s">
        <v>3824</v>
      </c>
      <c r="P7" s="25">
        <v>1</v>
      </c>
      <c r="Q7" s="25">
        <v>45700</v>
      </c>
      <c r="R7" s="25" t="s">
        <v>26</v>
      </c>
      <c r="S7" s="25" t="s">
        <v>26</v>
      </c>
      <c r="T7" s="25">
        <f t="shared" si="0"/>
        <v>45700</v>
      </c>
    </row>
    <row r="8" spans="1:20">
      <c r="A8" t="s">
        <v>118</v>
      </c>
      <c r="B8">
        <v>45839</v>
      </c>
      <c r="C8" t="s">
        <v>93</v>
      </c>
      <c r="D8" t="s">
        <v>111</v>
      </c>
      <c r="E8" t="s">
        <v>119</v>
      </c>
      <c r="F8">
        <v>4000</v>
      </c>
      <c r="G8" t="s">
        <v>25</v>
      </c>
      <c r="H8" t="s">
        <v>120</v>
      </c>
      <c r="I8" t="s">
        <v>71</v>
      </c>
      <c r="J8">
        <v>46300</v>
      </c>
      <c r="K8" t="s">
        <v>3</v>
      </c>
      <c r="L8" t="s">
        <v>114</v>
      </c>
      <c r="M8" t="s">
        <v>3</v>
      </c>
      <c r="N8" t="s">
        <v>70</v>
      </c>
      <c r="O8" s="25" t="s">
        <v>3824</v>
      </c>
      <c r="P8" s="25">
        <v>1</v>
      </c>
      <c r="Q8" s="25">
        <v>46300</v>
      </c>
      <c r="R8" s="25" t="s">
        <v>26</v>
      </c>
      <c r="S8" s="25" t="s">
        <v>26</v>
      </c>
      <c r="T8" s="25">
        <f t="shared" si="0"/>
        <v>46300</v>
      </c>
    </row>
    <row r="9" spans="1:20">
      <c r="A9" t="s">
        <v>121</v>
      </c>
      <c r="B9">
        <v>45839</v>
      </c>
      <c r="C9" t="s">
        <v>93</v>
      </c>
      <c r="D9" t="s">
        <v>111</v>
      </c>
      <c r="E9" t="s">
        <v>122</v>
      </c>
      <c r="F9">
        <v>4000</v>
      </c>
      <c r="G9" t="s">
        <v>25</v>
      </c>
      <c r="H9" t="s">
        <v>123</v>
      </c>
      <c r="I9" t="s">
        <v>71</v>
      </c>
      <c r="J9">
        <v>49000</v>
      </c>
      <c r="K9" t="s">
        <v>3</v>
      </c>
      <c r="L9" t="s">
        <v>124</v>
      </c>
      <c r="M9" t="s">
        <v>3</v>
      </c>
      <c r="N9" t="s">
        <v>70</v>
      </c>
      <c r="O9" s="25" t="s">
        <v>3824</v>
      </c>
      <c r="P9" s="25">
        <v>1</v>
      </c>
      <c r="Q9" s="25">
        <v>49000</v>
      </c>
      <c r="R9" s="25" t="s">
        <v>26</v>
      </c>
      <c r="S9" s="25" t="s">
        <v>26</v>
      </c>
      <c r="T9" s="25">
        <f t="shared" si="0"/>
        <v>49000</v>
      </c>
    </row>
    <row r="10" spans="1:20">
      <c r="A10" t="s">
        <v>125</v>
      </c>
      <c r="B10">
        <v>45839</v>
      </c>
      <c r="C10" t="s">
        <v>126</v>
      </c>
      <c r="D10" t="s">
        <v>88</v>
      </c>
      <c r="E10" t="s">
        <v>127</v>
      </c>
      <c r="F10">
        <v>4020</v>
      </c>
      <c r="G10" t="s">
        <v>30</v>
      </c>
      <c r="H10" t="s">
        <v>128</v>
      </c>
      <c r="I10" t="s">
        <v>71</v>
      </c>
      <c r="J10">
        <v>41900</v>
      </c>
      <c r="K10" t="s">
        <v>129</v>
      </c>
      <c r="L10" t="s">
        <v>130</v>
      </c>
      <c r="M10" t="s">
        <v>3</v>
      </c>
      <c r="N10" t="s">
        <v>70</v>
      </c>
      <c r="O10" s="25" t="s">
        <v>3824</v>
      </c>
      <c r="P10" s="25">
        <v>1</v>
      </c>
      <c r="Q10" s="25">
        <v>41900</v>
      </c>
      <c r="R10" s="25" t="s">
        <v>26</v>
      </c>
      <c r="S10" s="25" t="s">
        <v>26</v>
      </c>
      <c r="T10" s="25">
        <f t="shared" si="0"/>
        <v>41900</v>
      </c>
    </row>
    <row r="11" spans="1:20">
      <c r="A11" t="s">
        <v>131</v>
      </c>
      <c r="B11">
        <v>45839</v>
      </c>
      <c r="C11" t="s">
        <v>126</v>
      </c>
      <c r="D11" t="s">
        <v>88</v>
      </c>
      <c r="E11" t="s">
        <v>132</v>
      </c>
      <c r="F11">
        <v>4020</v>
      </c>
      <c r="G11" t="s">
        <v>30</v>
      </c>
      <c r="H11" t="s">
        <v>133</v>
      </c>
      <c r="I11" t="s">
        <v>72</v>
      </c>
      <c r="J11">
        <v>28.04</v>
      </c>
      <c r="K11" t="s">
        <v>134</v>
      </c>
      <c r="L11" t="s">
        <v>130</v>
      </c>
      <c r="M11" t="s">
        <v>3</v>
      </c>
      <c r="N11" t="s">
        <v>70</v>
      </c>
      <c r="O11" s="25" t="s">
        <v>3825</v>
      </c>
      <c r="P11" s="25">
        <v>1530</v>
      </c>
      <c r="Q11" s="25">
        <v>42901.2</v>
      </c>
      <c r="R11" s="25" t="s">
        <v>26</v>
      </c>
      <c r="S11" s="25" t="s">
        <v>26</v>
      </c>
      <c r="T11" s="25">
        <f t="shared" si="0"/>
        <v>42901.2</v>
      </c>
    </row>
    <row r="12" spans="1:20">
      <c r="A12" t="s">
        <v>135</v>
      </c>
      <c r="B12">
        <v>45839</v>
      </c>
      <c r="C12" t="s">
        <v>126</v>
      </c>
      <c r="D12" t="s">
        <v>88</v>
      </c>
      <c r="E12" t="s">
        <v>136</v>
      </c>
      <c r="F12">
        <v>4020</v>
      </c>
      <c r="G12" t="s">
        <v>30</v>
      </c>
      <c r="H12" t="s">
        <v>137</v>
      </c>
      <c r="I12" t="s">
        <v>72</v>
      </c>
      <c r="J12">
        <v>28.95</v>
      </c>
      <c r="K12" t="s">
        <v>138</v>
      </c>
      <c r="L12" t="s">
        <v>130</v>
      </c>
      <c r="M12" t="s">
        <v>3</v>
      </c>
      <c r="N12" t="s">
        <v>70</v>
      </c>
      <c r="O12" s="25" t="s">
        <v>3825</v>
      </c>
      <c r="P12" s="25">
        <v>1530</v>
      </c>
      <c r="Q12" s="25">
        <v>44293.5</v>
      </c>
      <c r="R12" s="25" t="s">
        <v>26</v>
      </c>
      <c r="S12" s="25" t="s">
        <v>26</v>
      </c>
      <c r="T12" s="25">
        <f t="shared" si="0"/>
        <v>44293.5</v>
      </c>
    </row>
    <row r="13" spans="1:20">
      <c r="A13" t="s">
        <v>139</v>
      </c>
      <c r="B13">
        <v>45839</v>
      </c>
      <c r="C13" t="s">
        <v>126</v>
      </c>
      <c r="D13" t="s">
        <v>88</v>
      </c>
      <c r="E13" t="s">
        <v>140</v>
      </c>
      <c r="F13">
        <v>4020</v>
      </c>
      <c r="G13" t="s">
        <v>30</v>
      </c>
      <c r="H13" t="s">
        <v>141</v>
      </c>
      <c r="I13" t="s">
        <v>71</v>
      </c>
      <c r="J13">
        <v>47700</v>
      </c>
      <c r="K13" t="s">
        <v>3</v>
      </c>
      <c r="L13" t="s">
        <v>142</v>
      </c>
      <c r="M13" t="s">
        <v>3</v>
      </c>
      <c r="N13" t="s">
        <v>70</v>
      </c>
      <c r="O13" s="25" t="s">
        <v>3824</v>
      </c>
      <c r="P13" s="25">
        <v>1</v>
      </c>
      <c r="Q13" s="25">
        <v>47700</v>
      </c>
      <c r="R13" s="25" t="s">
        <v>26</v>
      </c>
      <c r="S13" s="25" t="s">
        <v>26</v>
      </c>
      <c r="T13" s="25">
        <f t="shared" si="0"/>
        <v>47700</v>
      </c>
    </row>
    <row r="14" spans="1:20">
      <c r="A14" t="s">
        <v>143</v>
      </c>
      <c r="B14">
        <v>45839</v>
      </c>
      <c r="C14" t="s">
        <v>87</v>
      </c>
      <c r="D14" t="s">
        <v>111</v>
      </c>
      <c r="E14" t="s">
        <v>3</v>
      </c>
      <c r="F14">
        <v>5010</v>
      </c>
      <c r="G14" t="s">
        <v>37</v>
      </c>
      <c r="H14" t="s">
        <v>144</v>
      </c>
      <c r="I14" t="s">
        <v>71</v>
      </c>
      <c r="J14">
        <v>-1691000</v>
      </c>
      <c r="K14" t="s">
        <v>145</v>
      </c>
      <c r="L14" t="s">
        <v>146</v>
      </c>
      <c r="M14" t="s">
        <v>3</v>
      </c>
      <c r="N14" t="s">
        <v>70</v>
      </c>
      <c r="O14" s="25" t="s">
        <v>3824</v>
      </c>
      <c r="P14" s="25">
        <v>1</v>
      </c>
      <c r="Q14" s="25">
        <v>-1691000</v>
      </c>
      <c r="R14" s="25" t="s">
        <v>35</v>
      </c>
      <c r="S14" s="25" t="s">
        <v>35</v>
      </c>
      <c r="T14" s="25">
        <f t="shared" si="0"/>
        <v>-1691000</v>
      </c>
    </row>
    <row r="15" spans="1:20">
      <c r="A15" t="s">
        <v>147</v>
      </c>
      <c r="B15">
        <v>45839</v>
      </c>
      <c r="C15" t="s">
        <v>87</v>
      </c>
      <c r="D15" t="s">
        <v>88</v>
      </c>
      <c r="E15" t="s">
        <v>3</v>
      </c>
      <c r="F15">
        <v>5030</v>
      </c>
      <c r="G15" t="s">
        <v>41</v>
      </c>
      <c r="H15" t="s">
        <v>148</v>
      </c>
      <c r="I15" t="s">
        <v>71</v>
      </c>
      <c r="J15">
        <v>-522000</v>
      </c>
      <c r="K15" t="s">
        <v>90</v>
      </c>
      <c r="L15" t="s">
        <v>149</v>
      </c>
      <c r="M15" t="s">
        <v>3</v>
      </c>
      <c r="N15" t="s">
        <v>70</v>
      </c>
      <c r="O15" s="25" t="s">
        <v>3824</v>
      </c>
      <c r="P15" s="25">
        <v>1</v>
      </c>
      <c r="Q15" s="25">
        <v>-522000</v>
      </c>
      <c r="R15" s="25" t="s">
        <v>35</v>
      </c>
      <c r="S15" s="25" t="s">
        <v>35</v>
      </c>
      <c r="T15" s="25">
        <f t="shared" si="0"/>
        <v>-522000</v>
      </c>
    </row>
    <row r="16" spans="1:20">
      <c r="A16" t="s">
        <v>150</v>
      </c>
      <c r="B16">
        <v>45840</v>
      </c>
      <c r="C16" t="s">
        <v>93</v>
      </c>
      <c r="D16" t="s">
        <v>94</v>
      </c>
      <c r="E16" t="s">
        <v>95</v>
      </c>
      <c r="F16">
        <v>4000</v>
      </c>
      <c r="G16" t="s">
        <v>25</v>
      </c>
      <c r="H16" t="s">
        <v>151</v>
      </c>
      <c r="I16" t="s">
        <v>71</v>
      </c>
      <c r="J16">
        <v>31500</v>
      </c>
      <c r="K16" t="s">
        <v>3</v>
      </c>
      <c r="L16" t="s">
        <v>152</v>
      </c>
      <c r="M16" t="s">
        <v>3</v>
      </c>
      <c r="N16" t="s">
        <v>70</v>
      </c>
      <c r="O16" s="25" t="s">
        <v>3824</v>
      </c>
      <c r="P16" s="25">
        <v>1</v>
      </c>
      <c r="Q16" s="25">
        <v>31500</v>
      </c>
      <c r="R16" s="25" t="s">
        <v>26</v>
      </c>
      <c r="S16" s="25" t="s">
        <v>26</v>
      </c>
      <c r="T16" s="25">
        <f t="shared" si="0"/>
        <v>31500</v>
      </c>
    </row>
    <row r="17" spans="1:20">
      <c r="A17" t="s">
        <v>153</v>
      </c>
      <c r="B17">
        <v>45840</v>
      </c>
      <c r="C17" t="s">
        <v>93</v>
      </c>
      <c r="D17" t="s">
        <v>94</v>
      </c>
      <c r="E17" t="s">
        <v>99</v>
      </c>
      <c r="F17">
        <v>4000</v>
      </c>
      <c r="G17" t="s">
        <v>25</v>
      </c>
      <c r="H17" t="s">
        <v>154</v>
      </c>
      <c r="I17" t="s">
        <v>71</v>
      </c>
      <c r="J17">
        <v>27600</v>
      </c>
      <c r="K17" t="s">
        <v>3</v>
      </c>
      <c r="L17" t="s">
        <v>155</v>
      </c>
      <c r="M17" t="s">
        <v>3</v>
      </c>
      <c r="N17" t="s">
        <v>70</v>
      </c>
      <c r="O17" s="25" t="s">
        <v>3824</v>
      </c>
      <c r="P17" s="25">
        <v>1</v>
      </c>
      <c r="Q17" s="25">
        <v>27600</v>
      </c>
      <c r="R17" s="25" t="s">
        <v>26</v>
      </c>
      <c r="S17" s="25" t="s">
        <v>26</v>
      </c>
      <c r="T17" s="25">
        <f t="shared" si="0"/>
        <v>27600</v>
      </c>
    </row>
    <row r="18" spans="1:20">
      <c r="A18" t="s">
        <v>156</v>
      </c>
      <c r="B18">
        <v>45840</v>
      </c>
      <c r="C18" t="s">
        <v>93</v>
      </c>
      <c r="D18" t="s">
        <v>94</v>
      </c>
      <c r="E18" t="s">
        <v>103</v>
      </c>
      <c r="F18">
        <v>4000</v>
      </c>
      <c r="G18" t="s">
        <v>25</v>
      </c>
      <c r="H18" t="s">
        <v>157</v>
      </c>
      <c r="I18" t="s">
        <v>71</v>
      </c>
      <c r="J18">
        <v>27700</v>
      </c>
      <c r="K18" t="s">
        <v>3</v>
      </c>
      <c r="L18" t="s">
        <v>158</v>
      </c>
      <c r="M18" t="s">
        <v>3</v>
      </c>
      <c r="N18" t="s">
        <v>70</v>
      </c>
      <c r="O18" s="25" t="s">
        <v>3824</v>
      </c>
      <c r="P18" s="25">
        <v>1</v>
      </c>
      <c r="Q18" s="25">
        <v>27700</v>
      </c>
      <c r="R18" s="25" t="s">
        <v>26</v>
      </c>
      <c r="S18" s="25" t="s">
        <v>26</v>
      </c>
      <c r="T18" s="25">
        <f t="shared" si="0"/>
        <v>27700</v>
      </c>
    </row>
    <row r="19" spans="1:20">
      <c r="A19" t="s">
        <v>159</v>
      </c>
      <c r="B19">
        <v>45840</v>
      </c>
      <c r="C19" t="s">
        <v>93</v>
      </c>
      <c r="D19" t="s">
        <v>94</v>
      </c>
      <c r="E19" t="s">
        <v>160</v>
      </c>
      <c r="F19">
        <v>4000</v>
      </c>
      <c r="G19" t="s">
        <v>25</v>
      </c>
      <c r="H19" t="s">
        <v>161</v>
      </c>
      <c r="I19" t="s">
        <v>71</v>
      </c>
      <c r="J19">
        <v>27000</v>
      </c>
      <c r="K19" t="s">
        <v>3</v>
      </c>
      <c r="L19" t="s">
        <v>158</v>
      </c>
      <c r="M19" t="s">
        <v>3</v>
      </c>
      <c r="N19" t="s">
        <v>70</v>
      </c>
      <c r="O19" s="25" t="s">
        <v>3824</v>
      </c>
      <c r="P19" s="25">
        <v>1</v>
      </c>
      <c r="Q19" s="25">
        <v>27000</v>
      </c>
      <c r="R19" s="25" t="s">
        <v>26</v>
      </c>
      <c r="S19" s="25" t="s">
        <v>26</v>
      </c>
      <c r="T19" s="25">
        <f t="shared" si="0"/>
        <v>27000</v>
      </c>
    </row>
    <row r="20" spans="1:20">
      <c r="A20" t="s">
        <v>162</v>
      </c>
      <c r="B20">
        <v>45840</v>
      </c>
      <c r="C20" t="s">
        <v>93</v>
      </c>
      <c r="D20" t="s">
        <v>111</v>
      </c>
      <c r="E20" t="s">
        <v>112</v>
      </c>
      <c r="F20">
        <v>4000</v>
      </c>
      <c r="G20" t="s">
        <v>25</v>
      </c>
      <c r="H20" t="s">
        <v>163</v>
      </c>
      <c r="I20" t="s">
        <v>71</v>
      </c>
      <c r="J20">
        <v>50900</v>
      </c>
      <c r="K20" t="s">
        <v>3</v>
      </c>
      <c r="L20" t="s">
        <v>164</v>
      </c>
      <c r="M20" t="s">
        <v>3</v>
      </c>
      <c r="N20" t="s">
        <v>70</v>
      </c>
      <c r="O20" s="25" t="s">
        <v>3824</v>
      </c>
      <c r="P20" s="25">
        <v>1</v>
      </c>
      <c r="Q20" s="25">
        <v>50900</v>
      </c>
      <c r="R20" s="25" t="s">
        <v>26</v>
      </c>
      <c r="S20" s="25" t="s">
        <v>26</v>
      </c>
      <c r="T20" s="25">
        <f t="shared" si="0"/>
        <v>50900</v>
      </c>
    </row>
    <row r="21" spans="1:20">
      <c r="A21" t="s">
        <v>165</v>
      </c>
      <c r="B21">
        <v>45840</v>
      </c>
      <c r="C21" t="s">
        <v>93</v>
      </c>
      <c r="D21" t="s">
        <v>111</v>
      </c>
      <c r="E21" t="s">
        <v>116</v>
      </c>
      <c r="F21">
        <v>4000</v>
      </c>
      <c r="G21" t="s">
        <v>25</v>
      </c>
      <c r="H21" t="s">
        <v>166</v>
      </c>
      <c r="I21" t="s">
        <v>71</v>
      </c>
      <c r="J21">
        <v>45500</v>
      </c>
      <c r="K21" t="s">
        <v>3</v>
      </c>
      <c r="L21" t="s">
        <v>164</v>
      </c>
      <c r="M21" t="s">
        <v>3</v>
      </c>
      <c r="N21" t="s">
        <v>70</v>
      </c>
      <c r="O21" s="25" t="s">
        <v>3824</v>
      </c>
      <c r="P21" s="25">
        <v>1</v>
      </c>
      <c r="Q21" s="25">
        <v>45500</v>
      </c>
      <c r="R21" s="25" t="s">
        <v>26</v>
      </c>
      <c r="S21" s="25" t="s">
        <v>26</v>
      </c>
      <c r="T21" s="25">
        <f t="shared" si="0"/>
        <v>45500</v>
      </c>
    </row>
    <row r="22" spans="1:20">
      <c r="A22" t="s">
        <v>167</v>
      </c>
      <c r="B22">
        <v>45840</v>
      </c>
      <c r="C22" t="s">
        <v>93</v>
      </c>
      <c r="D22" t="s">
        <v>111</v>
      </c>
      <c r="E22" t="s">
        <v>119</v>
      </c>
      <c r="F22">
        <v>4000</v>
      </c>
      <c r="G22" t="s">
        <v>25</v>
      </c>
      <c r="H22" t="s">
        <v>168</v>
      </c>
      <c r="I22" t="s">
        <v>71</v>
      </c>
      <c r="J22">
        <v>48200</v>
      </c>
      <c r="K22" t="s">
        <v>3</v>
      </c>
      <c r="L22" t="s">
        <v>164</v>
      </c>
      <c r="M22" t="s">
        <v>3</v>
      </c>
      <c r="N22" t="s">
        <v>70</v>
      </c>
      <c r="O22" s="25" t="s">
        <v>3824</v>
      </c>
      <c r="P22" s="25">
        <v>1</v>
      </c>
      <c r="Q22" s="25">
        <v>48200</v>
      </c>
      <c r="R22" s="25" t="s">
        <v>26</v>
      </c>
      <c r="S22" s="25" t="s">
        <v>26</v>
      </c>
      <c r="T22" s="25">
        <f t="shared" si="0"/>
        <v>48200</v>
      </c>
    </row>
    <row r="23" spans="1:20">
      <c r="A23" t="s">
        <v>169</v>
      </c>
      <c r="B23">
        <v>45840</v>
      </c>
      <c r="C23" t="s">
        <v>93</v>
      </c>
      <c r="D23" t="s">
        <v>111</v>
      </c>
      <c r="E23" t="s">
        <v>170</v>
      </c>
      <c r="F23">
        <v>4000</v>
      </c>
      <c r="G23" t="s">
        <v>25</v>
      </c>
      <c r="H23" t="s">
        <v>171</v>
      </c>
      <c r="I23" t="s">
        <v>71</v>
      </c>
      <c r="J23">
        <v>46900</v>
      </c>
      <c r="K23" t="s">
        <v>3</v>
      </c>
      <c r="L23" t="s">
        <v>164</v>
      </c>
      <c r="M23" t="s">
        <v>3</v>
      </c>
      <c r="N23" t="s">
        <v>70</v>
      </c>
      <c r="O23" s="25" t="s">
        <v>3824</v>
      </c>
      <c r="P23" s="25">
        <v>1</v>
      </c>
      <c r="Q23" s="25">
        <v>46900</v>
      </c>
      <c r="R23" s="25" t="s">
        <v>26</v>
      </c>
      <c r="S23" s="25" t="s">
        <v>26</v>
      </c>
      <c r="T23" s="25">
        <f t="shared" si="0"/>
        <v>46900</v>
      </c>
    </row>
    <row r="24" spans="1:20">
      <c r="A24" t="s">
        <v>172</v>
      </c>
      <c r="B24">
        <v>45840</v>
      </c>
      <c r="C24" t="s">
        <v>93</v>
      </c>
      <c r="D24" t="s">
        <v>111</v>
      </c>
      <c r="E24" t="s">
        <v>122</v>
      </c>
      <c r="F24">
        <v>4000</v>
      </c>
      <c r="G24" t="s">
        <v>25</v>
      </c>
      <c r="H24" t="s">
        <v>173</v>
      </c>
      <c r="I24" t="s">
        <v>71</v>
      </c>
      <c r="J24">
        <v>49800</v>
      </c>
      <c r="K24" t="s">
        <v>3</v>
      </c>
      <c r="L24" t="s">
        <v>174</v>
      </c>
      <c r="M24" t="s">
        <v>3</v>
      </c>
      <c r="N24" t="s">
        <v>70</v>
      </c>
      <c r="O24" s="25" t="s">
        <v>3824</v>
      </c>
      <c r="P24" s="25">
        <v>1</v>
      </c>
      <c r="Q24" s="25">
        <v>49800</v>
      </c>
      <c r="R24" s="25" t="s">
        <v>26</v>
      </c>
      <c r="S24" s="25" t="s">
        <v>26</v>
      </c>
      <c r="T24" s="25">
        <f t="shared" si="0"/>
        <v>49800</v>
      </c>
    </row>
    <row r="25" spans="1:20">
      <c r="A25" t="s">
        <v>175</v>
      </c>
      <c r="B25">
        <v>45840</v>
      </c>
      <c r="C25" t="s">
        <v>126</v>
      </c>
      <c r="D25" t="s">
        <v>88</v>
      </c>
      <c r="E25" t="s">
        <v>127</v>
      </c>
      <c r="F25">
        <v>4020</v>
      </c>
      <c r="G25" t="s">
        <v>30</v>
      </c>
      <c r="H25" t="s">
        <v>176</v>
      </c>
      <c r="I25" t="s">
        <v>72</v>
      </c>
      <c r="J25">
        <v>28.56</v>
      </c>
      <c r="K25" t="s">
        <v>129</v>
      </c>
      <c r="L25" t="s">
        <v>177</v>
      </c>
      <c r="M25" t="s">
        <v>3</v>
      </c>
      <c r="N25" t="s">
        <v>70</v>
      </c>
      <c r="O25" s="25" t="s">
        <v>3825</v>
      </c>
      <c r="P25" s="25">
        <v>1530</v>
      </c>
      <c r="Q25" s="25">
        <v>43696.799999999996</v>
      </c>
      <c r="R25" s="25" t="s">
        <v>26</v>
      </c>
      <c r="S25" s="25" t="s">
        <v>26</v>
      </c>
      <c r="T25" s="25">
        <f t="shared" si="0"/>
        <v>43696.799999999996</v>
      </c>
    </row>
    <row r="26" spans="1:20">
      <c r="A26" t="s">
        <v>178</v>
      </c>
      <c r="B26">
        <v>45840</v>
      </c>
      <c r="C26" t="s">
        <v>126</v>
      </c>
      <c r="D26" t="s">
        <v>88</v>
      </c>
      <c r="E26" t="s">
        <v>132</v>
      </c>
      <c r="F26">
        <v>4020</v>
      </c>
      <c r="G26" t="s">
        <v>30</v>
      </c>
      <c r="H26" t="s">
        <v>179</v>
      </c>
      <c r="I26" t="s">
        <v>71</v>
      </c>
      <c r="J26">
        <v>49900</v>
      </c>
      <c r="K26" t="s">
        <v>134</v>
      </c>
      <c r="L26" t="s">
        <v>177</v>
      </c>
      <c r="M26" t="s">
        <v>3</v>
      </c>
      <c r="N26" t="s">
        <v>70</v>
      </c>
      <c r="O26" s="25" t="s">
        <v>3824</v>
      </c>
      <c r="P26" s="25">
        <v>1</v>
      </c>
      <c r="Q26" s="25">
        <v>49900</v>
      </c>
      <c r="R26" s="25" t="s">
        <v>26</v>
      </c>
      <c r="S26" s="25" t="s">
        <v>26</v>
      </c>
      <c r="T26" s="25">
        <f t="shared" si="0"/>
        <v>49900</v>
      </c>
    </row>
    <row r="27" spans="1:20">
      <c r="A27" t="s">
        <v>180</v>
      </c>
      <c r="B27">
        <v>45840</v>
      </c>
      <c r="C27" t="s">
        <v>126</v>
      </c>
      <c r="D27" t="s">
        <v>88</v>
      </c>
      <c r="E27" t="s">
        <v>136</v>
      </c>
      <c r="F27">
        <v>4020</v>
      </c>
      <c r="G27" t="s">
        <v>30</v>
      </c>
      <c r="H27" t="s">
        <v>181</v>
      </c>
      <c r="I27" t="s">
        <v>71</v>
      </c>
      <c r="J27">
        <v>48500</v>
      </c>
      <c r="K27" t="s">
        <v>138</v>
      </c>
      <c r="L27" t="s">
        <v>177</v>
      </c>
      <c r="M27" t="s">
        <v>3</v>
      </c>
      <c r="N27" t="s">
        <v>70</v>
      </c>
      <c r="O27" s="25" t="s">
        <v>3824</v>
      </c>
      <c r="P27" s="25">
        <v>1</v>
      </c>
      <c r="Q27" s="25">
        <v>48500</v>
      </c>
      <c r="R27" s="25" t="s">
        <v>26</v>
      </c>
      <c r="S27" s="25" t="s">
        <v>26</v>
      </c>
      <c r="T27" s="25">
        <f t="shared" si="0"/>
        <v>48500</v>
      </c>
    </row>
    <row r="28" spans="1:20">
      <c r="A28" t="s">
        <v>182</v>
      </c>
      <c r="B28">
        <v>45840</v>
      </c>
      <c r="C28" t="s">
        <v>126</v>
      </c>
      <c r="D28" t="s">
        <v>88</v>
      </c>
      <c r="E28" t="s">
        <v>140</v>
      </c>
      <c r="F28">
        <v>4020</v>
      </c>
      <c r="G28" t="s">
        <v>30</v>
      </c>
      <c r="H28" t="s">
        <v>183</v>
      </c>
      <c r="I28" t="s">
        <v>71</v>
      </c>
      <c r="J28">
        <v>48000</v>
      </c>
      <c r="K28" t="s">
        <v>3</v>
      </c>
      <c r="L28" t="s">
        <v>184</v>
      </c>
      <c r="M28" t="s">
        <v>3</v>
      </c>
      <c r="N28" t="s">
        <v>70</v>
      </c>
      <c r="O28" s="25" t="s">
        <v>3824</v>
      </c>
      <c r="P28" s="25">
        <v>1</v>
      </c>
      <c r="Q28" s="25">
        <v>48000</v>
      </c>
      <c r="R28" s="25" t="s">
        <v>26</v>
      </c>
      <c r="S28" s="25" t="s">
        <v>26</v>
      </c>
      <c r="T28" s="25">
        <f t="shared" si="0"/>
        <v>48000</v>
      </c>
    </row>
    <row r="29" spans="1:20">
      <c r="A29" t="s">
        <v>185</v>
      </c>
      <c r="B29">
        <v>45840</v>
      </c>
      <c r="C29" t="s">
        <v>87</v>
      </c>
      <c r="D29" t="s">
        <v>94</v>
      </c>
      <c r="E29" t="s">
        <v>3</v>
      </c>
      <c r="F29">
        <v>5040</v>
      </c>
      <c r="G29" t="s">
        <v>43</v>
      </c>
      <c r="H29" t="s">
        <v>186</v>
      </c>
      <c r="I29" t="s">
        <v>71</v>
      </c>
      <c r="J29">
        <v>-562000</v>
      </c>
      <c r="K29" t="s">
        <v>187</v>
      </c>
      <c r="L29" t="s">
        <v>188</v>
      </c>
      <c r="M29" t="s">
        <v>3</v>
      </c>
      <c r="N29" t="s">
        <v>70</v>
      </c>
      <c r="O29" s="25" t="s">
        <v>3824</v>
      </c>
      <c r="P29" s="25">
        <v>1</v>
      </c>
      <c r="Q29" s="25">
        <v>-562000</v>
      </c>
      <c r="R29" s="25" t="s">
        <v>35</v>
      </c>
      <c r="S29" s="25" t="s">
        <v>35</v>
      </c>
      <c r="T29" s="25">
        <f t="shared" si="0"/>
        <v>-562000</v>
      </c>
    </row>
    <row r="30" spans="1:20">
      <c r="A30" t="s">
        <v>189</v>
      </c>
      <c r="B30">
        <v>45840</v>
      </c>
      <c r="C30" t="s">
        <v>87</v>
      </c>
      <c r="D30" t="s">
        <v>94</v>
      </c>
      <c r="E30" t="s">
        <v>3</v>
      </c>
      <c r="F30">
        <v>5050</v>
      </c>
      <c r="G30" t="s">
        <v>45</v>
      </c>
      <c r="H30" t="s">
        <v>190</v>
      </c>
      <c r="I30" t="s">
        <v>71</v>
      </c>
      <c r="J30">
        <v>-255000</v>
      </c>
      <c r="K30" t="s">
        <v>191</v>
      </c>
      <c r="L30" t="s">
        <v>192</v>
      </c>
      <c r="M30" t="s">
        <v>3</v>
      </c>
      <c r="N30" t="s">
        <v>70</v>
      </c>
      <c r="O30" s="25" t="s">
        <v>3824</v>
      </c>
      <c r="P30" s="25">
        <v>1</v>
      </c>
      <c r="Q30" s="25">
        <v>-255000</v>
      </c>
      <c r="R30" s="25" t="s">
        <v>35</v>
      </c>
      <c r="S30" s="25" t="s">
        <v>35</v>
      </c>
      <c r="T30" s="25">
        <f t="shared" si="0"/>
        <v>-255000</v>
      </c>
    </row>
    <row r="31" spans="1:20">
      <c r="A31" t="s">
        <v>193</v>
      </c>
      <c r="B31">
        <v>45840</v>
      </c>
      <c r="C31" t="s">
        <v>87</v>
      </c>
      <c r="D31" t="s">
        <v>111</v>
      </c>
      <c r="E31" t="s">
        <v>3</v>
      </c>
      <c r="F31">
        <v>5010</v>
      </c>
      <c r="G31" t="s">
        <v>37</v>
      </c>
      <c r="H31" t="s">
        <v>194</v>
      </c>
      <c r="I31" t="s">
        <v>71</v>
      </c>
      <c r="J31">
        <v>-862000</v>
      </c>
      <c r="K31" t="s">
        <v>195</v>
      </c>
      <c r="L31" t="s">
        <v>196</v>
      </c>
      <c r="M31" t="s">
        <v>3</v>
      </c>
      <c r="N31" t="s">
        <v>70</v>
      </c>
      <c r="O31" s="25" t="s">
        <v>3824</v>
      </c>
      <c r="P31" s="25">
        <v>1</v>
      </c>
      <c r="Q31" s="25">
        <v>-862000</v>
      </c>
      <c r="R31" s="25" t="s">
        <v>35</v>
      </c>
      <c r="S31" s="25" t="s">
        <v>35</v>
      </c>
      <c r="T31" s="25">
        <f t="shared" si="0"/>
        <v>-862000</v>
      </c>
    </row>
    <row r="32" spans="1:20">
      <c r="A32" t="s">
        <v>197</v>
      </c>
      <c r="B32">
        <v>45840</v>
      </c>
      <c r="C32" t="s">
        <v>87</v>
      </c>
      <c r="D32" t="s">
        <v>94</v>
      </c>
      <c r="E32" t="s">
        <v>3</v>
      </c>
      <c r="F32">
        <v>6040</v>
      </c>
      <c r="G32" t="s">
        <v>56</v>
      </c>
      <c r="H32" t="s">
        <v>198</v>
      </c>
      <c r="I32" t="s">
        <v>72</v>
      </c>
      <c r="J32">
        <v>-820</v>
      </c>
      <c r="K32" t="s">
        <v>199</v>
      </c>
      <c r="L32" t="s">
        <v>200</v>
      </c>
      <c r="M32" t="s">
        <v>3</v>
      </c>
      <c r="N32" t="s">
        <v>70</v>
      </c>
      <c r="O32" s="25" t="s">
        <v>3825</v>
      </c>
      <c r="P32" s="25">
        <v>1530</v>
      </c>
      <c r="Q32" s="25">
        <v>-1254600</v>
      </c>
      <c r="R32" s="25" t="s">
        <v>48</v>
      </c>
      <c r="S32" s="25" t="s">
        <v>48</v>
      </c>
      <c r="T32" s="25">
        <f t="shared" si="0"/>
        <v>-1254600</v>
      </c>
    </row>
    <row r="33" spans="1:20">
      <c r="A33" t="s">
        <v>201</v>
      </c>
      <c r="B33">
        <v>45841</v>
      </c>
      <c r="C33" t="s">
        <v>93</v>
      </c>
      <c r="D33" t="s">
        <v>94</v>
      </c>
      <c r="E33" t="s">
        <v>95</v>
      </c>
      <c r="F33">
        <v>4000</v>
      </c>
      <c r="G33" t="s">
        <v>25</v>
      </c>
      <c r="H33" t="s">
        <v>202</v>
      </c>
      <c r="I33" t="s">
        <v>71</v>
      </c>
      <c r="J33">
        <v>30100</v>
      </c>
      <c r="K33" t="s">
        <v>3</v>
      </c>
      <c r="L33" t="s">
        <v>203</v>
      </c>
      <c r="M33" t="s">
        <v>3</v>
      </c>
      <c r="N33" t="s">
        <v>70</v>
      </c>
      <c r="O33" s="25" t="s">
        <v>3824</v>
      </c>
      <c r="P33" s="25">
        <v>1</v>
      </c>
      <c r="Q33" s="25">
        <v>30100</v>
      </c>
      <c r="R33" s="25" t="s">
        <v>26</v>
      </c>
      <c r="S33" s="25" t="s">
        <v>26</v>
      </c>
      <c r="T33" s="25">
        <f t="shared" si="0"/>
        <v>30100</v>
      </c>
    </row>
    <row r="34" spans="1:20">
      <c r="A34" t="s">
        <v>204</v>
      </c>
      <c r="B34">
        <v>45841</v>
      </c>
      <c r="C34" t="s">
        <v>93</v>
      </c>
      <c r="D34" t="s">
        <v>94</v>
      </c>
      <c r="E34" t="s">
        <v>99</v>
      </c>
      <c r="F34">
        <v>4000</v>
      </c>
      <c r="G34" t="s">
        <v>25</v>
      </c>
      <c r="H34" t="s">
        <v>205</v>
      </c>
      <c r="I34" t="s">
        <v>71</v>
      </c>
      <c r="J34">
        <v>30400</v>
      </c>
      <c r="K34" t="s">
        <v>3</v>
      </c>
      <c r="L34" t="s">
        <v>206</v>
      </c>
      <c r="M34" t="s">
        <v>3</v>
      </c>
      <c r="N34" t="s">
        <v>70</v>
      </c>
      <c r="O34" s="25" t="s">
        <v>3824</v>
      </c>
      <c r="P34" s="25">
        <v>1</v>
      </c>
      <c r="Q34" s="25">
        <v>30400</v>
      </c>
      <c r="R34" s="25" t="s">
        <v>26</v>
      </c>
      <c r="S34" s="25" t="s">
        <v>26</v>
      </c>
      <c r="T34" s="25">
        <f t="shared" si="0"/>
        <v>30400</v>
      </c>
    </row>
    <row r="35" spans="1:20">
      <c r="A35" t="s">
        <v>207</v>
      </c>
      <c r="B35">
        <v>45841</v>
      </c>
      <c r="C35" t="s">
        <v>93</v>
      </c>
      <c r="D35" t="s">
        <v>94</v>
      </c>
      <c r="E35" t="s">
        <v>103</v>
      </c>
      <c r="F35">
        <v>4000</v>
      </c>
      <c r="G35" t="s">
        <v>25</v>
      </c>
      <c r="H35" t="s">
        <v>208</v>
      </c>
      <c r="I35" t="s">
        <v>71</v>
      </c>
      <c r="J35">
        <v>30700</v>
      </c>
      <c r="K35" t="s">
        <v>3</v>
      </c>
      <c r="L35" t="s">
        <v>209</v>
      </c>
      <c r="M35" t="s">
        <v>3</v>
      </c>
      <c r="N35" t="s">
        <v>70</v>
      </c>
      <c r="O35" s="25" t="s">
        <v>3824</v>
      </c>
      <c r="P35" s="25">
        <v>1</v>
      </c>
      <c r="Q35" s="25">
        <v>30700</v>
      </c>
      <c r="R35" s="25" t="s">
        <v>26</v>
      </c>
      <c r="S35" s="25" t="s">
        <v>26</v>
      </c>
      <c r="T35" s="25">
        <f t="shared" si="0"/>
        <v>30700</v>
      </c>
    </row>
    <row r="36" spans="1:20">
      <c r="A36" t="s">
        <v>210</v>
      </c>
      <c r="B36">
        <v>45841</v>
      </c>
      <c r="C36" t="s">
        <v>93</v>
      </c>
      <c r="D36" t="s">
        <v>94</v>
      </c>
      <c r="E36" t="s">
        <v>160</v>
      </c>
      <c r="F36">
        <v>4000</v>
      </c>
      <c r="G36" t="s">
        <v>25</v>
      </c>
      <c r="H36" t="s">
        <v>211</v>
      </c>
      <c r="I36" t="s">
        <v>71</v>
      </c>
      <c r="J36">
        <v>28100</v>
      </c>
      <c r="K36" t="s">
        <v>3</v>
      </c>
      <c r="L36" t="s">
        <v>209</v>
      </c>
      <c r="M36" t="s">
        <v>3</v>
      </c>
      <c r="N36" t="s">
        <v>70</v>
      </c>
      <c r="O36" s="25" t="s">
        <v>3824</v>
      </c>
      <c r="P36" s="25">
        <v>1</v>
      </c>
      <c r="Q36" s="25">
        <v>28100</v>
      </c>
      <c r="R36" s="25" t="s">
        <v>26</v>
      </c>
      <c r="S36" s="25" t="s">
        <v>26</v>
      </c>
      <c r="T36" s="25">
        <f t="shared" si="0"/>
        <v>28100</v>
      </c>
    </row>
    <row r="37" spans="1:20">
      <c r="A37" t="s">
        <v>212</v>
      </c>
      <c r="B37">
        <v>45841</v>
      </c>
      <c r="C37" t="s">
        <v>93</v>
      </c>
      <c r="D37" t="s">
        <v>111</v>
      </c>
      <c r="E37" t="s">
        <v>112</v>
      </c>
      <c r="F37">
        <v>4000</v>
      </c>
      <c r="G37" t="s">
        <v>25</v>
      </c>
      <c r="H37" t="s">
        <v>213</v>
      </c>
      <c r="I37" t="s">
        <v>71</v>
      </c>
      <c r="J37">
        <v>48100</v>
      </c>
      <c r="K37" t="s">
        <v>3</v>
      </c>
      <c r="L37" t="s">
        <v>214</v>
      </c>
      <c r="M37" t="s">
        <v>3</v>
      </c>
      <c r="N37" t="s">
        <v>70</v>
      </c>
      <c r="O37" s="25" t="s">
        <v>3824</v>
      </c>
      <c r="P37" s="25">
        <v>1</v>
      </c>
      <c r="Q37" s="25">
        <v>48100</v>
      </c>
      <c r="R37" s="25" t="s">
        <v>26</v>
      </c>
      <c r="S37" s="25" t="s">
        <v>26</v>
      </c>
      <c r="T37" s="25">
        <f t="shared" si="0"/>
        <v>48100</v>
      </c>
    </row>
    <row r="38" spans="1:20">
      <c r="A38" t="s">
        <v>215</v>
      </c>
      <c r="B38">
        <v>45841</v>
      </c>
      <c r="C38" t="s">
        <v>93</v>
      </c>
      <c r="D38" t="s">
        <v>111</v>
      </c>
      <c r="E38" t="s">
        <v>116</v>
      </c>
      <c r="F38">
        <v>4000</v>
      </c>
      <c r="G38" t="s">
        <v>25</v>
      </c>
      <c r="H38" t="s">
        <v>216</v>
      </c>
      <c r="I38" t="s">
        <v>71</v>
      </c>
      <c r="J38">
        <v>47100</v>
      </c>
      <c r="K38" t="s">
        <v>3</v>
      </c>
      <c r="L38" t="s">
        <v>214</v>
      </c>
      <c r="M38" t="s">
        <v>3</v>
      </c>
      <c r="N38" t="s">
        <v>70</v>
      </c>
      <c r="O38" s="25" t="s">
        <v>3824</v>
      </c>
      <c r="P38" s="25">
        <v>1</v>
      </c>
      <c r="Q38" s="25">
        <v>47100</v>
      </c>
      <c r="R38" s="25" t="s">
        <v>26</v>
      </c>
      <c r="S38" s="25" t="s">
        <v>26</v>
      </c>
      <c r="T38" s="25">
        <f t="shared" si="0"/>
        <v>47100</v>
      </c>
    </row>
    <row r="39" spans="1:20">
      <c r="A39" t="s">
        <v>217</v>
      </c>
      <c r="B39">
        <v>45841</v>
      </c>
      <c r="C39" t="s">
        <v>93</v>
      </c>
      <c r="D39" t="s">
        <v>111</v>
      </c>
      <c r="E39" t="s">
        <v>119</v>
      </c>
      <c r="F39">
        <v>4000</v>
      </c>
      <c r="G39" t="s">
        <v>25</v>
      </c>
      <c r="H39" t="s">
        <v>218</v>
      </c>
      <c r="I39" t="s">
        <v>71</v>
      </c>
      <c r="J39">
        <v>50400</v>
      </c>
      <c r="K39" t="s">
        <v>3</v>
      </c>
      <c r="L39" t="s">
        <v>214</v>
      </c>
      <c r="M39" t="s">
        <v>3</v>
      </c>
      <c r="N39" t="s">
        <v>70</v>
      </c>
      <c r="O39" s="25" t="s">
        <v>3824</v>
      </c>
      <c r="P39" s="25">
        <v>1</v>
      </c>
      <c r="Q39" s="25">
        <v>50400</v>
      </c>
      <c r="R39" s="25" t="s">
        <v>26</v>
      </c>
      <c r="S39" s="25" t="s">
        <v>26</v>
      </c>
      <c r="T39" s="25">
        <f t="shared" si="0"/>
        <v>50400</v>
      </c>
    </row>
    <row r="40" spans="1:20">
      <c r="A40" t="s">
        <v>219</v>
      </c>
      <c r="B40">
        <v>45841</v>
      </c>
      <c r="C40" t="s">
        <v>93</v>
      </c>
      <c r="D40" t="s">
        <v>111</v>
      </c>
      <c r="E40" t="s">
        <v>170</v>
      </c>
      <c r="F40">
        <v>4000</v>
      </c>
      <c r="G40" t="s">
        <v>25</v>
      </c>
      <c r="H40" t="s">
        <v>220</v>
      </c>
      <c r="I40" t="s">
        <v>71</v>
      </c>
      <c r="J40">
        <v>50400</v>
      </c>
      <c r="K40" t="s">
        <v>3</v>
      </c>
      <c r="L40" t="s">
        <v>214</v>
      </c>
      <c r="M40" t="s">
        <v>3</v>
      </c>
      <c r="N40" t="s">
        <v>70</v>
      </c>
      <c r="O40" s="25" t="s">
        <v>3824</v>
      </c>
      <c r="P40" s="25">
        <v>1</v>
      </c>
      <c r="Q40" s="25">
        <v>50400</v>
      </c>
      <c r="R40" s="25" t="s">
        <v>26</v>
      </c>
      <c r="S40" s="25" t="s">
        <v>26</v>
      </c>
      <c r="T40" s="25">
        <f t="shared" si="0"/>
        <v>50400</v>
      </c>
    </row>
    <row r="41" spans="1:20">
      <c r="A41" t="s">
        <v>221</v>
      </c>
      <c r="B41">
        <v>45841</v>
      </c>
      <c r="C41" t="s">
        <v>93</v>
      </c>
      <c r="D41" t="s">
        <v>111</v>
      </c>
      <c r="E41" t="s">
        <v>122</v>
      </c>
      <c r="F41">
        <v>4000</v>
      </c>
      <c r="G41" t="s">
        <v>25</v>
      </c>
      <c r="H41" t="s">
        <v>222</v>
      </c>
      <c r="I41" t="s">
        <v>71</v>
      </c>
      <c r="J41">
        <v>47300</v>
      </c>
      <c r="K41" t="s">
        <v>3</v>
      </c>
      <c r="L41" t="s">
        <v>223</v>
      </c>
      <c r="M41" t="s">
        <v>3</v>
      </c>
      <c r="N41" t="s">
        <v>70</v>
      </c>
      <c r="O41" s="25" t="s">
        <v>3824</v>
      </c>
      <c r="P41" s="25">
        <v>1</v>
      </c>
      <c r="Q41" s="25">
        <v>47300</v>
      </c>
      <c r="R41" s="25" t="s">
        <v>26</v>
      </c>
      <c r="S41" s="25" t="s">
        <v>26</v>
      </c>
      <c r="T41" s="25">
        <f t="shared" si="0"/>
        <v>47300</v>
      </c>
    </row>
    <row r="42" spans="1:20">
      <c r="A42" t="s">
        <v>224</v>
      </c>
      <c r="B42">
        <v>45841</v>
      </c>
      <c r="C42" t="s">
        <v>126</v>
      </c>
      <c r="D42" t="s">
        <v>88</v>
      </c>
      <c r="E42" t="s">
        <v>127</v>
      </c>
      <c r="F42">
        <v>4020</v>
      </c>
      <c r="G42" t="s">
        <v>30</v>
      </c>
      <c r="H42" t="s">
        <v>225</v>
      </c>
      <c r="I42" t="s">
        <v>72</v>
      </c>
      <c r="J42">
        <v>26.99</v>
      </c>
      <c r="K42" t="s">
        <v>129</v>
      </c>
      <c r="L42" t="s">
        <v>226</v>
      </c>
      <c r="M42" t="s">
        <v>3</v>
      </c>
      <c r="N42" t="s">
        <v>70</v>
      </c>
      <c r="O42" s="25" t="s">
        <v>3825</v>
      </c>
      <c r="P42" s="25">
        <v>1530</v>
      </c>
      <c r="Q42" s="25">
        <v>41294.699999999997</v>
      </c>
      <c r="R42" s="25" t="s">
        <v>26</v>
      </c>
      <c r="S42" s="25" t="s">
        <v>26</v>
      </c>
      <c r="T42" s="25">
        <f t="shared" si="0"/>
        <v>41294.699999999997</v>
      </c>
    </row>
    <row r="43" spans="1:20">
      <c r="A43" t="s">
        <v>227</v>
      </c>
      <c r="B43">
        <v>45841</v>
      </c>
      <c r="C43" t="s">
        <v>126</v>
      </c>
      <c r="D43" t="s">
        <v>88</v>
      </c>
      <c r="E43" t="s">
        <v>132</v>
      </c>
      <c r="F43">
        <v>4020</v>
      </c>
      <c r="G43" t="s">
        <v>30</v>
      </c>
      <c r="H43" t="s">
        <v>228</v>
      </c>
      <c r="I43" t="s">
        <v>71</v>
      </c>
      <c r="J43">
        <v>40600</v>
      </c>
      <c r="K43" t="s">
        <v>134</v>
      </c>
      <c r="L43" t="s">
        <v>226</v>
      </c>
      <c r="M43" t="s">
        <v>3</v>
      </c>
      <c r="N43" t="s">
        <v>70</v>
      </c>
      <c r="O43" s="25" t="s">
        <v>3824</v>
      </c>
      <c r="P43" s="25">
        <v>1</v>
      </c>
      <c r="Q43" s="25">
        <v>40600</v>
      </c>
      <c r="R43" s="25" t="s">
        <v>26</v>
      </c>
      <c r="S43" s="25" t="s">
        <v>26</v>
      </c>
      <c r="T43" s="25">
        <f t="shared" si="0"/>
        <v>40600</v>
      </c>
    </row>
    <row r="44" spans="1:20">
      <c r="A44" t="s">
        <v>229</v>
      </c>
      <c r="B44">
        <v>45841</v>
      </c>
      <c r="C44" t="s">
        <v>126</v>
      </c>
      <c r="D44" t="s">
        <v>88</v>
      </c>
      <c r="E44" t="s">
        <v>136</v>
      </c>
      <c r="F44">
        <v>4020</v>
      </c>
      <c r="G44" t="s">
        <v>30</v>
      </c>
      <c r="H44" t="s">
        <v>230</v>
      </c>
      <c r="I44" t="s">
        <v>72</v>
      </c>
      <c r="J44">
        <v>30.52</v>
      </c>
      <c r="K44" t="s">
        <v>138</v>
      </c>
      <c r="L44" t="s">
        <v>226</v>
      </c>
      <c r="M44" t="s">
        <v>3</v>
      </c>
      <c r="N44" t="s">
        <v>70</v>
      </c>
      <c r="O44" s="25" t="s">
        <v>3825</v>
      </c>
      <c r="P44" s="25">
        <v>1530</v>
      </c>
      <c r="Q44" s="25">
        <v>46695.6</v>
      </c>
      <c r="R44" s="25" t="s">
        <v>26</v>
      </c>
      <c r="S44" s="25" t="s">
        <v>26</v>
      </c>
      <c r="T44" s="25">
        <f t="shared" si="0"/>
        <v>46695.6</v>
      </c>
    </row>
    <row r="45" spans="1:20">
      <c r="A45" t="s">
        <v>231</v>
      </c>
      <c r="B45">
        <v>45841</v>
      </c>
      <c r="C45" t="s">
        <v>126</v>
      </c>
      <c r="D45" t="s">
        <v>88</v>
      </c>
      <c r="E45" t="s">
        <v>140</v>
      </c>
      <c r="F45">
        <v>4020</v>
      </c>
      <c r="G45" t="s">
        <v>30</v>
      </c>
      <c r="H45" t="s">
        <v>232</v>
      </c>
      <c r="I45" t="s">
        <v>71</v>
      </c>
      <c r="J45">
        <v>40000</v>
      </c>
      <c r="K45" t="s">
        <v>3</v>
      </c>
      <c r="L45" t="s">
        <v>233</v>
      </c>
      <c r="M45" t="s">
        <v>3</v>
      </c>
      <c r="N45" t="s">
        <v>70</v>
      </c>
      <c r="O45" s="25" t="s">
        <v>3824</v>
      </c>
      <c r="P45" s="25">
        <v>1</v>
      </c>
      <c r="Q45" s="25">
        <v>40000</v>
      </c>
      <c r="R45" s="25" t="s">
        <v>26</v>
      </c>
      <c r="S45" s="25" t="s">
        <v>26</v>
      </c>
      <c r="T45" s="25">
        <f t="shared" si="0"/>
        <v>40000</v>
      </c>
    </row>
    <row r="46" spans="1:20">
      <c r="A46" t="s">
        <v>234</v>
      </c>
      <c r="B46">
        <v>45841</v>
      </c>
      <c r="C46" t="s">
        <v>93</v>
      </c>
      <c r="D46" t="s">
        <v>111</v>
      </c>
      <c r="E46" t="s">
        <v>112</v>
      </c>
      <c r="F46">
        <v>4900</v>
      </c>
      <c r="G46" t="s">
        <v>32</v>
      </c>
      <c r="H46" t="s">
        <v>235</v>
      </c>
      <c r="I46" t="s">
        <v>71</v>
      </c>
      <c r="J46">
        <v>146038</v>
      </c>
      <c r="K46" t="s">
        <v>3</v>
      </c>
      <c r="L46" t="s">
        <v>236</v>
      </c>
      <c r="M46" t="s">
        <v>237</v>
      </c>
      <c r="N46" t="s">
        <v>70</v>
      </c>
      <c r="O46" s="25" t="s">
        <v>3824</v>
      </c>
      <c r="P46" s="25">
        <v>1</v>
      </c>
      <c r="Q46" s="25">
        <v>146038</v>
      </c>
      <c r="R46" s="25" t="s">
        <v>26</v>
      </c>
      <c r="S46" s="25" t="s">
        <v>26</v>
      </c>
      <c r="T46" s="25">
        <f t="shared" si="0"/>
        <v>-146038</v>
      </c>
    </row>
    <row r="47" spans="1:20">
      <c r="A47" t="s">
        <v>238</v>
      </c>
      <c r="B47">
        <v>45842</v>
      </c>
      <c r="C47" t="s">
        <v>93</v>
      </c>
      <c r="D47" t="s">
        <v>94</v>
      </c>
      <c r="E47" t="s">
        <v>95</v>
      </c>
      <c r="F47">
        <v>4000</v>
      </c>
      <c r="G47" t="s">
        <v>25</v>
      </c>
      <c r="H47" t="s">
        <v>239</v>
      </c>
      <c r="I47" t="s">
        <v>71</v>
      </c>
      <c r="J47">
        <v>30400</v>
      </c>
      <c r="K47" t="s">
        <v>3</v>
      </c>
      <c r="L47" t="s">
        <v>240</v>
      </c>
      <c r="M47" t="s">
        <v>3</v>
      </c>
      <c r="N47" t="s">
        <v>70</v>
      </c>
      <c r="O47" s="25" t="s">
        <v>3824</v>
      </c>
      <c r="P47" s="25">
        <v>1</v>
      </c>
      <c r="Q47" s="25">
        <v>30400</v>
      </c>
      <c r="R47" s="25" t="s">
        <v>26</v>
      </c>
      <c r="S47" s="25" t="s">
        <v>26</v>
      </c>
      <c r="T47" s="25">
        <f t="shared" si="0"/>
        <v>30400</v>
      </c>
    </row>
    <row r="48" spans="1:20">
      <c r="A48" t="s">
        <v>241</v>
      </c>
      <c r="B48">
        <v>45842</v>
      </c>
      <c r="C48" t="s">
        <v>93</v>
      </c>
      <c r="D48" t="s">
        <v>94</v>
      </c>
      <c r="E48" t="s">
        <v>99</v>
      </c>
      <c r="F48">
        <v>4000</v>
      </c>
      <c r="G48" t="s">
        <v>25</v>
      </c>
      <c r="H48" t="s">
        <v>242</v>
      </c>
      <c r="I48" t="s">
        <v>71</v>
      </c>
      <c r="J48">
        <v>29300</v>
      </c>
      <c r="K48" t="s">
        <v>3</v>
      </c>
      <c r="L48" t="s">
        <v>243</v>
      </c>
      <c r="M48" t="s">
        <v>3</v>
      </c>
      <c r="N48" t="s">
        <v>70</v>
      </c>
      <c r="O48" s="25" t="s">
        <v>3824</v>
      </c>
      <c r="P48" s="25">
        <v>1</v>
      </c>
      <c r="Q48" s="25">
        <v>29300</v>
      </c>
      <c r="R48" s="25" t="s">
        <v>26</v>
      </c>
      <c r="S48" s="25" t="s">
        <v>26</v>
      </c>
      <c r="T48" s="25">
        <f t="shared" si="0"/>
        <v>29300</v>
      </c>
    </row>
    <row r="49" spans="1:20">
      <c r="A49" t="s">
        <v>244</v>
      </c>
      <c r="B49">
        <v>45842</v>
      </c>
      <c r="C49" t="s">
        <v>93</v>
      </c>
      <c r="D49" t="s">
        <v>94</v>
      </c>
      <c r="E49" t="s">
        <v>103</v>
      </c>
      <c r="F49">
        <v>4000</v>
      </c>
      <c r="G49" t="s">
        <v>25</v>
      </c>
      <c r="H49" t="s">
        <v>245</v>
      </c>
      <c r="I49" t="s">
        <v>71</v>
      </c>
      <c r="J49">
        <v>29200</v>
      </c>
      <c r="K49" t="s">
        <v>3</v>
      </c>
      <c r="L49" t="s">
        <v>246</v>
      </c>
      <c r="M49" t="s">
        <v>3</v>
      </c>
      <c r="N49" t="s">
        <v>70</v>
      </c>
      <c r="O49" s="25" t="s">
        <v>3824</v>
      </c>
      <c r="P49" s="25">
        <v>1</v>
      </c>
      <c r="Q49" s="25">
        <v>29200</v>
      </c>
      <c r="R49" s="25" t="s">
        <v>26</v>
      </c>
      <c r="S49" s="25" t="s">
        <v>26</v>
      </c>
      <c r="T49" s="25">
        <f t="shared" si="0"/>
        <v>29200</v>
      </c>
    </row>
    <row r="50" spans="1:20">
      <c r="A50" t="s">
        <v>247</v>
      </c>
      <c r="B50">
        <v>45842</v>
      </c>
      <c r="C50" t="s">
        <v>93</v>
      </c>
      <c r="D50" t="s">
        <v>94</v>
      </c>
      <c r="E50" t="s">
        <v>160</v>
      </c>
      <c r="F50">
        <v>4000</v>
      </c>
      <c r="G50" t="s">
        <v>25</v>
      </c>
      <c r="H50" t="s">
        <v>248</v>
      </c>
      <c r="I50" t="s">
        <v>71</v>
      </c>
      <c r="J50">
        <v>27300</v>
      </c>
      <c r="K50" t="s">
        <v>3</v>
      </c>
      <c r="L50" t="s">
        <v>246</v>
      </c>
      <c r="M50" t="s">
        <v>3</v>
      </c>
      <c r="N50" t="s">
        <v>70</v>
      </c>
      <c r="O50" s="25" t="s">
        <v>3824</v>
      </c>
      <c r="P50" s="25">
        <v>1</v>
      </c>
      <c r="Q50" s="25">
        <v>27300</v>
      </c>
      <c r="R50" s="25" t="s">
        <v>26</v>
      </c>
      <c r="S50" s="25" t="s">
        <v>26</v>
      </c>
      <c r="T50" s="25">
        <f t="shared" si="0"/>
        <v>27300</v>
      </c>
    </row>
    <row r="51" spans="1:20">
      <c r="A51" t="s">
        <v>249</v>
      </c>
      <c r="B51">
        <v>45842</v>
      </c>
      <c r="C51" t="s">
        <v>93</v>
      </c>
      <c r="D51" t="s">
        <v>94</v>
      </c>
      <c r="E51" t="s">
        <v>107</v>
      </c>
      <c r="F51">
        <v>4000</v>
      </c>
      <c r="G51" t="s">
        <v>25</v>
      </c>
      <c r="H51" t="s">
        <v>250</v>
      </c>
      <c r="I51" t="s">
        <v>71</v>
      </c>
      <c r="J51">
        <v>27600</v>
      </c>
      <c r="K51" t="s">
        <v>3</v>
      </c>
      <c r="L51" t="s">
        <v>251</v>
      </c>
      <c r="M51" t="s">
        <v>3</v>
      </c>
      <c r="N51" t="s">
        <v>70</v>
      </c>
      <c r="O51" s="25" t="s">
        <v>3824</v>
      </c>
      <c r="P51" s="25">
        <v>1</v>
      </c>
      <c r="Q51" s="25">
        <v>27600</v>
      </c>
      <c r="R51" s="25" t="s">
        <v>26</v>
      </c>
      <c r="S51" s="25" t="s">
        <v>26</v>
      </c>
      <c r="T51" s="25">
        <f t="shared" si="0"/>
        <v>27600</v>
      </c>
    </row>
    <row r="52" spans="1:20">
      <c r="A52" t="s">
        <v>252</v>
      </c>
      <c r="B52">
        <v>45842</v>
      </c>
      <c r="C52" t="s">
        <v>93</v>
      </c>
      <c r="D52" t="s">
        <v>111</v>
      </c>
      <c r="E52" t="s">
        <v>112</v>
      </c>
      <c r="F52">
        <v>4000</v>
      </c>
      <c r="G52" t="s">
        <v>25</v>
      </c>
      <c r="H52" t="s">
        <v>253</v>
      </c>
      <c r="I52" t="s">
        <v>71</v>
      </c>
      <c r="J52">
        <v>49800</v>
      </c>
      <c r="K52" t="s">
        <v>3</v>
      </c>
      <c r="L52" t="s">
        <v>254</v>
      </c>
      <c r="M52" t="s">
        <v>3</v>
      </c>
      <c r="N52" t="s">
        <v>70</v>
      </c>
      <c r="O52" s="25" t="s">
        <v>3824</v>
      </c>
      <c r="P52" s="25">
        <v>1</v>
      </c>
      <c r="Q52" s="25">
        <v>49800</v>
      </c>
      <c r="R52" s="25" t="s">
        <v>26</v>
      </c>
      <c r="S52" s="25" t="s">
        <v>26</v>
      </c>
      <c r="T52" s="25">
        <f t="shared" si="0"/>
        <v>49800</v>
      </c>
    </row>
    <row r="53" spans="1:20">
      <c r="A53" t="s">
        <v>255</v>
      </c>
      <c r="B53">
        <v>45842</v>
      </c>
      <c r="C53" t="s">
        <v>93</v>
      </c>
      <c r="D53" t="s">
        <v>111</v>
      </c>
      <c r="E53" t="s">
        <v>116</v>
      </c>
      <c r="F53">
        <v>4000</v>
      </c>
      <c r="G53" t="s">
        <v>25</v>
      </c>
      <c r="H53" t="s">
        <v>256</v>
      </c>
      <c r="I53" t="s">
        <v>71</v>
      </c>
      <c r="J53">
        <v>50600</v>
      </c>
      <c r="K53" t="s">
        <v>3</v>
      </c>
      <c r="L53" t="s">
        <v>254</v>
      </c>
      <c r="M53" t="s">
        <v>3</v>
      </c>
      <c r="N53" t="s">
        <v>70</v>
      </c>
      <c r="O53" s="25" t="s">
        <v>3824</v>
      </c>
      <c r="P53" s="25">
        <v>1</v>
      </c>
      <c r="Q53" s="25">
        <v>50600</v>
      </c>
      <c r="R53" s="25" t="s">
        <v>26</v>
      </c>
      <c r="S53" s="25" t="s">
        <v>26</v>
      </c>
      <c r="T53" s="25">
        <f t="shared" si="0"/>
        <v>50600</v>
      </c>
    </row>
    <row r="54" spans="1:20">
      <c r="A54" t="s">
        <v>257</v>
      </c>
      <c r="B54">
        <v>45842</v>
      </c>
      <c r="C54" t="s">
        <v>93</v>
      </c>
      <c r="D54" t="s">
        <v>111</v>
      </c>
      <c r="E54" t="s">
        <v>119</v>
      </c>
      <c r="F54">
        <v>4000</v>
      </c>
      <c r="G54" t="s">
        <v>25</v>
      </c>
      <c r="H54" t="s">
        <v>258</v>
      </c>
      <c r="I54" t="s">
        <v>71</v>
      </c>
      <c r="J54">
        <v>46100</v>
      </c>
      <c r="K54" t="s">
        <v>3</v>
      </c>
      <c r="L54" t="s">
        <v>254</v>
      </c>
      <c r="M54" t="s">
        <v>3</v>
      </c>
      <c r="N54" t="s">
        <v>70</v>
      </c>
      <c r="O54" s="25" t="s">
        <v>3824</v>
      </c>
      <c r="P54" s="25">
        <v>1</v>
      </c>
      <c r="Q54" s="25">
        <v>46100</v>
      </c>
      <c r="R54" s="25" t="s">
        <v>26</v>
      </c>
      <c r="S54" s="25" t="s">
        <v>26</v>
      </c>
      <c r="T54" s="25">
        <f t="shared" si="0"/>
        <v>46100</v>
      </c>
    </row>
    <row r="55" spans="1:20">
      <c r="A55" t="s">
        <v>259</v>
      </c>
      <c r="B55">
        <v>45842</v>
      </c>
      <c r="C55" t="s">
        <v>93</v>
      </c>
      <c r="D55" t="s">
        <v>111</v>
      </c>
      <c r="E55" t="s">
        <v>170</v>
      </c>
      <c r="F55">
        <v>4000</v>
      </c>
      <c r="G55" t="s">
        <v>25</v>
      </c>
      <c r="H55" t="s">
        <v>260</v>
      </c>
      <c r="I55" t="s">
        <v>71</v>
      </c>
      <c r="J55">
        <v>46200</v>
      </c>
      <c r="K55" t="s">
        <v>3</v>
      </c>
      <c r="L55" t="s">
        <v>254</v>
      </c>
      <c r="M55" t="s">
        <v>3</v>
      </c>
      <c r="N55" t="s">
        <v>70</v>
      </c>
      <c r="O55" s="25" t="s">
        <v>3824</v>
      </c>
      <c r="P55" s="25">
        <v>1</v>
      </c>
      <c r="Q55" s="25">
        <v>46200</v>
      </c>
      <c r="R55" s="25" t="s">
        <v>26</v>
      </c>
      <c r="S55" s="25" t="s">
        <v>26</v>
      </c>
      <c r="T55" s="25">
        <f t="shared" si="0"/>
        <v>46200</v>
      </c>
    </row>
    <row r="56" spans="1:20">
      <c r="A56" t="s">
        <v>261</v>
      </c>
      <c r="B56">
        <v>45842</v>
      </c>
      <c r="C56" t="s">
        <v>93</v>
      </c>
      <c r="D56" t="s">
        <v>111</v>
      </c>
      <c r="E56" t="s">
        <v>122</v>
      </c>
      <c r="F56">
        <v>4000</v>
      </c>
      <c r="G56" t="s">
        <v>25</v>
      </c>
      <c r="H56" t="s">
        <v>262</v>
      </c>
      <c r="I56" t="s">
        <v>71</v>
      </c>
      <c r="J56">
        <v>46900</v>
      </c>
      <c r="K56" t="s">
        <v>3</v>
      </c>
      <c r="L56" t="s">
        <v>263</v>
      </c>
      <c r="M56" t="s">
        <v>3</v>
      </c>
      <c r="N56" t="s">
        <v>70</v>
      </c>
      <c r="O56" s="25" t="s">
        <v>3824</v>
      </c>
      <c r="P56" s="25">
        <v>1</v>
      </c>
      <c r="Q56" s="25">
        <v>46900</v>
      </c>
      <c r="R56" s="25" t="s">
        <v>26</v>
      </c>
      <c r="S56" s="25" t="s">
        <v>26</v>
      </c>
      <c r="T56" s="25">
        <f t="shared" si="0"/>
        <v>46900</v>
      </c>
    </row>
    <row r="57" spans="1:20">
      <c r="A57" t="s">
        <v>264</v>
      </c>
      <c r="B57">
        <v>45842</v>
      </c>
      <c r="C57" t="s">
        <v>126</v>
      </c>
      <c r="D57" t="s">
        <v>88</v>
      </c>
      <c r="E57" t="s">
        <v>127</v>
      </c>
      <c r="F57">
        <v>4020</v>
      </c>
      <c r="G57" t="s">
        <v>30</v>
      </c>
      <c r="H57" t="s">
        <v>265</v>
      </c>
      <c r="I57" t="s">
        <v>71</v>
      </c>
      <c r="J57">
        <v>44700</v>
      </c>
      <c r="K57" t="s">
        <v>129</v>
      </c>
      <c r="L57" t="s">
        <v>266</v>
      </c>
      <c r="M57" t="s">
        <v>3</v>
      </c>
      <c r="N57" t="s">
        <v>70</v>
      </c>
      <c r="O57" s="25" t="s">
        <v>3824</v>
      </c>
      <c r="P57" s="25">
        <v>1</v>
      </c>
      <c r="Q57" s="25">
        <v>44700</v>
      </c>
      <c r="R57" s="25" t="s">
        <v>26</v>
      </c>
      <c r="S57" s="25" t="s">
        <v>26</v>
      </c>
      <c r="T57" s="25">
        <f t="shared" si="0"/>
        <v>44700</v>
      </c>
    </row>
    <row r="58" spans="1:20">
      <c r="A58" t="s">
        <v>267</v>
      </c>
      <c r="B58">
        <v>45842</v>
      </c>
      <c r="C58" t="s">
        <v>126</v>
      </c>
      <c r="D58" t="s">
        <v>88</v>
      </c>
      <c r="E58" t="s">
        <v>132</v>
      </c>
      <c r="F58">
        <v>4020</v>
      </c>
      <c r="G58" t="s">
        <v>30</v>
      </c>
      <c r="H58" t="s">
        <v>268</v>
      </c>
      <c r="I58" t="s">
        <v>71</v>
      </c>
      <c r="J58">
        <v>39700</v>
      </c>
      <c r="K58" t="s">
        <v>134</v>
      </c>
      <c r="L58" t="s">
        <v>266</v>
      </c>
      <c r="M58" t="s">
        <v>3</v>
      </c>
      <c r="N58" t="s">
        <v>70</v>
      </c>
      <c r="O58" s="25" t="s">
        <v>3824</v>
      </c>
      <c r="P58" s="25">
        <v>1</v>
      </c>
      <c r="Q58" s="25">
        <v>39700</v>
      </c>
      <c r="R58" s="25" t="s">
        <v>26</v>
      </c>
      <c r="S58" s="25" t="s">
        <v>26</v>
      </c>
      <c r="T58" s="25">
        <f t="shared" si="0"/>
        <v>39700</v>
      </c>
    </row>
    <row r="59" spans="1:20">
      <c r="A59" t="s">
        <v>269</v>
      </c>
      <c r="B59">
        <v>45842</v>
      </c>
      <c r="C59" t="s">
        <v>126</v>
      </c>
      <c r="D59" t="s">
        <v>88</v>
      </c>
      <c r="E59" t="s">
        <v>136</v>
      </c>
      <c r="F59">
        <v>4020</v>
      </c>
      <c r="G59" t="s">
        <v>30</v>
      </c>
      <c r="H59" t="s">
        <v>270</v>
      </c>
      <c r="I59" t="s">
        <v>71</v>
      </c>
      <c r="J59">
        <v>41800</v>
      </c>
      <c r="K59" t="s">
        <v>138</v>
      </c>
      <c r="L59" t="s">
        <v>266</v>
      </c>
      <c r="M59" t="s">
        <v>3</v>
      </c>
      <c r="N59" t="s">
        <v>70</v>
      </c>
      <c r="O59" s="25" t="s">
        <v>3824</v>
      </c>
      <c r="P59" s="25">
        <v>1</v>
      </c>
      <c r="Q59" s="25">
        <v>41800</v>
      </c>
      <c r="R59" s="25" t="s">
        <v>26</v>
      </c>
      <c r="S59" s="25" t="s">
        <v>26</v>
      </c>
      <c r="T59" s="25">
        <f t="shared" si="0"/>
        <v>41800</v>
      </c>
    </row>
    <row r="60" spans="1:20">
      <c r="A60" t="s">
        <v>271</v>
      </c>
      <c r="B60">
        <v>45842</v>
      </c>
      <c r="C60" t="s">
        <v>126</v>
      </c>
      <c r="D60" t="s">
        <v>88</v>
      </c>
      <c r="E60" t="s">
        <v>140</v>
      </c>
      <c r="F60">
        <v>4020</v>
      </c>
      <c r="G60" t="s">
        <v>30</v>
      </c>
      <c r="H60" t="s">
        <v>272</v>
      </c>
      <c r="I60" t="s">
        <v>71</v>
      </c>
      <c r="J60">
        <v>41500</v>
      </c>
      <c r="K60" t="s">
        <v>3</v>
      </c>
      <c r="L60" t="s">
        <v>273</v>
      </c>
      <c r="M60" t="s">
        <v>3</v>
      </c>
      <c r="N60" t="s">
        <v>70</v>
      </c>
      <c r="O60" s="25" t="s">
        <v>3824</v>
      </c>
      <c r="P60" s="25">
        <v>1</v>
      </c>
      <c r="Q60" s="25">
        <v>41500</v>
      </c>
      <c r="R60" s="25" t="s">
        <v>26</v>
      </c>
      <c r="S60" s="25" t="s">
        <v>26</v>
      </c>
      <c r="T60" s="25">
        <f t="shared" si="0"/>
        <v>41500</v>
      </c>
    </row>
    <row r="61" spans="1:20">
      <c r="A61" t="s">
        <v>274</v>
      </c>
      <c r="B61">
        <v>45842</v>
      </c>
      <c r="C61" t="s">
        <v>87</v>
      </c>
      <c r="D61" t="s">
        <v>94</v>
      </c>
      <c r="E61" t="s">
        <v>3</v>
      </c>
      <c r="F61">
        <v>5020</v>
      </c>
      <c r="G61" t="s">
        <v>39</v>
      </c>
      <c r="H61" t="s">
        <v>275</v>
      </c>
      <c r="I61" t="s">
        <v>71</v>
      </c>
      <c r="J61">
        <v>-127000</v>
      </c>
      <c r="K61" t="s">
        <v>276</v>
      </c>
      <c r="L61" t="s">
        <v>277</v>
      </c>
      <c r="M61" t="s">
        <v>3</v>
      </c>
      <c r="N61" t="s">
        <v>70</v>
      </c>
      <c r="O61" s="25" t="s">
        <v>3824</v>
      </c>
      <c r="P61" s="25">
        <v>1</v>
      </c>
      <c r="Q61" s="25">
        <v>-127000</v>
      </c>
      <c r="R61" s="25" t="s">
        <v>35</v>
      </c>
      <c r="S61" s="25" t="s">
        <v>35</v>
      </c>
      <c r="T61" s="25">
        <f t="shared" si="0"/>
        <v>-127000</v>
      </c>
    </row>
    <row r="62" spans="1:20">
      <c r="A62" t="s">
        <v>278</v>
      </c>
      <c r="B62">
        <v>45842</v>
      </c>
      <c r="C62" t="s">
        <v>87</v>
      </c>
      <c r="D62" t="s">
        <v>88</v>
      </c>
      <c r="E62" t="s">
        <v>3</v>
      </c>
      <c r="F62">
        <v>5030</v>
      </c>
      <c r="G62" t="s">
        <v>41</v>
      </c>
      <c r="H62" t="s">
        <v>279</v>
      </c>
      <c r="I62" t="s">
        <v>71</v>
      </c>
      <c r="J62">
        <v>-324000</v>
      </c>
      <c r="K62" t="s">
        <v>280</v>
      </c>
      <c r="L62" t="s">
        <v>281</v>
      </c>
      <c r="M62" t="s">
        <v>3</v>
      </c>
      <c r="N62" t="s">
        <v>70</v>
      </c>
      <c r="O62" s="25" t="s">
        <v>3824</v>
      </c>
      <c r="P62" s="25">
        <v>1</v>
      </c>
      <c r="Q62" s="25">
        <v>-324000</v>
      </c>
      <c r="R62" s="25" t="s">
        <v>35</v>
      </c>
      <c r="S62" s="25" t="s">
        <v>35</v>
      </c>
      <c r="T62" s="25">
        <f t="shared" si="0"/>
        <v>-324000</v>
      </c>
    </row>
    <row r="63" spans="1:20">
      <c r="A63" t="s">
        <v>282</v>
      </c>
      <c r="B63">
        <v>45843</v>
      </c>
      <c r="C63" t="s">
        <v>93</v>
      </c>
      <c r="D63" t="s">
        <v>94</v>
      </c>
      <c r="E63" t="s">
        <v>95</v>
      </c>
      <c r="F63">
        <v>4000</v>
      </c>
      <c r="G63" t="s">
        <v>25</v>
      </c>
      <c r="H63" t="s">
        <v>283</v>
      </c>
      <c r="I63" t="s">
        <v>71</v>
      </c>
      <c r="J63">
        <v>35200</v>
      </c>
      <c r="K63" t="s">
        <v>3</v>
      </c>
      <c r="L63" t="s">
        <v>284</v>
      </c>
      <c r="M63" t="s">
        <v>3</v>
      </c>
      <c r="N63" t="s">
        <v>70</v>
      </c>
      <c r="O63" s="25" t="s">
        <v>3824</v>
      </c>
      <c r="P63" s="25">
        <v>1</v>
      </c>
      <c r="Q63" s="25">
        <v>35200</v>
      </c>
      <c r="R63" s="25" t="s">
        <v>26</v>
      </c>
      <c r="S63" s="25" t="s">
        <v>26</v>
      </c>
      <c r="T63" s="25">
        <f t="shared" si="0"/>
        <v>35200</v>
      </c>
    </row>
    <row r="64" spans="1:20">
      <c r="A64" t="s">
        <v>285</v>
      </c>
      <c r="B64">
        <v>45843</v>
      </c>
      <c r="C64" t="s">
        <v>93</v>
      </c>
      <c r="D64" t="s">
        <v>94</v>
      </c>
      <c r="E64" t="s">
        <v>99</v>
      </c>
      <c r="F64">
        <v>4000</v>
      </c>
      <c r="G64" t="s">
        <v>25</v>
      </c>
      <c r="H64" t="s">
        <v>286</v>
      </c>
      <c r="I64" t="s">
        <v>71</v>
      </c>
      <c r="J64">
        <v>34900</v>
      </c>
      <c r="K64" t="s">
        <v>3</v>
      </c>
      <c r="L64" t="s">
        <v>287</v>
      </c>
      <c r="M64" t="s">
        <v>3</v>
      </c>
      <c r="N64" t="s">
        <v>70</v>
      </c>
      <c r="O64" s="25" t="s">
        <v>3824</v>
      </c>
      <c r="P64" s="25">
        <v>1</v>
      </c>
      <c r="Q64" s="25">
        <v>34900</v>
      </c>
      <c r="R64" s="25" t="s">
        <v>26</v>
      </c>
      <c r="S64" s="25" t="s">
        <v>26</v>
      </c>
      <c r="T64" s="25">
        <f t="shared" si="0"/>
        <v>34900</v>
      </c>
    </row>
    <row r="65" spans="1:20">
      <c r="A65" t="s">
        <v>288</v>
      </c>
      <c r="B65">
        <v>45843</v>
      </c>
      <c r="C65" t="s">
        <v>93</v>
      </c>
      <c r="D65" t="s">
        <v>94</v>
      </c>
      <c r="E65" t="s">
        <v>103</v>
      </c>
      <c r="F65">
        <v>4000</v>
      </c>
      <c r="G65" t="s">
        <v>25</v>
      </c>
      <c r="H65" t="s">
        <v>289</v>
      </c>
      <c r="I65" t="s">
        <v>71</v>
      </c>
      <c r="J65">
        <v>35900</v>
      </c>
      <c r="K65" t="s">
        <v>3</v>
      </c>
      <c r="L65" t="s">
        <v>290</v>
      </c>
      <c r="M65" t="s">
        <v>3</v>
      </c>
      <c r="N65" t="s">
        <v>70</v>
      </c>
      <c r="O65" s="25" t="s">
        <v>3824</v>
      </c>
      <c r="P65" s="25">
        <v>1</v>
      </c>
      <c r="Q65" s="25">
        <v>35900</v>
      </c>
      <c r="R65" s="25" t="s">
        <v>26</v>
      </c>
      <c r="S65" s="25" t="s">
        <v>26</v>
      </c>
      <c r="T65" s="25">
        <f t="shared" si="0"/>
        <v>35900</v>
      </c>
    </row>
    <row r="66" spans="1:20">
      <c r="A66" t="s">
        <v>291</v>
      </c>
      <c r="B66">
        <v>45843</v>
      </c>
      <c r="C66" t="s">
        <v>93</v>
      </c>
      <c r="D66" t="s">
        <v>94</v>
      </c>
      <c r="E66" t="s">
        <v>160</v>
      </c>
      <c r="F66">
        <v>4000</v>
      </c>
      <c r="G66" t="s">
        <v>25</v>
      </c>
      <c r="H66" t="s">
        <v>292</v>
      </c>
      <c r="I66" t="s">
        <v>71</v>
      </c>
      <c r="J66">
        <v>33100</v>
      </c>
      <c r="K66" t="s">
        <v>3</v>
      </c>
      <c r="L66" t="s">
        <v>290</v>
      </c>
      <c r="M66" t="s">
        <v>3</v>
      </c>
      <c r="N66" t="s">
        <v>70</v>
      </c>
      <c r="O66" s="25" t="s">
        <v>3824</v>
      </c>
      <c r="P66" s="25">
        <v>1</v>
      </c>
      <c r="Q66" s="25">
        <v>33100</v>
      </c>
      <c r="R66" s="25" t="s">
        <v>26</v>
      </c>
      <c r="S66" s="25" t="s">
        <v>26</v>
      </c>
      <c r="T66" s="25">
        <f t="shared" ref="T66:T129" si="1">IF(AND(S66="Revenue",G66&lt;&gt;"Refunds &amp; Chargebacks"),ABS(Q66),-ABS(Q66))</f>
        <v>33100</v>
      </c>
    </row>
    <row r="67" spans="1:20">
      <c r="A67" t="s">
        <v>293</v>
      </c>
      <c r="B67">
        <v>45843</v>
      </c>
      <c r="C67" t="s">
        <v>93</v>
      </c>
      <c r="D67" t="s">
        <v>94</v>
      </c>
      <c r="E67" t="s">
        <v>107</v>
      </c>
      <c r="F67">
        <v>4000</v>
      </c>
      <c r="G67" t="s">
        <v>25</v>
      </c>
      <c r="H67" t="s">
        <v>294</v>
      </c>
      <c r="I67" t="s">
        <v>71</v>
      </c>
      <c r="J67">
        <v>39100</v>
      </c>
      <c r="K67" t="s">
        <v>3</v>
      </c>
      <c r="L67" t="s">
        <v>295</v>
      </c>
      <c r="M67" t="s">
        <v>3</v>
      </c>
      <c r="N67" t="s">
        <v>70</v>
      </c>
      <c r="O67" s="25" t="s">
        <v>3824</v>
      </c>
      <c r="P67" s="25">
        <v>1</v>
      </c>
      <c r="Q67" s="25">
        <v>39100</v>
      </c>
      <c r="R67" s="25" t="s">
        <v>26</v>
      </c>
      <c r="S67" s="25" t="s">
        <v>26</v>
      </c>
      <c r="T67" s="25">
        <f t="shared" si="1"/>
        <v>39100</v>
      </c>
    </row>
    <row r="68" spans="1:20">
      <c r="A68" t="s">
        <v>296</v>
      </c>
      <c r="B68">
        <v>45843</v>
      </c>
      <c r="C68" t="s">
        <v>93</v>
      </c>
      <c r="D68" t="s">
        <v>111</v>
      </c>
      <c r="E68" t="s">
        <v>112</v>
      </c>
      <c r="F68">
        <v>4000</v>
      </c>
      <c r="G68" t="s">
        <v>25</v>
      </c>
      <c r="H68" t="s">
        <v>297</v>
      </c>
      <c r="I68" t="s">
        <v>71</v>
      </c>
      <c r="J68">
        <v>59500</v>
      </c>
      <c r="K68" t="s">
        <v>3</v>
      </c>
      <c r="L68" t="s">
        <v>298</v>
      </c>
      <c r="M68" t="s">
        <v>3</v>
      </c>
      <c r="N68" t="s">
        <v>70</v>
      </c>
      <c r="O68" s="25" t="s">
        <v>3824</v>
      </c>
      <c r="P68" s="25">
        <v>1</v>
      </c>
      <c r="Q68" s="25">
        <v>59500</v>
      </c>
      <c r="R68" s="25" t="s">
        <v>26</v>
      </c>
      <c r="S68" s="25" t="s">
        <v>26</v>
      </c>
      <c r="T68" s="25">
        <f t="shared" si="1"/>
        <v>59500</v>
      </c>
    </row>
    <row r="69" spans="1:20">
      <c r="A69" t="s">
        <v>299</v>
      </c>
      <c r="B69">
        <v>45843</v>
      </c>
      <c r="C69" t="s">
        <v>93</v>
      </c>
      <c r="D69" t="s">
        <v>111</v>
      </c>
      <c r="E69" t="s">
        <v>116</v>
      </c>
      <c r="F69">
        <v>4000</v>
      </c>
      <c r="G69" t="s">
        <v>25</v>
      </c>
      <c r="H69" t="s">
        <v>300</v>
      </c>
      <c r="I69" t="s">
        <v>71</v>
      </c>
      <c r="J69">
        <v>62700</v>
      </c>
      <c r="K69" t="s">
        <v>3</v>
      </c>
      <c r="L69" t="s">
        <v>298</v>
      </c>
      <c r="M69" t="s">
        <v>3</v>
      </c>
      <c r="N69" t="s">
        <v>70</v>
      </c>
      <c r="O69" s="25" t="s">
        <v>3824</v>
      </c>
      <c r="P69" s="25">
        <v>1</v>
      </c>
      <c r="Q69" s="25">
        <v>62700</v>
      </c>
      <c r="R69" s="25" t="s">
        <v>26</v>
      </c>
      <c r="S69" s="25" t="s">
        <v>26</v>
      </c>
      <c r="T69" s="25">
        <f t="shared" si="1"/>
        <v>62700</v>
      </c>
    </row>
    <row r="70" spans="1:20">
      <c r="A70" t="s">
        <v>301</v>
      </c>
      <c r="B70">
        <v>45843</v>
      </c>
      <c r="C70" t="s">
        <v>93</v>
      </c>
      <c r="D70" t="s">
        <v>111</v>
      </c>
      <c r="E70" t="s">
        <v>170</v>
      </c>
      <c r="F70">
        <v>4000</v>
      </c>
      <c r="G70" t="s">
        <v>25</v>
      </c>
      <c r="H70" t="s">
        <v>302</v>
      </c>
      <c r="I70" t="s">
        <v>71</v>
      </c>
      <c r="J70">
        <v>58500</v>
      </c>
      <c r="K70" t="s">
        <v>3</v>
      </c>
      <c r="L70" t="s">
        <v>298</v>
      </c>
      <c r="M70" t="s">
        <v>3</v>
      </c>
      <c r="N70" t="s">
        <v>70</v>
      </c>
      <c r="O70" s="25" t="s">
        <v>3824</v>
      </c>
      <c r="P70" s="25">
        <v>1</v>
      </c>
      <c r="Q70" s="25">
        <v>58500</v>
      </c>
      <c r="R70" s="25" t="s">
        <v>26</v>
      </c>
      <c r="S70" s="25" t="s">
        <v>26</v>
      </c>
      <c r="T70" s="25">
        <f t="shared" si="1"/>
        <v>58500</v>
      </c>
    </row>
    <row r="71" spans="1:20">
      <c r="A71" t="s">
        <v>303</v>
      </c>
      <c r="B71">
        <v>45843</v>
      </c>
      <c r="C71" t="s">
        <v>93</v>
      </c>
      <c r="D71" t="s">
        <v>111</v>
      </c>
      <c r="E71" t="s">
        <v>122</v>
      </c>
      <c r="F71">
        <v>4000</v>
      </c>
      <c r="G71" t="s">
        <v>25</v>
      </c>
      <c r="H71" t="s">
        <v>304</v>
      </c>
      <c r="I71" t="s">
        <v>71</v>
      </c>
      <c r="J71">
        <v>62300</v>
      </c>
      <c r="K71" t="s">
        <v>3</v>
      </c>
      <c r="L71" t="s">
        <v>305</v>
      </c>
      <c r="M71" t="s">
        <v>3</v>
      </c>
      <c r="N71" t="s">
        <v>70</v>
      </c>
      <c r="O71" s="25" t="s">
        <v>3824</v>
      </c>
      <c r="P71" s="25">
        <v>1</v>
      </c>
      <c r="Q71" s="25">
        <v>62300</v>
      </c>
      <c r="R71" s="25" t="s">
        <v>26</v>
      </c>
      <c r="S71" s="25" t="s">
        <v>26</v>
      </c>
      <c r="T71" s="25">
        <f t="shared" si="1"/>
        <v>62300</v>
      </c>
    </row>
    <row r="72" spans="1:20">
      <c r="A72" t="s">
        <v>306</v>
      </c>
      <c r="B72">
        <v>45843</v>
      </c>
      <c r="C72" t="s">
        <v>126</v>
      </c>
      <c r="D72" t="s">
        <v>88</v>
      </c>
      <c r="E72" t="s">
        <v>132</v>
      </c>
      <c r="F72">
        <v>4020</v>
      </c>
      <c r="G72" t="s">
        <v>30</v>
      </c>
      <c r="H72" t="s">
        <v>307</v>
      </c>
      <c r="I72" t="s">
        <v>72</v>
      </c>
      <c r="J72">
        <v>29.28</v>
      </c>
      <c r="K72" t="s">
        <v>134</v>
      </c>
      <c r="L72" t="s">
        <v>308</v>
      </c>
      <c r="M72" t="s">
        <v>3</v>
      </c>
      <c r="N72" t="s">
        <v>70</v>
      </c>
      <c r="O72" s="25" t="s">
        <v>3825</v>
      </c>
      <c r="P72" s="25">
        <v>1530</v>
      </c>
      <c r="Q72" s="25">
        <v>44798.400000000001</v>
      </c>
      <c r="R72" s="25" t="s">
        <v>26</v>
      </c>
      <c r="S72" s="25" t="s">
        <v>26</v>
      </c>
      <c r="T72" s="25">
        <f t="shared" si="1"/>
        <v>44798.400000000001</v>
      </c>
    </row>
    <row r="73" spans="1:20">
      <c r="A73" t="s">
        <v>309</v>
      </c>
      <c r="B73">
        <v>45843</v>
      </c>
      <c r="C73" t="s">
        <v>126</v>
      </c>
      <c r="D73" t="s">
        <v>88</v>
      </c>
      <c r="E73" t="s">
        <v>136</v>
      </c>
      <c r="F73">
        <v>4020</v>
      </c>
      <c r="G73" t="s">
        <v>30</v>
      </c>
      <c r="H73" t="s">
        <v>310</v>
      </c>
      <c r="I73" t="s">
        <v>72</v>
      </c>
      <c r="J73">
        <v>28.24</v>
      </c>
      <c r="K73" t="s">
        <v>138</v>
      </c>
      <c r="L73" t="s">
        <v>308</v>
      </c>
      <c r="M73" t="s">
        <v>3</v>
      </c>
      <c r="N73" t="s">
        <v>70</v>
      </c>
      <c r="O73" s="25" t="s">
        <v>3825</v>
      </c>
      <c r="P73" s="25">
        <v>1530</v>
      </c>
      <c r="Q73" s="25">
        <v>43207.199999999997</v>
      </c>
      <c r="R73" s="25" t="s">
        <v>26</v>
      </c>
      <c r="S73" s="25" t="s">
        <v>26</v>
      </c>
      <c r="T73" s="25">
        <f t="shared" si="1"/>
        <v>43207.199999999997</v>
      </c>
    </row>
    <row r="74" spans="1:20">
      <c r="A74" t="s">
        <v>311</v>
      </c>
      <c r="B74">
        <v>45843</v>
      </c>
      <c r="C74" t="s">
        <v>126</v>
      </c>
      <c r="D74" t="s">
        <v>88</v>
      </c>
      <c r="E74" t="s">
        <v>140</v>
      </c>
      <c r="F74">
        <v>4020</v>
      </c>
      <c r="G74" t="s">
        <v>30</v>
      </c>
      <c r="H74" t="s">
        <v>312</v>
      </c>
      <c r="I74" t="s">
        <v>71</v>
      </c>
      <c r="J74">
        <v>42200</v>
      </c>
      <c r="K74" t="s">
        <v>3</v>
      </c>
      <c r="L74" t="s">
        <v>313</v>
      </c>
      <c r="M74" t="s">
        <v>3</v>
      </c>
      <c r="N74" t="s">
        <v>70</v>
      </c>
      <c r="O74" s="25" t="s">
        <v>3824</v>
      </c>
      <c r="P74" s="25">
        <v>1</v>
      </c>
      <c r="Q74" s="25">
        <v>42200</v>
      </c>
      <c r="R74" s="25" t="s">
        <v>26</v>
      </c>
      <c r="S74" s="25" t="s">
        <v>26</v>
      </c>
      <c r="T74" s="25">
        <f t="shared" si="1"/>
        <v>42200</v>
      </c>
    </row>
    <row r="75" spans="1:20">
      <c r="A75" t="s">
        <v>314</v>
      </c>
      <c r="B75">
        <v>45843</v>
      </c>
      <c r="C75" t="s">
        <v>87</v>
      </c>
      <c r="D75" t="s">
        <v>94</v>
      </c>
      <c r="E75" t="s">
        <v>3</v>
      </c>
      <c r="F75">
        <v>5000</v>
      </c>
      <c r="G75" t="s">
        <v>34</v>
      </c>
      <c r="H75" t="s">
        <v>315</v>
      </c>
      <c r="I75" t="s">
        <v>71</v>
      </c>
      <c r="J75">
        <v>-453000</v>
      </c>
      <c r="K75" t="s">
        <v>316</v>
      </c>
      <c r="L75" t="s">
        <v>317</v>
      </c>
      <c r="M75" t="s">
        <v>3</v>
      </c>
      <c r="N75" t="s">
        <v>70</v>
      </c>
      <c r="O75" s="25" t="s">
        <v>3824</v>
      </c>
      <c r="P75" s="25">
        <v>1</v>
      </c>
      <c r="Q75" s="25">
        <v>-453000</v>
      </c>
      <c r="R75" s="25" t="s">
        <v>35</v>
      </c>
      <c r="S75" s="25" t="s">
        <v>35</v>
      </c>
      <c r="T75" s="25">
        <f t="shared" si="1"/>
        <v>-453000</v>
      </c>
    </row>
    <row r="76" spans="1:20">
      <c r="A76" t="s">
        <v>318</v>
      </c>
      <c r="B76">
        <v>45843</v>
      </c>
      <c r="C76" t="s">
        <v>87</v>
      </c>
      <c r="D76" t="s">
        <v>94</v>
      </c>
      <c r="E76" t="s">
        <v>3</v>
      </c>
      <c r="F76">
        <v>6010</v>
      </c>
      <c r="G76" t="s">
        <v>50</v>
      </c>
      <c r="H76" t="s">
        <v>319</v>
      </c>
      <c r="I76" t="s">
        <v>71</v>
      </c>
      <c r="J76">
        <v>-720000</v>
      </c>
      <c r="K76" t="s">
        <v>320</v>
      </c>
      <c r="L76" t="s">
        <v>321</v>
      </c>
      <c r="M76" t="s">
        <v>3</v>
      </c>
      <c r="N76" t="s">
        <v>70</v>
      </c>
      <c r="O76" s="25" t="s">
        <v>3824</v>
      </c>
      <c r="P76" s="25">
        <v>1</v>
      </c>
      <c r="Q76" s="25">
        <v>-720000</v>
      </c>
      <c r="R76" s="25" t="s">
        <v>48</v>
      </c>
      <c r="S76" s="25" t="s">
        <v>48</v>
      </c>
      <c r="T76" s="25">
        <f t="shared" si="1"/>
        <v>-720000</v>
      </c>
    </row>
    <row r="77" spans="1:20">
      <c r="A77" t="s">
        <v>322</v>
      </c>
      <c r="B77">
        <v>45843</v>
      </c>
      <c r="C77" t="s">
        <v>87</v>
      </c>
      <c r="D77" t="s">
        <v>111</v>
      </c>
      <c r="E77" t="s">
        <v>3</v>
      </c>
      <c r="F77">
        <v>6010</v>
      </c>
      <c r="G77" t="s">
        <v>50</v>
      </c>
      <c r="H77" t="s">
        <v>319</v>
      </c>
      <c r="I77" t="s">
        <v>71</v>
      </c>
      <c r="J77">
        <v>-1400000</v>
      </c>
      <c r="K77" t="s">
        <v>320</v>
      </c>
      <c r="L77" t="s">
        <v>323</v>
      </c>
      <c r="M77" t="s">
        <v>3</v>
      </c>
      <c r="N77" t="s">
        <v>70</v>
      </c>
      <c r="O77" s="25" t="s">
        <v>3824</v>
      </c>
      <c r="P77" s="25">
        <v>1</v>
      </c>
      <c r="Q77" s="25">
        <v>-1400000</v>
      </c>
      <c r="R77" s="25" t="s">
        <v>48</v>
      </c>
      <c r="S77" s="25" t="s">
        <v>48</v>
      </c>
      <c r="T77" s="25">
        <f t="shared" si="1"/>
        <v>-1400000</v>
      </c>
    </row>
    <row r="78" spans="1:20">
      <c r="A78" t="s">
        <v>324</v>
      </c>
      <c r="B78">
        <v>45843</v>
      </c>
      <c r="C78" t="s">
        <v>87</v>
      </c>
      <c r="D78" t="s">
        <v>88</v>
      </c>
      <c r="E78" t="s">
        <v>3</v>
      </c>
      <c r="F78">
        <v>6010</v>
      </c>
      <c r="G78" t="s">
        <v>50</v>
      </c>
      <c r="H78" t="s">
        <v>319</v>
      </c>
      <c r="I78" t="s">
        <v>71</v>
      </c>
      <c r="J78">
        <v>-380000</v>
      </c>
      <c r="K78" t="s">
        <v>320</v>
      </c>
      <c r="L78" t="s">
        <v>325</v>
      </c>
      <c r="M78" t="s">
        <v>3</v>
      </c>
      <c r="N78" t="s">
        <v>70</v>
      </c>
      <c r="O78" s="25" t="s">
        <v>3824</v>
      </c>
      <c r="P78" s="25">
        <v>1</v>
      </c>
      <c r="Q78" s="25">
        <v>-380000</v>
      </c>
      <c r="R78" s="25" t="s">
        <v>48</v>
      </c>
      <c r="S78" s="25" t="s">
        <v>48</v>
      </c>
      <c r="T78" s="25">
        <f t="shared" si="1"/>
        <v>-380000</v>
      </c>
    </row>
    <row r="79" spans="1:20">
      <c r="A79" t="s">
        <v>326</v>
      </c>
      <c r="B79">
        <v>45844</v>
      </c>
      <c r="C79" t="s">
        <v>93</v>
      </c>
      <c r="D79" t="s">
        <v>94</v>
      </c>
      <c r="E79" t="s">
        <v>99</v>
      </c>
      <c r="F79">
        <v>4000</v>
      </c>
      <c r="G79" t="s">
        <v>25</v>
      </c>
      <c r="H79" t="s">
        <v>327</v>
      </c>
      <c r="I79" t="s">
        <v>71</v>
      </c>
      <c r="J79">
        <v>33300</v>
      </c>
      <c r="K79" t="s">
        <v>3</v>
      </c>
      <c r="L79" t="s">
        <v>328</v>
      </c>
      <c r="M79" t="s">
        <v>3</v>
      </c>
      <c r="N79" t="s">
        <v>70</v>
      </c>
      <c r="O79" s="25" t="s">
        <v>3824</v>
      </c>
      <c r="P79" s="25">
        <v>1</v>
      </c>
      <c r="Q79" s="25">
        <v>33300</v>
      </c>
      <c r="R79" s="25" t="s">
        <v>26</v>
      </c>
      <c r="S79" s="25" t="s">
        <v>26</v>
      </c>
      <c r="T79" s="25">
        <f t="shared" si="1"/>
        <v>33300</v>
      </c>
    </row>
    <row r="80" spans="1:20">
      <c r="A80" t="s">
        <v>329</v>
      </c>
      <c r="B80">
        <v>45844</v>
      </c>
      <c r="C80" t="s">
        <v>93</v>
      </c>
      <c r="D80" t="s">
        <v>94</v>
      </c>
      <c r="E80" t="s">
        <v>103</v>
      </c>
      <c r="F80">
        <v>4000</v>
      </c>
      <c r="G80" t="s">
        <v>25</v>
      </c>
      <c r="H80" t="s">
        <v>330</v>
      </c>
      <c r="I80" t="s">
        <v>71</v>
      </c>
      <c r="J80">
        <v>35100</v>
      </c>
      <c r="K80" t="s">
        <v>3</v>
      </c>
      <c r="L80" t="s">
        <v>331</v>
      </c>
      <c r="M80" t="s">
        <v>3</v>
      </c>
      <c r="N80" t="s">
        <v>70</v>
      </c>
      <c r="O80" s="25" t="s">
        <v>3824</v>
      </c>
      <c r="P80" s="25">
        <v>1</v>
      </c>
      <c r="Q80" s="25">
        <v>35100</v>
      </c>
      <c r="R80" s="25" t="s">
        <v>26</v>
      </c>
      <c r="S80" s="25" t="s">
        <v>26</v>
      </c>
      <c r="T80" s="25">
        <f t="shared" si="1"/>
        <v>35100</v>
      </c>
    </row>
    <row r="81" spans="1:20">
      <c r="A81" t="s">
        <v>332</v>
      </c>
      <c r="B81">
        <v>45844</v>
      </c>
      <c r="C81" t="s">
        <v>93</v>
      </c>
      <c r="D81" t="s">
        <v>94</v>
      </c>
      <c r="E81" t="s">
        <v>160</v>
      </c>
      <c r="F81">
        <v>4000</v>
      </c>
      <c r="G81" t="s">
        <v>25</v>
      </c>
      <c r="H81" t="s">
        <v>333</v>
      </c>
      <c r="I81" t="s">
        <v>71</v>
      </c>
      <c r="J81">
        <v>39000</v>
      </c>
      <c r="K81" t="s">
        <v>3</v>
      </c>
      <c r="L81" t="s">
        <v>331</v>
      </c>
      <c r="M81" t="s">
        <v>3</v>
      </c>
      <c r="N81" t="s">
        <v>70</v>
      </c>
      <c r="O81" s="25" t="s">
        <v>3824</v>
      </c>
      <c r="P81" s="25">
        <v>1</v>
      </c>
      <c r="Q81" s="25">
        <v>39000</v>
      </c>
      <c r="R81" s="25" t="s">
        <v>26</v>
      </c>
      <c r="S81" s="25" t="s">
        <v>26</v>
      </c>
      <c r="T81" s="25">
        <f t="shared" si="1"/>
        <v>39000</v>
      </c>
    </row>
    <row r="82" spans="1:20">
      <c r="A82" t="s">
        <v>334</v>
      </c>
      <c r="B82">
        <v>45844</v>
      </c>
      <c r="C82" t="s">
        <v>93</v>
      </c>
      <c r="D82" t="s">
        <v>94</v>
      </c>
      <c r="E82" t="s">
        <v>107</v>
      </c>
      <c r="F82">
        <v>4000</v>
      </c>
      <c r="G82" t="s">
        <v>25</v>
      </c>
      <c r="H82" t="s">
        <v>335</v>
      </c>
      <c r="I82" t="s">
        <v>71</v>
      </c>
      <c r="J82">
        <v>36900</v>
      </c>
      <c r="K82" t="s">
        <v>3</v>
      </c>
      <c r="L82" t="s">
        <v>336</v>
      </c>
      <c r="M82" t="s">
        <v>3</v>
      </c>
      <c r="N82" t="s">
        <v>70</v>
      </c>
      <c r="O82" s="25" t="s">
        <v>3824</v>
      </c>
      <c r="P82" s="25">
        <v>1</v>
      </c>
      <c r="Q82" s="25">
        <v>36900</v>
      </c>
      <c r="R82" s="25" t="s">
        <v>26</v>
      </c>
      <c r="S82" s="25" t="s">
        <v>26</v>
      </c>
      <c r="T82" s="25">
        <f t="shared" si="1"/>
        <v>36900</v>
      </c>
    </row>
    <row r="83" spans="1:20">
      <c r="A83" t="s">
        <v>337</v>
      </c>
      <c r="B83">
        <v>45844</v>
      </c>
      <c r="C83" t="s">
        <v>93</v>
      </c>
      <c r="D83" t="s">
        <v>111</v>
      </c>
      <c r="E83" t="s">
        <v>116</v>
      </c>
      <c r="F83">
        <v>4000</v>
      </c>
      <c r="G83" t="s">
        <v>25</v>
      </c>
      <c r="H83" t="s">
        <v>338</v>
      </c>
      <c r="I83" t="s">
        <v>71</v>
      </c>
      <c r="J83">
        <v>59700</v>
      </c>
      <c r="K83" t="s">
        <v>3</v>
      </c>
      <c r="L83" t="s">
        <v>339</v>
      </c>
      <c r="M83" t="s">
        <v>3</v>
      </c>
      <c r="N83" t="s">
        <v>70</v>
      </c>
      <c r="O83" s="25" t="s">
        <v>3824</v>
      </c>
      <c r="P83" s="25">
        <v>1</v>
      </c>
      <c r="Q83" s="25">
        <v>59700</v>
      </c>
      <c r="R83" s="25" t="s">
        <v>26</v>
      </c>
      <c r="S83" s="25" t="s">
        <v>26</v>
      </c>
      <c r="T83" s="25">
        <f t="shared" si="1"/>
        <v>59700</v>
      </c>
    </row>
    <row r="84" spans="1:20">
      <c r="A84" t="s">
        <v>340</v>
      </c>
      <c r="B84">
        <v>45844</v>
      </c>
      <c r="C84" t="s">
        <v>93</v>
      </c>
      <c r="D84" t="s">
        <v>111</v>
      </c>
      <c r="E84" t="s">
        <v>119</v>
      </c>
      <c r="F84">
        <v>4000</v>
      </c>
      <c r="G84" t="s">
        <v>25</v>
      </c>
      <c r="H84" t="s">
        <v>341</v>
      </c>
      <c r="I84" t="s">
        <v>71</v>
      </c>
      <c r="J84">
        <v>59500</v>
      </c>
      <c r="K84" t="s">
        <v>3</v>
      </c>
      <c r="L84" t="s">
        <v>339</v>
      </c>
      <c r="M84" t="s">
        <v>3</v>
      </c>
      <c r="N84" t="s">
        <v>70</v>
      </c>
      <c r="O84" s="25" t="s">
        <v>3824</v>
      </c>
      <c r="P84" s="25">
        <v>1</v>
      </c>
      <c r="Q84" s="25">
        <v>59500</v>
      </c>
      <c r="R84" s="25" t="s">
        <v>26</v>
      </c>
      <c r="S84" s="25" t="s">
        <v>26</v>
      </c>
      <c r="T84" s="25">
        <f t="shared" si="1"/>
        <v>59500</v>
      </c>
    </row>
    <row r="85" spans="1:20">
      <c r="A85" t="s">
        <v>342</v>
      </c>
      <c r="B85">
        <v>45844</v>
      </c>
      <c r="C85" t="s">
        <v>93</v>
      </c>
      <c r="D85" t="s">
        <v>111</v>
      </c>
      <c r="E85" t="s">
        <v>170</v>
      </c>
      <c r="F85">
        <v>4000</v>
      </c>
      <c r="G85" t="s">
        <v>25</v>
      </c>
      <c r="H85" t="s">
        <v>343</v>
      </c>
      <c r="I85" t="s">
        <v>71</v>
      </c>
      <c r="J85">
        <v>58400</v>
      </c>
      <c r="K85" t="s">
        <v>3</v>
      </c>
      <c r="L85" t="s">
        <v>339</v>
      </c>
      <c r="M85" t="s">
        <v>3</v>
      </c>
      <c r="N85" t="s">
        <v>70</v>
      </c>
      <c r="O85" s="25" t="s">
        <v>3824</v>
      </c>
      <c r="P85" s="25">
        <v>1</v>
      </c>
      <c r="Q85" s="25">
        <v>58400</v>
      </c>
      <c r="R85" s="25" t="s">
        <v>26</v>
      </c>
      <c r="S85" s="25" t="s">
        <v>26</v>
      </c>
      <c r="T85" s="25">
        <f t="shared" si="1"/>
        <v>58400</v>
      </c>
    </row>
    <row r="86" spans="1:20">
      <c r="A86" t="s">
        <v>344</v>
      </c>
      <c r="B86">
        <v>45844</v>
      </c>
      <c r="C86" t="s">
        <v>93</v>
      </c>
      <c r="D86" t="s">
        <v>111</v>
      </c>
      <c r="E86" t="s">
        <v>122</v>
      </c>
      <c r="F86">
        <v>4000</v>
      </c>
      <c r="G86" t="s">
        <v>25</v>
      </c>
      <c r="H86" t="s">
        <v>345</v>
      </c>
      <c r="I86" t="s">
        <v>71</v>
      </c>
      <c r="J86">
        <v>62500</v>
      </c>
      <c r="K86" t="s">
        <v>3</v>
      </c>
      <c r="L86" t="s">
        <v>346</v>
      </c>
      <c r="M86" t="s">
        <v>3</v>
      </c>
      <c r="N86" t="s">
        <v>70</v>
      </c>
      <c r="O86" s="25" t="s">
        <v>3824</v>
      </c>
      <c r="P86" s="25">
        <v>1</v>
      </c>
      <c r="Q86" s="25">
        <v>62500</v>
      </c>
      <c r="R86" s="25" t="s">
        <v>26</v>
      </c>
      <c r="S86" s="25" t="s">
        <v>26</v>
      </c>
      <c r="T86" s="25">
        <f t="shared" si="1"/>
        <v>62500</v>
      </c>
    </row>
    <row r="87" spans="1:20">
      <c r="A87" t="s">
        <v>347</v>
      </c>
      <c r="B87">
        <v>45844</v>
      </c>
      <c r="C87" t="s">
        <v>126</v>
      </c>
      <c r="D87" t="s">
        <v>88</v>
      </c>
      <c r="E87" t="s">
        <v>127</v>
      </c>
      <c r="F87">
        <v>4020</v>
      </c>
      <c r="G87" t="s">
        <v>30</v>
      </c>
      <c r="H87" t="s">
        <v>348</v>
      </c>
      <c r="I87" t="s">
        <v>72</v>
      </c>
      <c r="J87">
        <v>30.07</v>
      </c>
      <c r="K87" t="s">
        <v>129</v>
      </c>
      <c r="L87" t="s">
        <v>349</v>
      </c>
      <c r="M87" t="s">
        <v>3</v>
      </c>
      <c r="N87" t="s">
        <v>70</v>
      </c>
      <c r="O87" s="25" t="s">
        <v>3825</v>
      </c>
      <c r="P87" s="25">
        <v>1530</v>
      </c>
      <c r="Q87" s="25">
        <v>46007.1</v>
      </c>
      <c r="R87" s="25" t="s">
        <v>26</v>
      </c>
      <c r="S87" s="25" t="s">
        <v>26</v>
      </c>
      <c r="T87" s="25">
        <f t="shared" si="1"/>
        <v>46007.1</v>
      </c>
    </row>
    <row r="88" spans="1:20">
      <c r="A88" t="s">
        <v>350</v>
      </c>
      <c r="B88">
        <v>45844</v>
      </c>
      <c r="C88" t="s">
        <v>126</v>
      </c>
      <c r="D88" t="s">
        <v>88</v>
      </c>
      <c r="E88" t="s">
        <v>132</v>
      </c>
      <c r="F88">
        <v>4020</v>
      </c>
      <c r="G88" t="s">
        <v>30</v>
      </c>
      <c r="H88" t="s">
        <v>351</v>
      </c>
      <c r="I88" t="s">
        <v>72</v>
      </c>
      <c r="J88">
        <v>28.04</v>
      </c>
      <c r="K88" t="s">
        <v>134</v>
      </c>
      <c r="L88" t="s">
        <v>349</v>
      </c>
      <c r="M88" t="s">
        <v>3</v>
      </c>
      <c r="N88" t="s">
        <v>70</v>
      </c>
      <c r="O88" s="25" t="s">
        <v>3825</v>
      </c>
      <c r="P88" s="25">
        <v>1530</v>
      </c>
      <c r="Q88" s="25">
        <v>42901.2</v>
      </c>
      <c r="R88" s="25" t="s">
        <v>26</v>
      </c>
      <c r="S88" s="25" t="s">
        <v>26</v>
      </c>
      <c r="T88" s="25">
        <f t="shared" si="1"/>
        <v>42901.2</v>
      </c>
    </row>
    <row r="89" spans="1:20">
      <c r="A89" t="s">
        <v>352</v>
      </c>
      <c r="B89">
        <v>45844</v>
      </c>
      <c r="C89" t="s">
        <v>126</v>
      </c>
      <c r="D89" t="s">
        <v>88</v>
      </c>
      <c r="E89" t="s">
        <v>136</v>
      </c>
      <c r="F89">
        <v>4020</v>
      </c>
      <c r="G89" t="s">
        <v>30</v>
      </c>
      <c r="H89" t="s">
        <v>353</v>
      </c>
      <c r="I89" t="s">
        <v>71</v>
      </c>
      <c r="J89">
        <v>47000</v>
      </c>
      <c r="K89" t="s">
        <v>138</v>
      </c>
      <c r="L89" t="s">
        <v>349</v>
      </c>
      <c r="M89" t="s">
        <v>3</v>
      </c>
      <c r="N89" t="s">
        <v>70</v>
      </c>
      <c r="O89" s="25" t="s">
        <v>3824</v>
      </c>
      <c r="P89" s="25">
        <v>1</v>
      </c>
      <c r="Q89" s="25">
        <v>47000</v>
      </c>
      <c r="R89" s="25" t="s">
        <v>26</v>
      </c>
      <c r="S89" s="25" t="s">
        <v>26</v>
      </c>
      <c r="T89" s="25">
        <f t="shared" si="1"/>
        <v>47000</v>
      </c>
    </row>
    <row r="90" spans="1:20">
      <c r="A90" t="s">
        <v>354</v>
      </c>
      <c r="B90">
        <v>45844</v>
      </c>
      <c r="C90" t="s">
        <v>126</v>
      </c>
      <c r="D90" t="s">
        <v>88</v>
      </c>
      <c r="E90" t="s">
        <v>140</v>
      </c>
      <c r="F90">
        <v>4020</v>
      </c>
      <c r="G90" t="s">
        <v>30</v>
      </c>
      <c r="H90" t="s">
        <v>355</v>
      </c>
      <c r="I90" t="s">
        <v>71</v>
      </c>
      <c r="J90">
        <v>41500</v>
      </c>
      <c r="K90" t="s">
        <v>3</v>
      </c>
      <c r="L90" t="s">
        <v>356</v>
      </c>
      <c r="M90" t="s">
        <v>3</v>
      </c>
      <c r="N90" t="s">
        <v>70</v>
      </c>
      <c r="O90" s="25" t="s">
        <v>3824</v>
      </c>
      <c r="P90" s="25">
        <v>1</v>
      </c>
      <c r="Q90" s="25">
        <v>41500</v>
      </c>
      <c r="R90" s="25" t="s">
        <v>26</v>
      </c>
      <c r="S90" s="25" t="s">
        <v>26</v>
      </c>
      <c r="T90" s="25">
        <f t="shared" si="1"/>
        <v>41500</v>
      </c>
    </row>
    <row r="91" spans="1:20">
      <c r="A91" t="s">
        <v>357</v>
      </c>
      <c r="B91">
        <v>45844</v>
      </c>
      <c r="C91" t="s">
        <v>93</v>
      </c>
      <c r="D91" t="s">
        <v>111</v>
      </c>
      <c r="E91" t="s">
        <v>112</v>
      </c>
      <c r="F91">
        <v>4900</v>
      </c>
      <c r="G91" t="s">
        <v>32</v>
      </c>
      <c r="H91" t="s">
        <v>358</v>
      </c>
      <c r="I91" t="s">
        <v>71</v>
      </c>
      <c r="J91">
        <v>68559</v>
      </c>
      <c r="K91" t="s">
        <v>3</v>
      </c>
      <c r="L91" t="s">
        <v>359</v>
      </c>
      <c r="M91" t="s">
        <v>237</v>
      </c>
      <c r="N91" t="s">
        <v>70</v>
      </c>
      <c r="O91" s="25" t="s">
        <v>3824</v>
      </c>
      <c r="P91" s="25">
        <v>1</v>
      </c>
      <c r="Q91" s="25">
        <v>68559</v>
      </c>
      <c r="R91" s="25" t="s">
        <v>26</v>
      </c>
      <c r="S91" s="25" t="s">
        <v>26</v>
      </c>
      <c r="T91" s="25">
        <f t="shared" si="1"/>
        <v>-68559</v>
      </c>
    </row>
    <row r="92" spans="1:20">
      <c r="A92" t="s">
        <v>360</v>
      </c>
      <c r="B92">
        <v>45844</v>
      </c>
      <c r="C92" t="s">
        <v>87</v>
      </c>
      <c r="D92" t="s">
        <v>88</v>
      </c>
      <c r="E92" t="s">
        <v>3</v>
      </c>
      <c r="F92">
        <v>5030</v>
      </c>
      <c r="G92" t="s">
        <v>41</v>
      </c>
      <c r="H92" t="s">
        <v>148</v>
      </c>
      <c r="I92" t="s">
        <v>71</v>
      </c>
      <c r="J92">
        <v>-562000</v>
      </c>
      <c r="K92" t="s">
        <v>90</v>
      </c>
      <c r="L92" t="s">
        <v>361</v>
      </c>
      <c r="M92" t="s">
        <v>3</v>
      </c>
      <c r="N92" t="s">
        <v>70</v>
      </c>
      <c r="O92" s="25" t="s">
        <v>3824</v>
      </c>
      <c r="P92" s="25">
        <v>1</v>
      </c>
      <c r="Q92" s="25">
        <v>-562000</v>
      </c>
      <c r="R92" s="25" t="s">
        <v>35</v>
      </c>
      <c r="S92" s="25" t="s">
        <v>35</v>
      </c>
      <c r="T92" s="25">
        <f t="shared" si="1"/>
        <v>-562000</v>
      </c>
    </row>
    <row r="93" spans="1:20">
      <c r="A93" t="s">
        <v>362</v>
      </c>
      <c r="B93">
        <v>45845</v>
      </c>
      <c r="C93" t="s">
        <v>93</v>
      </c>
      <c r="D93" t="s">
        <v>94</v>
      </c>
      <c r="E93" t="s">
        <v>95</v>
      </c>
      <c r="F93">
        <v>4000</v>
      </c>
      <c r="G93" t="s">
        <v>25</v>
      </c>
      <c r="H93" t="s">
        <v>363</v>
      </c>
      <c r="I93" t="s">
        <v>71</v>
      </c>
      <c r="J93">
        <v>26500</v>
      </c>
      <c r="K93" t="s">
        <v>3</v>
      </c>
      <c r="L93" t="s">
        <v>364</v>
      </c>
      <c r="M93" t="s">
        <v>3</v>
      </c>
      <c r="N93" t="s">
        <v>70</v>
      </c>
      <c r="O93" s="25" t="s">
        <v>3824</v>
      </c>
      <c r="P93" s="25">
        <v>1</v>
      </c>
      <c r="Q93" s="25">
        <v>26500</v>
      </c>
      <c r="R93" s="25" t="s">
        <v>26</v>
      </c>
      <c r="S93" s="25" t="s">
        <v>26</v>
      </c>
      <c r="T93" s="25">
        <f t="shared" si="1"/>
        <v>26500</v>
      </c>
    </row>
    <row r="94" spans="1:20">
      <c r="A94" t="s">
        <v>365</v>
      </c>
      <c r="B94">
        <v>45845</v>
      </c>
      <c r="C94" t="s">
        <v>93</v>
      </c>
      <c r="D94" t="s">
        <v>94</v>
      </c>
      <c r="E94" t="s">
        <v>99</v>
      </c>
      <c r="F94">
        <v>4000</v>
      </c>
      <c r="G94" t="s">
        <v>25</v>
      </c>
      <c r="H94" t="s">
        <v>366</v>
      </c>
      <c r="I94" t="s">
        <v>71</v>
      </c>
      <c r="J94">
        <v>27800</v>
      </c>
      <c r="K94" t="s">
        <v>3</v>
      </c>
      <c r="L94" t="s">
        <v>367</v>
      </c>
      <c r="M94" t="s">
        <v>3</v>
      </c>
      <c r="N94" t="s">
        <v>70</v>
      </c>
      <c r="O94" s="25" t="s">
        <v>3824</v>
      </c>
      <c r="P94" s="25">
        <v>1</v>
      </c>
      <c r="Q94" s="25">
        <v>27800</v>
      </c>
      <c r="R94" s="25" t="s">
        <v>26</v>
      </c>
      <c r="S94" s="25" t="s">
        <v>26</v>
      </c>
      <c r="T94" s="25">
        <f t="shared" si="1"/>
        <v>27800</v>
      </c>
    </row>
    <row r="95" spans="1:20">
      <c r="A95" t="s">
        <v>368</v>
      </c>
      <c r="B95">
        <v>45845</v>
      </c>
      <c r="C95" t="s">
        <v>93</v>
      </c>
      <c r="D95" t="s">
        <v>94</v>
      </c>
      <c r="E95" t="s">
        <v>103</v>
      </c>
      <c r="F95">
        <v>4000</v>
      </c>
      <c r="G95" t="s">
        <v>25</v>
      </c>
      <c r="H95" t="s">
        <v>369</v>
      </c>
      <c r="I95" t="s">
        <v>71</v>
      </c>
      <c r="J95">
        <v>28300</v>
      </c>
      <c r="K95" t="s">
        <v>3</v>
      </c>
      <c r="L95" t="s">
        <v>370</v>
      </c>
      <c r="M95" t="s">
        <v>3</v>
      </c>
      <c r="N95" t="s">
        <v>70</v>
      </c>
      <c r="O95" s="25" t="s">
        <v>3824</v>
      </c>
      <c r="P95" s="25">
        <v>1</v>
      </c>
      <c r="Q95" s="25">
        <v>28300</v>
      </c>
      <c r="R95" s="25" t="s">
        <v>26</v>
      </c>
      <c r="S95" s="25" t="s">
        <v>26</v>
      </c>
      <c r="T95" s="25">
        <f t="shared" si="1"/>
        <v>28300</v>
      </c>
    </row>
    <row r="96" spans="1:20">
      <c r="A96" t="s">
        <v>371</v>
      </c>
      <c r="B96">
        <v>45845</v>
      </c>
      <c r="C96" t="s">
        <v>93</v>
      </c>
      <c r="D96" t="s">
        <v>94</v>
      </c>
      <c r="E96" t="s">
        <v>160</v>
      </c>
      <c r="F96">
        <v>4000</v>
      </c>
      <c r="G96" t="s">
        <v>25</v>
      </c>
      <c r="H96" t="s">
        <v>372</v>
      </c>
      <c r="I96" t="s">
        <v>71</v>
      </c>
      <c r="J96">
        <v>30700</v>
      </c>
      <c r="K96" t="s">
        <v>3</v>
      </c>
      <c r="L96" t="s">
        <v>370</v>
      </c>
      <c r="M96" t="s">
        <v>3</v>
      </c>
      <c r="N96" t="s">
        <v>70</v>
      </c>
      <c r="O96" s="25" t="s">
        <v>3824</v>
      </c>
      <c r="P96" s="25">
        <v>1</v>
      </c>
      <c r="Q96" s="25">
        <v>30700</v>
      </c>
      <c r="R96" s="25" t="s">
        <v>26</v>
      </c>
      <c r="S96" s="25" t="s">
        <v>26</v>
      </c>
      <c r="T96" s="25">
        <f t="shared" si="1"/>
        <v>30700</v>
      </c>
    </row>
    <row r="97" spans="1:20">
      <c r="A97" t="s">
        <v>373</v>
      </c>
      <c r="B97">
        <v>45845</v>
      </c>
      <c r="C97" t="s">
        <v>93</v>
      </c>
      <c r="D97" t="s">
        <v>94</v>
      </c>
      <c r="E97" t="s">
        <v>107</v>
      </c>
      <c r="F97">
        <v>4000</v>
      </c>
      <c r="G97" t="s">
        <v>25</v>
      </c>
      <c r="H97" t="s">
        <v>374</v>
      </c>
      <c r="I97" t="s">
        <v>71</v>
      </c>
      <c r="J97">
        <v>30500</v>
      </c>
      <c r="K97" t="s">
        <v>3</v>
      </c>
      <c r="L97" t="s">
        <v>375</v>
      </c>
      <c r="M97" t="s">
        <v>3</v>
      </c>
      <c r="N97" t="s">
        <v>70</v>
      </c>
      <c r="O97" s="25" t="s">
        <v>3824</v>
      </c>
      <c r="P97" s="25">
        <v>1</v>
      </c>
      <c r="Q97" s="25">
        <v>30500</v>
      </c>
      <c r="R97" s="25" t="s">
        <v>26</v>
      </c>
      <c r="S97" s="25" t="s">
        <v>26</v>
      </c>
      <c r="T97" s="25">
        <f t="shared" si="1"/>
        <v>30500</v>
      </c>
    </row>
    <row r="98" spans="1:20">
      <c r="A98" t="s">
        <v>376</v>
      </c>
      <c r="B98">
        <v>45845</v>
      </c>
      <c r="C98" t="s">
        <v>93</v>
      </c>
      <c r="D98" t="s">
        <v>111</v>
      </c>
      <c r="E98" t="s">
        <v>116</v>
      </c>
      <c r="F98">
        <v>4000</v>
      </c>
      <c r="G98" t="s">
        <v>25</v>
      </c>
      <c r="H98" t="s">
        <v>377</v>
      </c>
      <c r="I98" t="s">
        <v>71</v>
      </c>
      <c r="J98">
        <v>50500</v>
      </c>
      <c r="K98" t="s">
        <v>3</v>
      </c>
      <c r="L98" t="s">
        <v>378</v>
      </c>
      <c r="M98" t="s">
        <v>3</v>
      </c>
      <c r="N98" t="s">
        <v>70</v>
      </c>
      <c r="O98" s="25" t="s">
        <v>3824</v>
      </c>
      <c r="P98" s="25">
        <v>1</v>
      </c>
      <c r="Q98" s="25">
        <v>50500</v>
      </c>
      <c r="R98" s="25" t="s">
        <v>26</v>
      </c>
      <c r="S98" s="25" t="s">
        <v>26</v>
      </c>
      <c r="T98" s="25">
        <f t="shared" si="1"/>
        <v>50500</v>
      </c>
    </row>
    <row r="99" spans="1:20">
      <c r="A99" t="s">
        <v>379</v>
      </c>
      <c r="B99">
        <v>45845</v>
      </c>
      <c r="C99" t="s">
        <v>93</v>
      </c>
      <c r="D99" t="s">
        <v>111</v>
      </c>
      <c r="E99" t="s">
        <v>119</v>
      </c>
      <c r="F99">
        <v>4000</v>
      </c>
      <c r="G99" t="s">
        <v>25</v>
      </c>
      <c r="H99" t="s">
        <v>380</v>
      </c>
      <c r="I99" t="s">
        <v>71</v>
      </c>
      <c r="J99">
        <v>47700</v>
      </c>
      <c r="K99" t="s">
        <v>3</v>
      </c>
      <c r="L99" t="s">
        <v>378</v>
      </c>
      <c r="M99" t="s">
        <v>3</v>
      </c>
      <c r="N99" t="s">
        <v>70</v>
      </c>
      <c r="O99" s="25" t="s">
        <v>3824</v>
      </c>
      <c r="P99" s="25">
        <v>1</v>
      </c>
      <c r="Q99" s="25">
        <v>47700</v>
      </c>
      <c r="R99" s="25" t="s">
        <v>26</v>
      </c>
      <c r="S99" s="25" t="s">
        <v>26</v>
      </c>
      <c r="T99" s="25">
        <f t="shared" si="1"/>
        <v>47700</v>
      </c>
    </row>
    <row r="100" spans="1:20">
      <c r="A100" t="s">
        <v>381</v>
      </c>
      <c r="B100">
        <v>45845</v>
      </c>
      <c r="C100" t="s">
        <v>93</v>
      </c>
      <c r="D100" t="s">
        <v>111</v>
      </c>
      <c r="E100" t="s">
        <v>170</v>
      </c>
      <c r="F100">
        <v>4000</v>
      </c>
      <c r="G100" t="s">
        <v>25</v>
      </c>
      <c r="H100" t="s">
        <v>382</v>
      </c>
      <c r="I100" t="s">
        <v>71</v>
      </c>
      <c r="J100">
        <v>49900</v>
      </c>
      <c r="K100" t="s">
        <v>3</v>
      </c>
      <c r="L100" t="s">
        <v>378</v>
      </c>
      <c r="M100" t="s">
        <v>3</v>
      </c>
      <c r="N100" t="s">
        <v>70</v>
      </c>
      <c r="O100" s="25" t="s">
        <v>3824</v>
      </c>
      <c r="P100" s="25">
        <v>1</v>
      </c>
      <c r="Q100" s="25">
        <v>49900</v>
      </c>
      <c r="R100" s="25" t="s">
        <v>26</v>
      </c>
      <c r="S100" s="25" t="s">
        <v>26</v>
      </c>
      <c r="T100" s="25">
        <f t="shared" si="1"/>
        <v>49900</v>
      </c>
    </row>
    <row r="101" spans="1:20">
      <c r="A101" t="s">
        <v>383</v>
      </c>
      <c r="B101">
        <v>45845</v>
      </c>
      <c r="C101" t="s">
        <v>93</v>
      </c>
      <c r="D101" t="s">
        <v>111</v>
      </c>
      <c r="E101" t="s">
        <v>122</v>
      </c>
      <c r="F101">
        <v>4000</v>
      </c>
      <c r="G101" t="s">
        <v>25</v>
      </c>
      <c r="H101" t="s">
        <v>384</v>
      </c>
      <c r="I101" t="s">
        <v>71</v>
      </c>
      <c r="J101">
        <v>47200</v>
      </c>
      <c r="K101" t="s">
        <v>3</v>
      </c>
      <c r="L101" t="s">
        <v>385</v>
      </c>
      <c r="M101" t="s">
        <v>3</v>
      </c>
      <c r="N101" t="s">
        <v>70</v>
      </c>
      <c r="O101" s="25" t="s">
        <v>3824</v>
      </c>
      <c r="P101" s="25">
        <v>1</v>
      </c>
      <c r="Q101" s="25">
        <v>47200</v>
      </c>
      <c r="R101" s="25" t="s">
        <v>26</v>
      </c>
      <c r="S101" s="25" t="s">
        <v>26</v>
      </c>
      <c r="T101" s="25">
        <f t="shared" si="1"/>
        <v>47200</v>
      </c>
    </row>
    <row r="102" spans="1:20">
      <c r="A102" t="s">
        <v>386</v>
      </c>
      <c r="B102">
        <v>45845</v>
      </c>
      <c r="C102" t="s">
        <v>126</v>
      </c>
      <c r="D102" t="s">
        <v>88</v>
      </c>
      <c r="E102" t="s">
        <v>127</v>
      </c>
      <c r="F102">
        <v>4020</v>
      </c>
      <c r="G102" t="s">
        <v>30</v>
      </c>
      <c r="H102" t="s">
        <v>387</v>
      </c>
      <c r="I102" t="s">
        <v>71</v>
      </c>
      <c r="J102">
        <v>41900</v>
      </c>
      <c r="K102" t="s">
        <v>129</v>
      </c>
      <c r="L102" t="s">
        <v>388</v>
      </c>
      <c r="M102" t="s">
        <v>3</v>
      </c>
      <c r="N102" t="s">
        <v>70</v>
      </c>
      <c r="O102" s="25" t="s">
        <v>3824</v>
      </c>
      <c r="P102" s="25">
        <v>1</v>
      </c>
      <c r="Q102" s="25">
        <v>41900</v>
      </c>
      <c r="R102" s="25" t="s">
        <v>26</v>
      </c>
      <c r="S102" s="25" t="s">
        <v>26</v>
      </c>
      <c r="T102" s="25">
        <f t="shared" si="1"/>
        <v>41900</v>
      </c>
    </row>
    <row r="103" spans="1:20">
      <c r="A103" t="s">
        <v>389</v>
      </c>
      <c r="B103">
        <v>45845</v>
      </c>
      <c r="C103" t="s">
        <v>126</v>
      </c>
      <c r="D103" t="s">
        <v>88</v>
      </c>
      <c r="E103" t="s">
        <v>132</v>
      </c>
      <c r="F103">
        <v>4020</v>
      </c>
      <c r="G103" t="s">
        <v>30</v>
      </c>
      <c r="H103" t="s">
        <v>390</v>
      </c>
      <c r="I103" t="s">
        <v>71</v>
      </c>
      <c r="J103">
        <v>46700</v>
      </c>
      <c r="K103" t="s">
        <v>134</v>
      </c>
      <c r="L103" t="s">
        <v>388</v>
      </c>
      <c r="M103" t="s">
        <v>3</v>
      </c>
      <c r="N103" t="s">
        <v>70</v>
      </c>
      <c r="O103" s="25" t="s">
        <v>3824</v>
      </c>
      <c r="P103" s="25">
        <v>1</v>
      </c>
      <c r="Q103" s="25">
        <v>46700</v>
      </c>
      <c r="R103" s="25" t="s">
        <v>26</v>
      </c>
      <c r="S103" s="25" t="s">
        <v>26</v>
      </c>
      <c r="T103" s="25">
        <f t="shared" si="1"/>
        <v>46700</v>
      </c>
    </row>
    <row r="104" spans="1:20">
      <c r="A104" t="s">
        <v>391</v>
      </c>
      <c r="B104">
        <v>45845</v>
      </c>
      <c r="C104" t="s">
        <v>126</v>
      </c>
      <c r="D104" t="s">
        <v>88</v>
      </c>
      <c r="E104" t="s">
        <v>136</v>
      </c>
      <c r="F104">
        <v>4020</v>
      </c>
      <c r="G104" t="s">
        <v>30</v>
      </c>
      <c r="H104" t="s">
        <v>392</v>
      </c>
      <c r="I104" t="s">
        <v>72</v>
      </c>
      <c r="J104">
        <v>26.54</v>
      </c>
      <c r="K104" t="s">
        <v>138</v>
      </c>
      <c r="L104" t="s">
        <v>388</v>
      </c>
      <c r="M104" t="s">
        <v>3</v>
      </c>
      <c r="N104" t="s">
        <v>70</v>
      </c>
      <c r="O104" s="25" t="s">
        <v>3825</v>
      </c>
      <c r="P104" s="25">
        <v>1530</v>
      </c>
      <c r="Q104" s="25">
        <v>40606.199999999997</v>
      </c>
      <c r="R104" s="25" t="s">
        <v>26</v>
      </c>
      <c r="S104" s="25" t="s">
        <v>26</v>
      </c>
      <c r="T104" s="25">
        <f t="shared" si="1"/>
        <v>40606.199999999997</v>
      </c>
    </row>
    <row r="105" spans="1:20">
      <c r="A105" t="s">
        <v>393</v>
      </c>
      <c r="B105">
        <v>45845</v>
      </c>
      <c r="C105" t="s">
        <v>126</v>
      </c>
      <c r="D105" t="s">
        <v>88</v>
      </c>
      <c r="E105" t="s">
        <v>140</v>
      </c>
      <c r="F105">
        <v>4020</v>
      </c>
      <c r="G105" t="s">
        <v>30</v>
      </c>
      <c r="H105" t="s">
        <v>394</v>
      </c>
      <c r="I105" t="s">
        <v>71</v>
      </c>
      <c r="J105">
        <v>48600</v>
      </c>
      <c r="K105" t="s">
        <v>3</v>
      </c>
      <c r="L105" t="s">
        <v>395</v>
      </c>
      <c r="M105" t="s">
        <v>3</v>
      </c>
      <c r="N105" t="s">
        <v>70</v>
      </c>
      <c r="O105" s="25" t="s">
        <v>3824</v>
      </c>
      <c r="P105" s="25">
        <v>1</v>
      </c>
      <c r="Q105" s="25">
        <v>48600</v>
      </c>
      <c r="R105" s="25" t="s">
        <v>26</v>
      </c>
      <c r="S105" s="25" t="s">
        <v>26</v>
      </c>
      <c r="T105" s="25">
        <f t="shared" si="1"/>
        <v>48600</v>
      </c>
    </row>
    <row r="106" spans="1:20">
      <c r="A106" t="s">
        <v>396</v>
      </c>
      <c r="B106">
        <v>45845</v>
      </c>
      <c r="C106" t="s">
        <v>87</v>
      </c>
      <c r="D106" t="s">
        <v>88</v>
      </c>
      <c r="E106" t="s">
        <v>3</v>
      </c>
      <c r="F106">
        <v>5040</v>
      </c>
      <c r="G106" t="s">
        <v>43</v>
      </c>
      <c r="H106" t="s">
        <v>397</v>
      </c>
      <c r="I106" t="s">
        <v>71</v>
      </c>
      <c r="J106">
        <v>-630000</v>
      </c>
      <c r="K106" t="s">
        <v>398</v>
      </c>
      <c r="L106" t="s">
        <v>399</v>
      </c>
      <c r="M106" t="s">
        <v>3</v>
      </c>
      <c r="N106" t="s">
        <v>70</v>
      </c>
      <c r="O106" s="25" t="s">
        <v>3824</v>
      </c>
      <c r="P106" s="25">
        <v>1</v>
      </c>
      <c r="Q106" s="25">
        <v>-630000</v>
      </c>
      <c r="R106" s="25" t="s">
        <v>35</v>
      </c>
      <c r="S106" s="25" t="s">
        <v>35</v>
      </c>
      <c r="T106" s="25">
        <f t="shared" si="1"/>
        <v>-630000</v>
      </c>
    </row>
    <row r="107" spans="1:20">
      <c r="A107" t="s">
        <v>400</v>
      </c>
      <c r="B107">
        <v>45846</v>
      </c>
      <c r="C107" t="s">
        <v>93</v>
      </c>
      <c r="D107" t="s">
        <v>94</v>
      </c>
      <c r="E107" t="s">
        <v>95</v>
      </c>
      <c r="F107">
        <v>4000</v>
      </c>
      <c r="G107" t="s">
        <v>25</v>
      </c>
      <c r="H107" t="s">
        <v>401</v>
      </c>
      <c r="I107" t="s">
        <v>71</v>
      </c>
      <c r="J107">
        <v>29600</v>
      </c>
      <c r="K107" t="s">
        <v>3</v>
      </c>
      <c r="L107" t="s">
        <v>402</v>
      </c>
      <c r="M107" t="s">
        <v>3</v>
      </c>
      <c r="N107" t="s">
        <v>70</v>
      </c>
      <c r="O107" s="25" t="s">
        <v>3824</v>
      </c>
      <c r="P107" s="25">
        <v>1</v>
      </c>
      <c r="Q107" s="25">
        <v>29600</v>
      </c>
      <c r="R107" s="25" t="s">
        <v>26</v>
      </c>
      <c r="S107" s="25" t="s">
        <v>26</v>
      </c>
      <c r="T107" s="25">
        <f t="shared" si="1"/>
        <v>29600</v>
      </c>
    </row>
    <row r="108" spans="1:20">
      <c r="A108" t="s">
        <v>403</v>
      </c>
      <c r="B108">
        <v>45846</v>
      </c>
      <c r="C108" t="s">
        <v>93</v>
      </c>
      <c r="D108" t="s">
        <v>94</v>
      </c>
      <c r="E108" t="s">
        <v>99</v>
      </c>
      <c r="F108">
        <v>4000</v>
      </c>
      <c r="G108" t="s">
        <v>25</v>
      </c>
      <c r="H108" t="s">
        <v>404</v>
      </c>
      <c r="I108" t="s">
        <v>71</v>
      </c>
      <c r="J108">
        <v>26800</v>
      </c>
      <c r="K108" t="s">
        <v>3</v>
      </c>
      <c r="L108" t="s">
        <v>405</v>
      </c>
      <c r="M108" t="s">
        <v>3</v>
      </c>
      <c r="N108" t="s">
        <v>70</v>
      </c>
      <c r="O108" s="25" t="s">
        <v>3824</v>
      </c>
      <c r="P108" s="25">
        <v>1</v>
      </c>
      <c r="Q108" s="25">
        <v>26800</v>
      </c>
      <c r="R108" s="25" t="s">
        <v>26</v>
      </c>
      <c r="S108" s="25" t="s">
        <v>26</v>
      </c>
      <c r="T108" s="25">
        <f t="shared" si="1"/>
        <v>26800</v>
      </c>
    </row>
    <row r="109" spans="1:20">
      <c r="A109" t="s">
        <v>406</v>
      </c>
      <c r="B109">
        <v>45846</v>
      </c>
      <c r="C109" t="s">
        <v>93</v>
      </c>
      <c r="D109" t="s">
        <v>94</v>
      </c>
      <c r="E109" t="s">
        <v>103</v>
      </c>
      <c r="F109">
        <v>4000</v>
      </c>
      <c r="G109" t="s">
        <v>25</v>
      </c>
      <c r="H109" t="s">
        <v>407</v>
      </c>
      <c r="I109" t="s">
        <v>71</v>
      </c>
      <c r="J109">
        <v>26700</v>
      </c>
      <c r="K109" t="s">
        <v>3</v>
      </c>
      <c r="L109" t="s">
        <v>408</v>
      </c>
      <c r="M109" t="s">
        <v>3</v>
      </c>
      <c r="N109" t="s">
        <v>70</v>
      </c>
      <c r="O109" s="25" t="s">
        <v>3824</v>
      </c>
      <c r="P109" s="25">
        <v>1</v>
      </c>
      <c r="Q109" s="25">
        <v>26700</v>
      </c>
      <c r="R109" s="25" t="s">
        <v>26</v>
      </c>
      <c r="S109" s="25" t="s">
        <v>26</v>
      </c>
      <c r="T109" s="25">
        <f t="shared" si="1"/>
        <v>26700</v>
      </c>
    </row>
    <row r="110" spans="1:20">
      <c r="A110" t="s">
        <v>409</v>
      </c>
      <c r="B110">
        <v>45846</v>
      </c>
      <c r="C110" t="s">
        <v>93</v>
      </c>
      <c r="D110" t="s">
        <v>94</v>
      </c>
      <c r="E110" t="s">
        <v>160</v>
      </c>
      <c r="F110">
        <v>4000</v>
      </c>
      <c r="G110" t="s">
        <v>25</v>
      </c>
      <c r="H110" t="s">
        <v>410</v>
      </c>
      <c r="I110" t="s">
        <v>71</v>
      </c>
      <c r="J110">
        <v>26700</v>
      </c>
      <c r="K110" t="s">
        <v>3</v>
      </c>
      <c r="L110" t="s">
        <v>408</v>
      </c>
      <c r="M110" t="s">
        <v>3</v>
      </c>
      <c r="N110" t="s">
        <v>70</v>
      </c>
      <c r="O110" s="25" t="s">
        <v>3824</v>
      </c>
      <c r="P110" s="25">
        <v>1</v>
      </c>
      <c r="Q110" s="25">
        <v>26700</v>
      </c>
      <c r="R110" s="25" t="s">
        <v>26</v>
      </c>
      <c r="S110" s="25" t="s">
        <v>26</v>
      </c>
      <c r="T110" s="25">
        <f t="shared" si="1"/>
        <v>26700</v>
      </c>
    </row>
    <row r="111" spans="1:20">
      <c r="A111" t="s">
        <v>411</v>
      </c>
      <c r="B111">
        <v>45846</v>
      </c>
      <c r="C111" t="s">
        <v>93</v>
      </c>
      <c r="D111" t="s">
        <v>94</v>
      </c>
      <c r="E111" t="s">
        <v>107</v>
      </c>
      <c r="F111">
        <v>4000</v>
      </c>
      <c r="G111" t="s">
        <v>25</v>
      </c>
      <c r="H111" t="s">
        <v>412</v>
      </c>
      <c r="I111" t="s">
        <v>71</v>
      </c>
      <c r="J111">
        <v>29000</v>
      </c>
      <c r="K111" t="s">
        <v>3</v>
      </c>
      <c r="L111" t="s">
        <v>413</v>
      </c>
      <c r="M111" t="s">
        <v>3</v>
      </c>
      <c r="N111" t="s">
        <v>70</v>
      </c>
      <c r="O111" s="25" t="s">
        <v>3824</v>
      </c>
      <c r="P111" s="25">
        <v>1</v>
      </c>
      <c r="Q111" s="25">
        <v>29000</v>
      </c>
      <c r="R111" s="25" t="s">
        <v>26</v>
      </c>
      <c r="S111" s="25" t="s">
        <v>26</v>
      </c>
      <c r="T111" s="25">
        <f t="shared" si="1"/>
        <v>29000</v>
      </c>
    </row>
    <row r="112" spans="1:20">
      <c r="A112" t="s">
        <v>414</v>
      </c>
      <c r="B112">
        <v>45846</v>
      </c>
      <c r="C112" t="s">
        <v>93</v>
      </c>
      <c r="D112" t="s">
        <v>111</v>
      </c>
      <c r="E112" t="s">
        <v>112</v>
      </c>
      <c r="F112">
        <v>4000</v>
      </c>
      <c r="G112" t="s">
        <v>25</v>
      </c>
      <c r="H112" t="s">
        <v>415</v>
      </c>
      <c r="I112" t="s">
        <v>71</v>
      </c>
      <c r="J112">
        <v>50600</v>
      </c>
      <c r="K112" t="s">
        <v>3</v>
      </c>
      <c r="L112" t="s">
        <v>416</v>
      </c>
      <c r="M112" t="s">
        <v>3</v>
      </c>
      <c r="N112" t="s">
        <v>70</v>
      </c>
      <c r="O112" s="25" t="s">
        <v>3824</v>
      </c>
      <c r="P112" s="25">
        <v>1</v>
      </c>
      <c r="Q112" s="25">
        <v>50600</v>
      </c>
      <c r="R112" s="25" t="s">
        <v>26</v>
      </c>
      <c r="S112" s="25" t="s">
        <v>26</v>
      </c>
      <c r="T112" s="25">
        <f t="shared" si="1"/>
        <v>50600</v>
      </c>
    </row>
    <row r="113" spans="1:20">
      <c r="A113" t="s">
        <v>417</v>
      </c>
      <c r="B113">
        <v>45846</v>
      </c>
      <c r="C113" t="s">
        <v>93</v>
      </c>
      <c r="D113" t="s">
        <v>111</v>
      </c>
      <c r="E113" t="s">
        <v>116</v>
      </c>
      <c r="F113">
        <v>4000</v>
      </c>
      <c r="G113" t="s">
        <v>25</v>
      </c>
      <c r="H113" t="s">
        <v>418</v>
      </c>
      <c r="I113" t="s">
        <v>71</v>
      </c>
      <c r="J113">
        <v>47000</v>
      </c>
      <c r="K113" t="s">
        <v>3</v>
      </c>
      <c r="L113" t="s">
        <v>416</v>
      </c>
      <c r="M113" t="s">
        <v>3</v>
      </c>
      <c r="N113" t="s">
        <v>70</v>
      </c>
      <c r="O113" s="25" t="s">
        <v>3824</v>
      </c>
      <c r="P113" s="25">
        <v>1</v>
      </c>
      <c r="Q113" s="25">
        <v>47000</v>
      </c>
      <c r="R113" s="25" t="s">
        <v>26</v>
      </c>
      <c r="S113" s="25" t="s">
        <v>26</v>
      </c>
      <c r="T113" s="25">
        <f t="shared" si="1"/>
        <v>47000</v>
      </c>
    </row>
    <row r="114" spans="1:20">
      <c r="A114" t="s">
        <v>419</v>
      </c>
      <c r="B114">
        <v>45846</v>
      </c>
      <c r="C114" t="s">
        <v>93</v>
      </c>
      <c r="D114" t="s">
        <v>111</v>
      </c>
      <c r="E114" t="s">
        <v>119</v>
      </c>
      <c r="F114">
        <v>4000</v>
      </c>
      <c r="G114" t="s">
        <v>25</v>
      </c>
      <c r="H114" t="s">
        <v>420</v>
      </c>
      <c r="I114" t="s">
        <v>71</v>
      </c>
      <c r="J114">
        <v>45500</v>
      </c>
      <c r="K114" t="s">
        <v>3</v>
      </c>
      <c r="L114" t="s">
        <v>416</v>
      </c>
      <c r="M114" t="s">
        <v>3</v>
      </c>
      <c r="N114" t="s">
        <v>70</v>
      </c>
      <c r="O114" s="25" t="s">
        <v>3824</v>
      </c>
      <c r="P114" s="25">
        <v>1</v>
      </c>
      <c r="Q114" s="25">
        <v>45500</v>
      </c>
      <c r="R114" s="25" t="s">
        <v>26</v>
      </c>
      <c r="S114" s="25" t="s">
        <v>26</v>
      </c>
      <c r="T114" s="25">
        <f t="shared" si="1"/>
        <v>45500</v>
      </c>
    </row>
    <row r="115" spans="1:20">
      <c r="A115" t="s">
        <v>421</v>
      </c>
      <c r="B115">
        <v>45846</v>
      </c>
      <c r="C115" t="s">
        <v>93</v>
      </c>
      <c r="D115" t="s">
        <v>111</v>
      </c>
      <c r="E115" t="s">
        <v>170</v>
      </c>
      <c r="F115">
        <v>4000</v>
      </c>
      <c r="G115" t="s">
        <v>25</v>
      </c>
      <c r="H115" t="s">
        <v>422</v>
      </c>
      <c r="I115" t="s">
        <v>71</v>
      </c>
      <c r="J115">
        <v>49800</v>
      </c>
      <c r="K115" t="s">
        <v>3</v>
      </c>
      <c r="L115" t="s">
        <v>416</v>
      </c>
      <c r="M115" t="s">
        <v>3</v>
      </c>
      <c r="N115" t="s">
        <v>70</v>
      </c>
      <c r="O115" s="25" t="s">
        <v>3824</v>
      </c>
      <c r="P115" s="25">
        <v>1</v>
      </c>
      <c r="Q115" s="25">
        <v>49800</v>
      </c>
      <c r="R115" s="25" t="s">
        <v>26</v>
      </c>
      <c r="S115" s="25" t="s">
        <v>26</v>
      </c>
      <c r="T115" s="25">
        <f t="shared" si="1"/>
        <v>49800</v>
      </c>
    </row>
    <row r="116" spans="1:20">
      <c r="A116" t="s">
        <v>423</v>
      </c>
      <c r="B116">
        <v>45846</v>
      </c>
      <c r="C116" t="s">
        <v>93</v>
      </c>
      <c r="D116" t="s">
        <v>111</v>
      </c>
      <c r="E116" t="s">
        <v>122</v>
      </c>
      <c r="F116">
        <v>4000</v>
      </c>
      <c r="G116" t="s">
        <v>25</v>
      </c>
      <c r="H116" t="s">
        <v>424</v>
      </c>
      <c r="I116" t="s">
        <v>71</v>
      </c>
      <c r="J116">
        <v>48000</v>
      </c>
      <c r="K116" t="s">
        <v>3</v>
      </c>
      <c r="L116" t="s">
        <v>425</v>
      </c>
      <c r="M116" t="s">
        <v>3</v>
      </c>
      <c r="N116" t="s">
        <v>70</v>
      </c>
      <c r="O116" s="25" t="s">
        <v>3824</v>
      </c>
      <c r="P116" s="25">
        <v>1</v>
      </c>
      <c r="Q116" s="25">
        <v>48000</v>
      </c>
      <c r="R116" s="25" t="s">
        <v>26</v>
      </c>
      <c r="S116" s="25" t="s">
        <v>26</v>
      </c>
      <c r="T116" s="25">
        <f t="shared" si="1"/>
        <v>48000</v>
      </c>
    </row>
    <row r="117" spans="1:20">
      <c r="A117" t="s">
        <v>426</v>
      </c>
      <c r="B117">
        <v>45846</v>
      </c>
      <c r="C117" t="s">
        <v>126</v>
      </c>
      <c r="D117" t="s">
        <v>88</v>
      </c>
      <c r="E117" t="s">
        <v>127</v>
      </c>
      <c r="F117">
        <v>4020</v>
      </c>
      <c r="G117" t="s">
        <v>30</v>
      </c>
      <c r="H117" t="s">
        <v>427</v>
      </c>
      <c r="I117" t="s">
        <v>72</v>
      </c>
      <c r="J117">
        <v>26.34</v>
      </c>
      <c r="K117" t="s">
        <v>129</v>
      </c>
      <c r="L117" t="s">
        <v>428</v>
      </c>
      <c r="M117" t="s">
        <v>3</v>
      </c>
      <c r="N117" t="s">
        <v>70</v>
      </c>
      <c r="O117" s="25" t="s">
        <v>3825</v>
      </c>
      <c r="P117" s="25">
        <v>1530</v>
      </c>
      <c r="Q117" s="25">
        <v>40300.199999999997</v>
      </c>
      <c r="R117" s="25" t="s">
        <v>26</v>
      </c>
      <c r="S117" s="25" t="s">
        <v>26</v>
      </c>
      <c r="T117" s="25">
        <f t="shared" si="1"/>
        <v>40300.199999999997</v>
      </c>
    </row>
    <row r="118" spans="1:20">
      <c r="A118" t="s">
        <v>429</v>
      </c>
      <c r="B118">
        <v>45846</v>
      </c>
      <c r="C118" t="s">
        <v>126</v>
      </c>
      <c r="D118" t="s">
        <v>88</v>
      </c>
      <c r="E118" t="s">
        <v>132</v>
      </c>
      <c r="F118">
        <v>4020</v>
      </c>
      <c r="G118" t="s">
        <v>30</v>
      </c>
      <c r="H118" t="s">
        <v>430</v>
      </c>
      <c r="I118" t="s">
        <v>71</v>
      </c>
      <c r="J118">
        <v>47000</v>
      </c>
      <c r="K118" t="s">
        <v>134</v>
      </c>
      <c r="L118" t="s">
        <v>428</v>
      </c>
      <c r="M118" t="s">
        <v>3</v>
      </c>
      <c r="N118" t="s">
        <v>70</v>
      </c>
      <c r="O118" s="25" t="s">
        <v>3824</v>
      </c>
      <c r="P118" s="25">
        <v>1</v>
      </c>
      <c r="Q118" s="25">
        <v>47000</v>
      </c>
      <c r="R118" s="25" t="s">
        <v>26</v>
      </c>
      <c r="S118" s="25" t="s">
        <v>26</v>
      </c>
      <c r="T118" s="25">
        <f t="shared" si="1"/>
        <v>47000</v>
      </c>
    </row>
    <row r="119" spans="1:20">
      <c r="A119" t="s">
        <v>431</v>
      </c>
      <c r="B119">
        <v>45846</v>
      </c>
      <c r="C119" t="s">
        <v>126</v>
      </c>
      <c r="D119" t="s">
        <v>88</v>
      </c>
      <c r="E119" t="s">
        <v>136</v>
      </c>
      <c r="F119">
        <v>4020</v>
      </c>
      <c r="G119" t="s">
        <v>30</v>
      </c>
      <c r="H119" t="s">
        <v>432</v>
      </c>
      <c r="I119" t="s">
        <v>71</v>
      </c>
      <c r="J119">
        <v>45800</v>
      </c>
      <c r="K119" t="s">
        <v>138</v>
      </c>
      <c r="L119" t="s">
        <v>428</v>
      </c>
      <c r="M119" t="s">
        <v>3</v>
      </c>
      <c r="N119" t="s">
        <v>70</v>
      </c>
      <c r="O119" s="25" t="s">
        <v>3824</v>
      </c>
      <c r="P119" s="25">
        <v>1</v>
      </c>
      <c r="Q119" s="25">
        <v>45800</v>
      </c>
      <c r="R119" s="25" t="s">
        <v>26</v>
      </c>
      <c r="S119" s="25" t="s">
        <v>26</v>
      </c>
      <c r="T119" s="25">
        <f t="shared" si="1"/>
        <v>45800</v>
      </c>
    </row>
    <row r="120" spans="1:20">
      <c r="A120" t="s">
        <v>433</v>
      </c>
      <c r="B120">
        <v>45846</v>
      </c>
      <c r="C120" t="s">
        <v>126</v>
      </c>
      <c r="D120" t="s">
        <v>88</v>
      </c>
      <c r="E120" t="s">
        <v>140</v>
      </c>
      <c r="F120">
        <v>4020</v>
      </c>
      <c r="G120" t="s">
        <v>30</v>
      </c>
      <c r="H120" t="s">
        <v>434</v>
      </c>
      <c r="I120" t="s">
        <v>71</v>
      </c>
      <c r="J120">
        <v>49700</v>
      </c>
      <c r="K120" t="s">
        <v>3</v>
      </c>
      <c r="L120" t="s">
        <v>435</v>
      </c>
      <c r="M120" t="s">
        <v>3</v>
      </c>
      <c r="N120" t="s">
        <v>70</v>
      </c>
      <c r="O120" s="25" t="s">
        <v>3824</v>
      </c>
      <c r="P120" s="25">
        <v>1</v>
      </c>
      <c r="Q120" s="25">
        <v>49700</v>
      </c>
      <c r="R120" s="25" t="s">
        <v>26</v>
      </c>
      <c r="S120" s="25" t="s">
        <v>26</v>
      </c>
      <c r="T120" s="25">
        <f t="shared" si="1"/>
        <v>49700</v>
      </c>
    </row>
    <row r="121" spans="1:20">
      <c r="A121" t="s">
        <v>436</v>
      </c>
      <c r="B121">
        <v>45847</v>
      </c>
      <c r="C121" t="s">
        <v>93</v>
      </c>
      <c r="D121" t="s">
        <v>94</v>
      </c>
      <c r="E121" t="s">
        <v>95</v>
      </c>
      <c r="F121">
        <v>4000</v>
      </c>
      <c r="G121" t="s">
        <v>25</v>
      </c>
      <c r="H121" t="s">
        <v>437</v>
      </c>
      <c r="I121" t="s">
        <v>71</v>
      </c>
      <c r="J121">
        <v>29000</v>
      </c>
      <c r="K121" t="s">
        <v>3</v>
      </c>
      <c r="L121" t="s">
        <v>438</v>
      </c>
      <c r="M121" t="s">
        <v>3</v>
      </c>
      <c r="N121" t="s">
        <v>70</v>
      </c>
      <c r="O121" s="25" t="s">
        <v>3824</v>
      </c>
      <c r="P121" s="25">
        <v>1</v>
      </c>
      <c r="Q121" s="25">
        <v>29000</v>
      </c>
      <c r="R121" s="25" t="s">
        <v>26</v>
      </c>
      <c r="S121" s="25" t="s">
        <v>26</v>
      </c>
      <c r="T121" s="25">
        <f t="shared" si="1"/>
        <v>29000</v>
      </c>
    </row>
    <row r="122" spans="1:20">
      <c r="A122" t="s">
        <v>439</v>
      </c>
      <c r="B122">
        <v>45847</v>
      </c>
      <c r="C122" t="s">
        <v>93</v>
      </c>
      <c r="D122" t="s">
        <v>94</v>
      </c>
      <c r="E122" t="s">
        <v>99</v>
      </c>
      <c r="F122">
        <v>4000</v>
      </c>
      <c r="G122" t="s">
        <v>25</v>
      </c>
      <c r="H122" t="s">
        <v>440</v>
      </c>
      <c r="I122" t="s">
        <v>71</v>
      </c>
      <c r="J122">
        <v>28500</v>
      </c>
      <c r="K122" t="s">
        <v>3</v>
      </c>
      <c r="L122" t="s">
        <v>441</v>
      </c>
      <c r="M122" t="s">
        <v>3</v>
      </c>
      <c r="N122" t="s">
        <v>70</v>
      </c>
      <c r="O122" s="25" t="s">
        <v>3824</v>
      </c>
      <c r="P122" s="25">
        <v>1</v>
      </c>
      <c r="Q122" s="25">
        <v>28500</v>
      </c>
      <c r="R122" s="25" t="s">
        <v>26</v>
      </c>
      <c r="S122" s="25" t="s">
        <v>26</v>
      </c>
      <c r="T122" s="25">
        <f t="shared" si="1"/>
        <v>28500</v>
      </c>
    </row>
    <row r="123" spans="1:20">
      <c r="A123" t="s">
        <v>442</v>
      </c>
      <c r="B123">
        <v>45847</v>
      </c>
      <c r="C123" t="s">
        <v>93</v>
      </c>
      <c r="D123" t="s">
        <v>94</v>
      </c>
      <c r="E123" t="s">
        <v>103</v>
      </c>
      <c r="F123">
        <v>4000</v>
      </c>
      <c r="G123" t="s">
        <v>25</v>
      </c>
      <c r="H123" t="s">
        <v>443</v>
      </c>
      <c r="I123" t="s">
        <v>71</v>
      </c>
      <c r="J123">
        <v>28100</v>
      </c>
      <c r="K123" t="s">
        <v>3</v>
      </c>
      <c r="L123" t="s">
        <v>444</v>
      </c>
      <c r="M123" t="s">
        <v>3</v>
      </c>
      <c r="N123" t="s">
        <v>70</v>
      </c>
      <c r="O123" s="25" t="s">
        <v>3824</v>
      </c>
      <c r="P123" s="25">
        <v>1</v>
      </c>
      <c r="Q123" s="25">
        <v>28100</v>
      </c>
      <c r="R123" s="25" t="s">
        <v>26</v>
      </c>
      <c r="S123" s="25" t="s">
        <v>26</v>
      </c>
      <c r="T123" s="25">
        <f t="shared" si="1"/>
        <v>28100</v>
      </c>
    </row>
    <row r="124" spans="1:20">
      <c r="A124" t="s">
        <v>445</v>
      </c>
      <c r="B124">
        <v>45847</v>
      </c>
      <c r="C124" t="s">
        <v>93</v>
      </c>
      <c r="D124" t="s">
        <v>94</v>
      </c>
      <c r="E124" t="s">
        <v>160</v>
      </c>
      <c r="F124">
        <v>4000</v>
      </c>
      <c r="G124" t="s">
        <v>25</v>
      </c>
      <c r="H124" t="s">
        <v>446</v>
      </c>
      <c r="I124" t="s">
        <v>71</v>
      </c>
      <c r="J124">
        <v>29900</v>
      </c>
      <c r="K124" t="s">
        <v>3</v>
      </c>
      <c r="L124" t="s">
        <v>444</v>
      </c>
      <c r="M124" t="s">
        <v>3</v>
      </c>
      <c r="N124" t="s">
        <v>70</v>
      </c>
      <c r="O124" s="25" t="s">
        <v>3824</v>
      </c>
      <c r="P124" s="25">
        <v>1</v>
      </c>
      <c r="Q124" s="25">
        <v>29900</v>
      </c>
      <c r="R124" s="25" t="s">
        <v>26</v>
      </c>
      <c r="S124" s="25" t="s">
        <v>26</v>
      </c>
      <c r="T124" s="25">
        <f t="shared" si="1"/>
        <v>29900</v>
      </c>
    </row>
    <row r="125" spans="1:20">
      <c r="A125" t="s">
        <v>447</v>
      </c>
      <c r="B125">
        <v>45847</v>
      </c>
      <c r="C125" t="s">
        <v>93</v>
      </c>
      <c r="D125" t="s">
        <v>94</v>
      </c>
      <c r="E125" t="s">
        <v>107</v>
      </c>
      <c r="F125">
        <v>4000</v>
      </c>
      <c r="G125" t="s">
        <v>25</v>
      </c>
      <c r="H125" t="s">
        <v>448</v>
      </c>
      <c r="I125" t="s">
        <v>71</v>
      </c>
      <c r="J125">
        <v>28800</v>
      </c>
      <c r="K125" t="s">
        <v>3</v>
      </c>
      <c r="L125" t="s">
        <v>449</v>
      </c>
      <c r="M125" t="s">
        <v>3</v>
      </c>
      <c r="N125" t="s">
        <v>70</v>
      </c>
      <c r="O125" s="25" t="s">
        <v>3824</v>
      </c>
      <c r="P125" s="25">
        <v>1</v>
      </c>
      <c r="Q125" s="25">
        <v>28800</v>
      </c>
      <c r="R125" s="25" t="s">
        <v>26</v>
      </c>
      <c r="S125" s="25" t="s">
        <v>26</v>
      </c>
      <c r="T125" s="25">
        <f t="shared" si="1"/>
        <v>28800</v>
      </c>
    </row>
    <row r="126" spans="1:20">
      <c r="A126" t="s">
        <v>450</v>
      </c>
      <c r="B126">
        <v>45847</v>
      </c>
      <c r="C126" t="s">
        <v>93</v>
      </c>
      <c r="D126" t="s">
        <v>111</v>
      </c>
      <c r="E126" t="s">
        <v>112</v>
      </c>
      <c r="F126">
        <v>4000</v>
      </c>
      <c r="G126" t="s">
        <v>25</v>
      </c>
      <c r="H126" t="s">
        <v>451</v>
      </c>
      <c r="I126" t="s">
        <v>71</v>
      </c>
      <c r="J126">
        <v>50700</v>
      </c>
      <c r="K126" t="s">
        <v>3</v>
      </c>
      <c r="L126" t="s">
        <v>452</v>
      </c>
      <c r="M126" t="s">
        <v>3</v>
      </c>
      <c r="N126" t="s">
        <v>70</v>
      </c>
      <c r="O126" s="25" t="s">
        <v>3824</v>
      </c>
      <c r="P126" s="25">
        <v>1</v>
      </c>
      <c r="Q126" s="25">
        <v>50700</v>
      </c>
      <c r="R126" s="25" t="s">
        <v>26</v>
      </c>
      <c r="S126" s="25" t="s">
        <v>26</v>
      </c>
      <c r="T126" s="25">
        <f t="shared" si="1"/>
        <v>50700</v>
      </c>
    </row>
    <row r="127" spans="1:20">
      <c r="A127" t="s">
        <v>453</v>
      </c>
      <c r="B127">
        <v>45847</v>
      </c>
      <c r="C127" t="s">
        <v>93</v>
      </c>
      <c r="D127" t="s">
        <v>111</v>
      </c>
      <c r="E127" t="s">
        <v>116</v>
      </c>
      <c r="F127">
        <v>4000</v>
      </c>
      <c r="G127" t="s">
        <v>25</v>
      </c>
      <c r="H127" t="s">
        <v>454</v>
      </c>
      <c r="I127" t="s">
        <v>71</v>
      </c>
      <c r="J127">
        <v>45800</v>
      </c>
      <c r="K127" t="s">
        <v>3</v>
      </c>
      <c r="L127" t="s">
        <v>452</v>
      </c>
      <c r="M127" t="s">
        <v>3</v>
      </c>
      <c r="N127" t="s">
        <v>70</v>
      </c>
      <c r="O127" s="25" t="s">
        <v>3824</v>
      </c>
      <c r="P127" s="25">
        <v>1</v>
      </c>
      <c r="Q127" s="25">
        <v>45800</v>
      </c>
      <c r="R127" s="25" t="s">
        <v>26</v>
      </c>
      <c r="S127" s="25" t="s">
        <v>26</v>
      </c>
      <c r="T127" s="25">
        <f t="shared" si="1"/>
        <v>45800</v>
      </c>
    </row>
    <row r="128" spans="1:20">
      <c r="A128" t="s">
        <v>455</v>
      </c>
      <c r="B128">
        <v>45847</v>
      </c>
      <c r="C128" t="s">
        <v>93</v>
      </c>
      <c r="D128" t="s">
        <v>111</v>
      </c>
      <c r="E128" t="s">
        <v>119</v>
      </c>
      <c r="F128">
        <v>4000</v>
      </c>
      <c r="G128" t="s">
        <v>25</v>
      </c>
      <c r="H128" t="s">
        <v>456</v>
      </c>
      <c r="I128" t="s">
        <v>71</v>
      </c>
      <c r="J128">
        <v>46000</v>
      </c>
      <c r="K128" t="s">
        <v>3</v>
      </c>
      <c r="L128" t="s">
        <v>452</v>
      </c>
      <c r="M128" t="s">
        <v>3</v>
      </c>
      <c r="N128" t="s">
        <v>70</v>
      </c>
      <c r="O128" s="25" t="s">
        <v>3824</v>
      </c>
      <c r="P128" s="25">
        <v>1</v>
      </c>
      <c r="Q128" s="25">
        <v>46000</v>
      </c>
      <c r="R128" s="25" t="s">
        <v>26</v>
      </c>
      <c r="S128" s="25" t="s">
        <v>26</v>
      </c>
      <c r="T128" s="25">
        <f t="shared" si="1"/>
        <v>46000</v>
      </c>
    </row>
    <row r="129" spans="1:20">
      <c r="A129" t="s">
        <v>457</v>
      </c>
      <c r="B129">
        <v>45847</v>
      </c>
      <c r="C129" t="s">
        <v>93</v>
      </c>
      <c r="D129" t="s">
        <v>111</v>
      </c>
      <c r="E129" t="s">
        <v>170</v>
      </c>
      <c r="F129">
        <v>4000</v>
      </c>
      <c r="G129" t="s">
        <v>25</v>
      </c>
      <c r="H129" t="s">
        <v>458</v>
      </c>
      <c r="I129" t="s">
        <v>71</v>
      </c>
      <c r="J129">
        <v>45900</v>
      </c>
      <c r="K129" t="s">
        <v>3</v>
      </c>
      <c r="L129" t="s">
        <v>452</v>
      </c>
      <c r="M129" t="s">
        <v>3</v>
      </c>
      <c r="N129" t="s">
        <v>70</v>
      </c>
      <c r="O129" s="25" t="s">
        <v>3824</v>
      </c>
      <c r="P129" s="25">
        <v>1</v>
      </c>
      <c r="Q129" s="25">
        <v>45900</v>
      </c>
      <c r="R129" s="25" t="s">
        <v>26</v>
      </c>
      <c r="S129" s="25" t="s">
        <v>26</v>
      </c>
      <c r="T129" s="25">
        <f t="shared" si="1"/>
        <v>45900</v>
      </c>
    </row>
    <row r="130" spans="1:20">
      <c r="A130" t="s">
        <v>459</v>
      </c>
      <c r="B130">
        <v>45847</v>
      </c>
      <c r="C130" t="s">
        <v>93</v>
      </c>
      <c r="D130" t="s">
        <v>111</v>
      </c>
      <c r="E130" t="s">
        <v>122</v>
      </c>
      <c r="F130">
        <v>4000</v>
      </c>
      <c r="G130" t="s">
        <v>25</v>
      </c>
      <c r="H130" t="s">
        <v>460</v>
      </c>
      <c r="I130" t="s">
        <v>71</v>
      </c>
      <c r="J130">
        <v>47400</v>
      </c>
      <c r="K130" t="s">
        <v>3</v>
      </c>
      <c r="L130" t="s">
        <v>461</v>
      </c>
      <c r="M130" t="s">
        <v>3</v>
      </c>
      <c r="N130" t="s">
        <v>70</v>
      </c>
      <c r="O130" s="25" t="s">
        <v>3824</v>
      </c>
      <c r="P130" s="25">
        <v>1</v>
      </c>
      <c r="Q130" s="25">
        <v>47400</v>
      </c>
      <c r="R130" s="25" t="s">
        <v>26</v>
      </c>
      <c r="S130" s="25" t="s">
        <v>26</v>
      </c>
      <c r="T130" s="25">
        <f t="shared" ref="T130:T193" si="2">IF(AND(S130="Revenue",G130&lt;&gt;"Refunds &amp; Chargebacks"),ABS(Q130),-ABS(Q130))</f>
        <v>47400</v>
      </c>
    </row>
    <row r="131" spans="1:20">
      <c r="A131" t="s">
        <v>462</v>
      </c>
      <c r="B131">
        <v>45847</v>
      </c>
      <c r="C131" t="s">
        <v>126</v>
      </c>
      <c r="D131" t="s">
        <v>88</v>
      </c>
      <c r="E131" t="s">
        <v>127</v>
      </c>
      <c r="F131">
        <v>4020</v>
      </c>
      <c r="G131" t="s">
        <v>30</v>
      </c>
      <c r="H131" t="s">
        <v>463</v>
      </c>
      <c r="I131" t="s">
        <v>71</v>
      </c>
      <c r="J131">
        <v>42900</v>
      </c>
      <c r="K131" t="s">
        <v>129</v>
      </c>
      <c r="L131" t="s">
        <v>464</v>
      </c>
      <c r="M131" t="s">
        <v>3</v>
      </c>
      <c r="N131" t="s">
        <v>70</v>
      </c>
      <c r="O131" s="25" t="s">
        <v>3824</v>
      </c>
      <c r="P131" s="25">
        <v>1</v>
      </c>
      <c r="Q131" s="25">
        <v>42900</v>
      </c>
      <c r="R131" s="25" t="s">
        <v>26</v>
      </c>
      <c r="S131" s="25" t="s">
        <v>26</v>
      </c>
      <c r="T131" s="25">
        <f t="shared" si="2"/>
        <v>42900</v>
      </c>
    </row>
    <row r="132" spans="1:20">
      <c r="A132" t="s">
        <v>465</v>
      </c>
      <c r="B132">
        <v>45847</v>
      </c>
      <c r="C132" t="s">
        <v>126</v>
      </c>
      <c r="D132" t="s">
        <v>88</v>
      </c>
      <c r="E132" t="s">
        <v>132</v>
      </c>
      <c r="F132">
        <v>4020</v>
      </c>
      <c r="G132" t="s">
        <v>30</v>
      </c>
      <c r="H132" t="s">
        <v>466</v>
      </c>
      <c r="I132" t="s">
        <v>71</v>
      </c>
      <c r="J132">
        <v>42900</v>
      </c>
      <c r="K132" t="s">
        <v>134</v>
      </c>
      <c r="L132" t="s">
        <v>464</v>
      </c>
      <c r="M132" t="s">
        <v>3</v>
      </c>
      <c r="N132" t="s">
        <v>70</v>
      </c>
      <c r="O132" s="25" t="s">
        <v>3824</v>
      </c>
      <c r="P132" s="25">
        <v>1</v>
      </c>
      <c r="Q132" s="25">
        <v>42900</v>
      </c>
      <c r="R132" s="25" t="s">
        <v>26</v>
      </c>
      <c r="S132" s="25" t="s">
        <v>26</v>
      </c>
      <c r="T132" s="25">
        <f t="shared" si="2"/>
        <v>42900</v>
      </c>
    </row>
    <row r="133" spans="1:20">
      <c r="A133" t="s">
        <v>467</v>
      </c>
      <c r="B133">
        <v>45847</v>
      </c>
      <c r="C133" t="s">
        <v>126</v>
      </c>
      <c r="D133" t="s">
        <v>88</v>
      </c>
      <c r="E133" t="s">
        <v>136</v>
      </c>
      <c r="F133">
        <v>4020</v>
      </c>
      <c r="G133" t="s">
        <v>30</v>
      </c>
      <c r="H133" t="s">
        <v>468</v>
      </c>
      <c r="I133" t="s">
        <v>71</v>
      </c>
      <c r="J133">
        <v>45200</v>
      </c>
      <c r="K133" t="s">
        <v>138</v>
      </c>
      <c r="L133" t="s">
        <v>464</v>
      </c>
      <c r="M133" t="s">
        <v>3</v>
      </c>
      <c r="N133" t="s">
        <v>70</v>
      </c>
      <c r="O133" s="25" t="s">
        <v>3824</v>
      </c>
      <c r="P133" s="25">
        <v>1</v>
      </c>
      <c r="Q133" s="25">
        <v>45200</v>
      </c>
      <c r="R133" s="25" t="s">
        <v>26</v>
      </c>
      <c r="S133" s="25" t="s">
        <v>26</v>
      </c>
      <c r="T133" s="25">
        <f t="shared" si="2"/>
        <v>45200</v>
      </c>
    </row>
    <row r="134" spans="1:20">
      <c r="A134" t="s">
        <v>469</v>
      </c>
      <c r="B134">
        <v>45847</v>
      </c>
      <c r="C134" t="s">
        <v>126</v>
      </c>
      <c r="D134" t="s">
        <v>88</v>
      </c>
      <c r="E134" t="s">
        <v>140</v>
      </c>
      <c r="F134">
        <v>4020</v>
      </c>
      <c r="G134" t="s">
        <v>30</v>
      </c>
      <c r="H134" t="s">
        <v>470</v>
      </c>
      <c r="I134" t="s">
        <v>71</v>
      </c>
      <c r="J134">
        <v>39900</v>
      </c>
      <c r="K134" t="s">
        <v>3</v>
      </c>
      <c r="L134" t="s">
        <v>471</v>
      </c>
      <c r="M134" t="s">
        <v>3</v>
      </c>
      <c r="N134" t="s">
        <v>70</v>
      </c>
      <c r="O134" s="25" t="s">
        <v>3824</v>
      </c>
      <c r="P134" s="25">
        <v>1</v>
      </c>
      <c r="Q134" s="25">
        <v>39900</v>
      </c>
      <c r="R134" s="25" t="s">
        <v>26</v>
      </c>
      <c r="S134" s="25" t="s">
        <v>26</v>
      </c>
      <c r="T134" s="25">
        <f t="shared" si="2"/>
        <v>39900</v>
      </c>
    </row>
    <row r="135" spans="1:20">
      <c r="A135" t="s">
        <v>472</v>
      </c>
      <c r="B135">
        <v>45847</v>
      </c>
      <c r="C135" t="s">
        <v>87</v>
      </c>
      <c r="D135" t="s">
        <v>94</v>
      </c>
      <c r="E135" t="s">
        <v>3</v>
      </c>
      <c r="F135">
        <v>5000</v>
      </c>
      <c r="G135" t="s">
        <v>34</v>
      </c>
      <c r="H135" t="s">
        <v>315</v>
      </c>
      <c r="I135" t="s">
        <v>71</v>
      </c>
      <c r="J135">
        <v>-420000</v>
      </c>
      <c r="K135" t="s">
        <v>316</v>
      </c>
      <c r="L135" t="s">
        <v>473</v>
      </c>
      <c r="M135" t="s">
        <v>3</v>
      </c>
      <c r="N135" t="s">
        <v>70</v>
      </c>
      <c r="O135" s="25" t="s">
        <v>3824</v>
      </c>
      <c r="P135" s="25">
        <v>1</v>
      </c>
      <c r="Q135" s="25">
        <v>-420000</v>
      </c>
      <c r="R135" s="25" t="s">
        <v>35</v>
      </c>
      <c r="S135" s="25" t="s">
        <v>35</v>
      </c>
      <c r="T135" s="25">
        <f t="shared" si="2"/>
        <v>-420000</v>
      </c>
    </row>
    <row r="136" spans="1:20">
      <c r="A136" t="s">
        <v>474</v>
      </c>
      <c r="B136">
        <v>45848</v>
      </c>
      <c r="C136" t="s">
        <v>93</v>
      </c>
      <c r="D136" t="s">
        <v>94</v>
      </c>
      <c r="E136" t="s">
        <v>95</v>
      </c>
      <c r="F136">
        <v>4000</v>
      </c>
      <c r="G136" t="s">
        <v>25</v>
      </c>
      <c r="H136" t="s">
        <v>475</v>
      </c>
      <c r="I136" t="s">
        <v>71</v>
      </c>
      <c r="J136">
        <v>31600</v>
      </c>
      <c r="K136" t="s">
        <v>3</v>
      </c>
      <c r="L136" t="s">
        <v>476</v>
      </c>
      <c r="M136" t="s">
        <v>3</v>
      </c>
      <c r="N136" t="s">
        <v>70</v>
      </c>
      <c r="O136" s="25" t="s">
        <v>3824</v>
      </c>
      <c r="P136" s="25">
        <v>1</v>
      </c>
      <c r="Q136" s="25">
        <v>31600</v>
      </c>
      <c r="R136" s="25" t="s">
        <v>26</v>
      </c>
      <c r="S136" s="25" t="s">
        <v>26</v>
      </c>
      <c r="T136" s="25">
        <f t="shared" si="2"/>
        <v>31600</v>
      </c>
    </row>
    <row r="137" spans="1:20">
      <c r="A137" t="s">
        <v>477</v>
      </c>
      <c r="B137">
        <v>45848</v>
      </c>
      <c r="C137" t="s">
        <v>93</v>
      </c>
      <c r="D137" t="s">
        <v>94</v>
      </c>
      <c r="E137" t="s">
        <v>99</v>
      </c>
      <c r="F137">
        <v>4000</v>
      </c>
      <c r="G137" t="s">
        <v>25</v>
      </c>
      <c r="H137" t="s">
        <v>478</v>
      </c>
      <c r="I137" t="s">
        <v>71</v>
      </c>
      <c r="J137">
        <v>30400</v>
      </c>
      <c r="K137" t="s">
        <v>3</v>
      </c>
      <c r="L137" t="s">
        <v>479</v>
      </c>
      <c r="M137" t="s">
        <v>3</v>
      </c>
      <c r="N137" t="s">
        <v>70</v>
      </c>
      <c r="O137" s="25" t="s">
        <v>3824</v>
      </c>
      <c r="P137" s="25">
        <v>1</v>
      </c>
      <c r="Q137" s="25">
        <v>30400</v>
      </c>
      <c r="R137" s="25" t="s">
        <v>26</v>
      </c>
      <c r="S137" s="25" t="s">
        <v>26</v>
      </c>
      <c r="T137" s="25">
        <f t="shared" si="2"/>
        <v>30400</v>
      </c>
    </row>
    <row r="138" spans="1:20">
      <c r="A138" t="s">
        <v>480</v>
      </c>
      <c r="B138">
        <v>45848</v>
      </c>
      <c r="C138" t="s">
        <v>93</v>
      </c>
      <c r="D138" t="s">
        <v>94</v>
      </c>
      <c r="E138" t="s">
        <v>103</v>
      </c>
      <c r="F138">
        <v>4000</v>
      </c>
      <c r="G138" t="s">
        <v>25</v>
      </c>
      <c r="H138" t="s">
        <v>481</v>
      </c>
      <c r="I138" t="s">
        <v>71</v>
      </c>
      <c r="J138">
        <v>28200</v>
      </c>
      <c r="K138" t="s">
        <v>3</v>
      </c>
      <c r="L138" t="s">
        <v>482</v>
      </c>
      <c r="M138" t="s">
        <v>3</v>
      </c>
      <c r="N138" t="s">
        <v>70</v>
      </c>
      <c r="O138" s="25" t="s">
        <v>3824</v>
      </c>
      <c r="P138" s="25">
        <v>1</v>
      </c>
      <c r="Q138" s="25">
        <v>28200</v>
      </c>
      <c r="R138" s="25" t="s">
        <v>26</v>
      </c>
      <c r="S138" s="25" t="s">
        <v>26</v>
      </c>
      <c r="T138" s="25">
        <f t="shared" si="2"/>
        <v>28200</v>
      </c>
    </row>
    <row r="139" spans="1:20">
      <c r="A139" t="s">
        <v>483</v>
      </c>
      <c r="B139">
        <v>45848</v>
      </c>
      <c r="C139" t="s">
        <v>93</v>
      </c>
      <c r="D139" t="s">
        <v>94</v>
      </c>
      <c r="E139" t="s">
        <v>160</v>
      </c>
      <c r="F139">
        <v>4000</v>
      </c>
      <c r="G139" t="s">
        <v>25</v>
      </c>
      <c r="H139" t="s">
        <v>484</v>
      </c>
      <c r="I139" t="s">
        <v>71</v>
      </c>
      <c r="J139">
        <v>29600</v>
      </c>
      <c r="K139" t="s">
        <v>3</v>
      </c>
      <c r="L139" t="s">
        <v>482</v>
      </c>
      <c r="M139" t="s">
        <v>3</v>
      </c>
      <c r="N139" t="s">
        <v>70</v>
      </c>
      <c r="O139" s="25" t="s">
        <v>3824</v>
      </c>
      <c r="P139" s="25">
        <v>1</v>
      </c>
      <c r="Q139" s="25">
        <v>29600</v>
      </c>
      <c r="R139" s="25" t="s">
        <v>26</v>
      </c>
      <c r="S139" s="25" t="s">
        <v>26</v>
      </c>
      <c r="T139" s="25">
        <f t="shared" si="2"/>
        <v>29600</v>
      </c>
    </row>
    <row r="140" spans="1:20">
      <c r="A140" t="s">
        <v>485</v>
      </c>
      <c r="B140">
        <v>45848</v>
      </c>
      <c r="C140" t="s">
        <v>93</v>
      </c>
      <c r="D140" t="s">
        <v>94</v>
      </c>
      <c r="E140" t="s">
        <v>107</v>
      </c>
      <c r="F140">
        <v>4000</v>
      </c>
      <c r="G140" t="s">
        <v>25</v>
      </c>
      <c r="H140" t="s">
        <v>486</v>
      </c>
      <c r="I140" t="s">
        <v>71</v>
      </c>
      <c r="J140">
        <v>29700</v>
      </c>
      <c r="K140" t="s">
        <v>3</v>
      </c>
      <c r="L140" t="s">
        <v>487</v>
      </c>
      <c r="M140" t="s">
        <v>3</v>
      </c>
      <c r="N140" t="s">
        <v>70</v>
      </c>
      <c r="O140" s="25" t="s">
        <v>3824</v>
      </c>
      <c r="P140" s="25">
        <v>1</v>
      </c>
      <c r="Q140" s="25">
        <v>29700</v>
      </c>
      <c r="R140" s="25" t="s">
        <v>26</v>
      </c>
      <c r="S140" s="25" t="s">
        <v>26</v>
      </c>
      <c r="T140" s="25">
        <f t="shared" si="2"/>
        <v>29700</v>
      </c>
    </row>
    <row r="141" spans="1:20">
      <c r="A141" t="s">
        <v>488</v>
      </c>
      <c r="B141">
        <v>45848</v>
      </c>
      <c r="C141" t="s">
        <v>93</v>
      </c>
      <c r="D141" t="s">
        <v>111</v>
      </c>
      <c r="E141" t="s">
        <v>112</v>
      </c>
      <c r="F141">
        <v>4000</v>
      </c>
      <c r="G141" t="s">
        <v>25</v>
      </c>
      <c r="H141" t="s">
        <v>489</v>
      </c>
      <c r="I141" t="s">
        <v>71</v>
      </c>
      <c r="J141">
        <v>47400</v>
      </c>
      <c r="K141" t="s">
        <v>3</v>
      </c>
      <c r="L141" t="s">
        <v>490</v>
      </c>
      <c r="M141" t="s">
        <v>3</v>
      </c>
      <c r="N141" t="s">
        <v>70</v>
      </c>
      <c r="O141" s="25" t="s">
        <v>3824</v>
      </c>
      <c r="P141" s="25">
        <v>1</v>
      </c>
      <c r="Q141" s="25">
        <v>47400</v>
      </c>
      <c r="R141" s="25" t="s">
        <v>26</v>
      </c>
      <c r="S141" s="25" t="s">
        <v>26</v>
      </c>
      <c r="T141" s="25">
        <f t="shared" si="2"/>
        <v>47400</v>
      </c>
    </row>
    <row r="142" spans="1:20">
      <c r="A142" t="s">
        <v>491</v>
      </c>
      <c r="B142">
        <v>45848</v>
      </c>
      <c r="C142" t="s">
        <v>93</v>
      </c>
      <c r="D142" t="s">
        <v>111</v>
      </c>
      <c r="E142" t="s">
        <v>116</v>
      </c>
      <c r="F142">
        <v>4000</v>
      </c>
      <c r="G142" t="s">
        <v>25</v>
      </c>
      <c r="H142" t="s">
        <v>492</v>
      </c>
      <c r="I142" t="s">
        <v>71</v>
      </c>
      <c r="J142">
        <v>47100</v>
      </c>
      <c r="K142" t="s">
        <v>3</v>
      </c>
      <c r="L142" t="s">
        <v>490</v>
      </c>
      <c r="M142" t="s">
        <v>3</v>
      </c>
      <c r="N142" t="s">
        <v>70</v>
      </c>
      <c r="O142" s="25" t="s">
        <v>3824</v>
      </c>
      <c r="P142" s="25">
        <v>1</v>
      </c>
      <c r="Q142" s="25">
        <v>47100</v>
      </c>
      <c r="R142" s="25" t="s">
        <v>26</v>
      </c>
      <c r="S142" s="25" t="s">
        <v>26</v>
      </c>
      <c r="T142" s="25">
        <f t="shared" si="2"/>
        <v>47100</v>
      </c>
    </row>
    <row r="143" spans="1:20">
      <c r="A143" t="s">
        <v>493</v>
      </c>
      <c r="B143">
        <v>45848</v>
      </c>
      <c r="C143" t="s">
        <v>93</v>
      </c>
      <c r="D143" t="s">
        <v>111</v>
      </c>
      <c r="E143" t="s">
        <v>119</v>
      </c>
      <c r="F143">
        <v>4000</v>
      </c>
      <c r="G143" t="s">
        <v>25</v>
      </c>
      <c r="H143" t="s">
        <v>494</v>
      </c>
      <c r="I143" t="s">
        <v>71</v>
      </c>
      <c r="J143">
        <v>49900</v>
      </c>
      <c r="K143" t="s">
        <v>3</v>
      </c>
      <c r="L143" t="s">
        <v>490</v>
      </c>
      <c r="M143" t="s">
        <v>3</v>
      </c>
      <c r="N143" t="s">
        <v>70</v>
      </c>
      <c r="O143" s="25" t="s">
        <v>3824</v>
      </c>
      <c r="P143" s="25">
        <v>1</v>
      </c>
      <c r="Q143" s="25">
        <v>49900</v>
      </c>
      <c r="R143" s="25" t="s">
        <v>26</v>
      </c>
      <c r="S143" s="25" t="s">
        <v>26</v>
      </c>
      <c r="T143" s="25">
        <f t="shared" si="2"/>
        <v>49900</v>
      </c>
    </row>
    <row r="144" spans="1:20">
      <c r="A144" t="s">
        <v>495</v>
      </c>
      <c r="B144">
        <v>45848</v>
      </c>
      <c r="C144" t="s">
        <v>93</v>
      </c>
      <c r="D144" t="s">
        <v>111</v>
      </c>
      <c r="E144" t="s">
        <v>170</v>
      </c>
      <c r="F144">
        <v>4000</v>
      </c>
      <c r="G144" t="s">
        <v>25</v>
      </c>
      <c r="H144" t="s">
        <v>496</v>
      </c>
      <c r="I144" t="s">
        <v>71</v>
      </c>
      <c r="J144">
        <v>45600</v>
      </c>
      <c r="K144" t="s">
        <v>3</v>
      </c>
      <c r="L144" t="s">
        <v>490</v>
      </c>
      <c r="M144" t="s">
        <v>3</v>
      </c>
      <c r="N144" t="s">
        <v>70</v>
      </c>
      <c r="O144" s="25" t="s">
        <v>3824</v>
      </c>
      <c r="P144" s="25">
        <v>1</v>
      </c>
      <c r="Q144" s="25">
        <v>45600</v>
      </c>
      <c r="R144" s="25" t="s">
        <v>26</v>
      </c>
      <c r="S144" s="25" t="s">
        <v>26</v>
      </c>
      <c r="T144" s="25">
        <f t="shared" si="2"/>
        <v>45600</v>
      </c>
    </row>
    <row r="145" spans="1:20">
      <c r="A145" t="s">
        <v>497</v>
      </c>
      <c r="B145">
        <v>45848</v>
      </c>
      <c r="C145" t="s">
        <v>93</v>
      </c>
      <c r="D145" t="s">
        <v>111</v>
      </c>
      <c r="E145" t="s">
        <v>122</v>
      </c>
      <c r="F145">
        <v>4000</v>
      </c>
      <c r="G145" t="s">
        <v>25</v>
      </c>
      <c r="H145" t="s">
        <v>498</v>
      </c>
      <c r="I145" t="s">
        <v>71</v>
      </c>
      <c r="J145">
        <v>46100</v>
      </c>
      <c r="K145" t="s">
        <v>3</v>
      </c>
      <c r="L145" t="s">
        <v>499</v>
      </c>
      <c r="M145" t="s">
        <v>3</v>
      </c>
      <c r="N145" t="s">
        <v>70</v>
      </c>
      <c r="O145" s="25" t="s">
        <v>3824</v>
      </c>
      <c r="P145" s="25">
        <v>1</v>
      </c>
      <c r="Q145" s="25">
        <v>46100</v>
      </c>
      <c r="R145" s="25" t="s">
        <v>26</v>
      </c>
      <c r="S145" s="25" t="s">
        <v>26</v>
      </c>
      <c r="T145" s="25">
        <f t="shared" si="2"/>
        <v>46100</v>
      </c>
    </row>
    <row r="146" spans="1:20">
      <c r="A146" t="s">
        <v>500</v>
      </c>
      <c r="B146">
        <v>45848</v>
      </c>
      <c r="C146" t="s">
        <v>126</v>
      </c>
      <c r="D146" t="s">
        <v>88</v>
      </c>
      <c r="E146" t="s">
        <v>127</v>
      </c>
      <c r="F146">
        <v>4020</v>
      </c>
      <c r="G146" t="s">
        <v>30</v>
      </c>
      <c r="H146" t="s">
        <v>501</v>
      </c>
      <c r="I146" t="s">
        <v>71</v>
      </c>
      <c r="J146">
        <v>47800</v>
      </c>
      <c r="K146" t="s">
        <v>129</v>
      </c>
      <c r="L146" t="s">
        <v>502</v>
      </c>
      <c r="M146" t="s">
        <v>3</v>
      </c>
      <c r="N146" t="s">
        <v>70</v>
      </c>
      <c r="O146" s="25" t="s">
        <v>3824</v>
      </c>
      <c r="P146" s="25">
        <v>1</v>
      </c>
      <c r="Q146" s="25">
        <v>47800</v>
      </c>
      <c r="R146" s="25" t="s">
        <v>26</v>
      </c>
      <c r="S146" s="25" t="s">
        <v>26</v>
      </c>
      <c r="T146" s="25">
        <f t="shared" si="2"/>
        <v>47800</v>
      </c>
    </row>
    <row r="147" spans="1:20">
      <c r="A147" t="s">
        <v>503</v>
      </c>
      <c r="B147">
        <v>45848</v>
      </c>
      <c r="C147" t="s">
        <v>126</v>
      </c>
      <c r="D147" t="s">
        <v>88</v>
      </c>
      <c r="E147" t="s">
        <v>132</v>
      </c>
      <c r="F147">
        <v>4020</v>
      </c>
      <c r="G147" t="s">
        <v>30</v>
      </c>
      <c r="H147" t="s">
        <v>504</v>
      </c>
      <c r="I147" t="s">
        <v>72</v>
      </c>
      <c r="J147">
        <v>30.52</v>
      </c>
      <c r="K147" t="s">
        <v>134</v>
      </c>
      <c r="L147" t="s">
        <v>502</v>
      </c>
      <c r="M147" t="s">
        <v>3</v>
      </c>
      <c r="N147" t="s">
        <v>70</v>
      </c>
      <c r="O147" s="25" t="s">
        <v>3825</v>
      </c>
      <c r="P147" s="25">
        <v>1530</v>
      </c>
      <c r="Q147" s="25">
        <v>46695.6</v>
      </c>
      <c r="R147" s="25" t="s">
        <v>26</v>
      </c>
      <c r="S147" s="25" t="s">
        <v>26</v>
      </c>
      <c r="T147" s="25">
        <f t="shared" si="2"/>
        <v>46695.6</v>
      </c>
    </row>
    <row r="148" spans="1:20">
      <c r="A148" t="s">
        <v>505</v>
      </c>
      <c r="B148">
        <v>45848</v>
      </c>
      <c r="C148" t="s">
        <v>126</v>
      </c>
      <c r="D148" t="s">
        <v>88</v>
      </c>
      <c r="E148" t="s">
        <v>136</v>
      </c>
      <c r="F148">
        <v>4020</v>
      </c>
      <c r="G148" t="s">
        <v>30</v>
      </c>
      <c r="H148" t="s">
        <v>506</v>
      </c>
      <c r="I148" t="s">
        <v>72</v>
      </c>
      <c r="J148">
        <v>30.59</v>
      </c>
      <c r="K148" t="s">
        <v>138</v>
      </c>
      <c r="L148" t="s">
        <v>502</v>
      </c>
      <c r="M148" t="s">
        <v>3</v>
      </c>
      <c r="N148" t="s">
        <v>70</v>
      </c>
      <c r="O148" s="25" t="s">
        <v>3825</v>
      </c>
      <c r="P148" s="25">
        <v>1530</v>
      </c>
      <c r="Q148" s="25">
        <v>46802.7</v>
      </c>
      <c r="R148" s="25" t="s">
        <v>26</v>
      </c>
      <c r="S148" s="25" t="s">
        <v>26</v>
      </c>
      <c r="T148" s="25">
        <f t="shared" si="2"/>
        <v>46802.7</v>
      </c>
    </row>
    <row r="149" spans="1:20">
      <c r="A149" t="s">
        <v>507</v>
      </c>
      <c r="B149">
        <v>45848</v>
      </c>
      <c r="C149" t="s">
        <v>126</v>
      </c>
      <c r="D149" t="s">
        <v>88</v>
      </c>
      <c r="E149" t="s">
        <v>140</v>
      </c>
      <c r="F149">
        <v>4020</v>
      </c>
      <c r="G149" t="s">
        <v>30</v>
      </c>
      <c r="H149" t="s">
        <v>508</v>
      </c>
      <c r="I149" t="s">
        <v>71</v>
      </c>
      <c r="J149">
        <v>48400</v>
      </c>
      <c r="K149" t="s">
        <v>3</v>
      </c>
      <c r="L149" t="s">
        <v>509</v>
      </c>
      <c r="M149" t="s">
        <v>3</v>
      </c>
      <c r="N149" t="s">
        <v>70</v>
      </c>
      <c r="O149" s="25" t="s">
        <v>3824</v>
      </c>
      <c r="P149" s="25">
        <v>1</v>
      </c>
      <c r="Q149" s="25">
        <v>48400</v>
      </c>
      <c r="R149" s="25" t="s">
        <v>26</v>
      </c>
      <c r="S149" s="25" t="s">
        <v>26</v>
      </c>
      <c r="T149" s="25">
        <f t="shared" si="2"/>
        <v>48400</v>
      </c>
    </row>
    <row r="150" spans="1:20">
      <c r="A150" t="s">
        <v>510</v>
      </c>
      <c r="B150">
        <v>45848</v>
      </c>
      <c r="C150" t="s">
        <v>87</v>
      </c>
      <c r="D150" t="s">
        <v>94</v>
      </c>
      <c r="E150" t="s">
        <v>3</v>
      </c>
      <c r="F150">
        <v>5040</v>
      </c>
      <c r="G150" t="s">
        <v>43</v>
      </c>
      <c r="H150" t="s">
        <v>186</v>
      </c>
      <c r="I150" t="s">
        <v>71</v>
      </c>
      <c r="J150">
        <v>-480000</v>
      </c>
      <c r="K150" t="s">
        <v>187</v>
      </c>
      <c r="L150" t="s">
        <v>511</v>
      </c>
      <c r="M150" t="s">
        <v>3</v>
      </c>
      <c r="N150" t="s">
        <v>70</v>
      </c>
      <c r="O150" s="25" t="s">
        <v>3824</v>
      </c>
      <c r="P150" s="25">
        <v>1</v>
      </c>
      <c r="Q150" s="25">
        <v>-480000</v>
      </c>
      <c r="R150" s="25" t="s">
        <v>35</v>
      </c>
      <c r="S150" s="25" t="s">
        <v>35</v>
      </c>
      <c r="T150" s="25">
        <f t="shared" si="2"/>
        <v>-480000</v>
      </c>
    </row>
    <row r="151" spans="1:20">
      <c r="A151" t="s">
        <v>512</v>
      </c>
      <c r="B151">
        <v>45848</v>
      </c>
      <c r="C151" t="s">
        <v>87</v>
      </c>
      <c r="D151" t="s">
        <v>94</v>
      </c>
      <c r="E151" t="s">
        <v>3</v>
      </c>
      <c r="F151">
        <v>6020</v>
      </c>
      <c r="G151" t="s">
        <v>52</v>
      </c>
      <c r="H151" t="s">
        <v>513</v>
      </c>
      <c r="I151" t="s">
        <v>71</v>
      </c>
      <c r="J151">
        <v>-170853</v>
      </c>
      <c r="K151" t="s">
        <v>514</v>
      </c>
      <c r="L151" t="s">
        <v>515</v>
      </c>
      <c r="M151" t="s">
        <v>3</v>
      </c>
      <c r="N151" t="s">
        <v>70</v>
      </c>
      <c r="O151" s="25" t="s">
        <v>3824</v>
      </c>
      <c r="P151" s="25">
        <v>1</v>
      </c>
      <c r="Q151" s="25">
        <v>-170853</v>
      </c>
      <c r="R151" s="25" t="s">
        <v>48</v>
      </c>
      <c r="S151" s="25" t="s">
        <v>48</v>
      </c>
      <c r="T151" s="25">
        <f t="shared" si="2"/>
        <v>-170853</v>
      </c>
    </row>
    <row r="152" spans="1:20">
      <c r="A152" t="s">
        <v>516</v>
      </c>
      <c r="B152">
        <v>45848</v>
      </c>
      <c r="C152" t="s">
        <v>87</v>
      </c>
      <c r="D152" t="s">
        <v>111</v>
      </c>
      <c r="E152" t="s">
        <v>3</v>
      </c>
      <c r="F152">
        <v>6020</v>
      </c>
      <c r="G152" t="s">
        <v>52</v>
      </c>
      <c r="H152" t="s">
        <v>513</v>
      </c>
      <c r="I152" t="s">
        <v>71</v>
      </c>
      <c r="J152">
        <v>-363381</v>
      </c>
      <c r="K152" t="s">
        <v>514</v>
      </c>
      <c r="L152" t="s">
        <v>517</v>
      </c>
      <c r="M152" t="s">
        <v>3</v>
      </c>
      <c r="N152" t="s">
        <v>70</v>
      </c>
      <c r="O152" s="25" t="s">
        <v>3824</v>
      </c>
      <c r="P152" s="25">
        <v>1</v>
      </c>
      <c r="Q152" s="25">
        <v>-363381</v>
      </c>
      <c r="R152" s="25" t="s">
        <v>48</v>
      </c>
      <c r="S152" s="25" t="s">
        <v>48</v>
      </c>
      <c r="T152" s="25">
        <f t="shared" si="2"/>
        <v>-363381</v>
      </c>
    </row>
    <row r="153" spans="1:20">
      <c r="A153" t="s">
        <v>518</v>
      </c>
      <c r="B153">
        <v>45848</v>
      </c>
      <c r="C153" t="s">
        <v>87</v>
      </c>
      <c r="D153" t="s">
        <v>88</v>
      </c>
      <c r="E153" t="s">
        <v>3</v>
      </c>
      <c r="F153">
        <v>6020</v>
      </c>
      <c r="G153" t="s">
        <v>52</v>
      </c>
      <c r="H153" t="s">
        <v>513</v>
      </c>
      <c r="I153" t="s">
        <v>71</v>
      </c>
      <c r="J153">
        <v>-164489</v>
      </c>
      <c r="K153" t="s">
        <v>514</v>
      </c>
      <c r="L153" t="s">
        <v>519</v>
      </c>
      <c r="M153" t="s">
        <v>3</v>
      </c>
      <c r="N153" t="s">
        <v>70</v>
      </c>
      <c r="O153" s="25" t="s">
        <v>3824</v>
      </c>
      <c r="P153" s="25">
        <v>1</v>
      </c>
      <c r="Q153" s="25">
        <v>-164489</v>
      </c>
      <c r="R153" s="25" t="s">
        <v>48</v>
      </c>
      <c r="S153" s="25" t="s">
        <v>48</v>
      </c>
      <c r="T153" s="25">
        <f t="shared" si="2"/>
        <v>-164489</v>
      </c>
    </row>
    <row r="154" spans="1:20">
      <c r="A154" t="s">
        <v>520</v>
      </c>
      <c r="B154">
        <v>45849</v>
      </c>
      <c r="C154" t="s">
        <v>93</v>
      </c>
      <c r="D154" t="s">
        <v>94</v>
      </c>
      <c r="E154" t="s">
        <v>95</v>
      </c>
      <c r="F154">
        <v>4000</v>
      </c>
      <c r="G154" t="s">
        <v>25</v>
      </c>
      <c r="H154" t="s">
        <v>521</v>
      </c>
      <c r="I154" t="s">
        <v>71</v>
      </c>
      <c r="J154">
        <v>28500</v>
      </c>
      <c r="K154" t="s">
        <v>3</v>
      </c>
      <c r="L154" t="s">
        <v>522</v>
      </c>
      <c r="M154" t="s">
        <v>3</v>
      </c>
      <c r="N154" t="s">
        <v>70</v>
      </c>
      <c r="O154" s="25" t="s">
        <v>3824</v>
      </c>
      <c r="P154" s="25">
        <v>1</v>
      </c>
      <c r="Q154" s="25">
        <v>28500</v>
      </c>
      <c r="R154" s="25" t="s">
        <v>26</v>
      </c>
      <c r="S154" s="25" t="s">
        <v>26</v>
      </c>
      <c r="T154" s="25">
        <f t="shared" si="2"/>
        <v>28500</v>
      </c>
    </row>
    <row r="155" spans="1:20">
      <c r="A155" t="s">
        <v>523</v>
      </c>
      <c r="B155">
        <v>45849</v>
      </c>
      <c r="C155" t="s">
        <v>93</v>
      </c>
      <c r="D155" t="s">
        <v>94</v>
      </c>
      <c r="E155" t="s">
        <v>99</v>
      </c>
      <c r="F155">
        <v>4000</v>
      </c>
      <c r="G155" t="s">
        <v>25</v>
      </c>
      <c r="H155" t="s">
        <v>524</v>
      </c>
      <c r="I155" t="s">
        <v>71</v>
      </c>
      <c r="J155">
        <v>27800</v>
      </c>
      <c r="K155" t="s">
        <v>3</v>
      </c>
      <c r="L155" t="s">
        <v>525</v>
      </c>
      <c r="M155" t="s">
        <v>3</v>
      </c>
      <c r="N155" t="s">
        <v>70</v>
      </c>
      <c r="O155" s="25" t="s">
        <v>3824</v>
      </c>
      <c r="P155" s="25">
        <v>1</v>
      </c>
      <c r="Q155" s="25">
        <v>27800</v>
      </c>
      <c r="R155" s="25" t="s">
        <v>26</v>
      </c>
      <c r="S155" s="25" t="s">
        <v>26</v>
      </c>
      <c r="T155" s="25">
        <f t="shared" si="2"/>
        <v>27800</v>
      </c>
    </row>
    <row r="156" spans="1:20">
      <c r="A156" t="s">
        <v>526</v>
      </c>
      <c r="B156">
        <v>45849</v>
      </c>
      <c r="C156" t="s">
        <v>93</v>
      </c>
      <c r="D156" t="s">
        <v>94</v>
      </c>
      <c r="E156" t="s">
        <v>103</v>
      </c>
      <c r="F156">
        <v>4000</v>
      </c>
      <c r="G156" t="s">
        <v>25</v>
      </c>
      <c r="H156" t="s">
        <v>527</v>
      </c>
      <c r="I156" t="s">
        <v>71</v>
      </c>
      <c r="J156">
        <v>30700</v>
      </c>
      <c r="K156" t="s">
        <v>3</v>
      </c>
      <c r="L156" t="s">
        <v>528</v>
      </c>
      <c r="M156" t="s">
        <v>3</v>
      </c>
      <c r="N156" t="s">
        <v>70</v>
      </c>
      <c r="O156" s="25" t="s">
        <v>3824</v>
      </c>
      <c r="P156" s="25">
        <v>1</v>
      </c>
      <c r="Q156" s="25">
        <v>30700</v>
      </c>
      <c r="R156" s="25" t="s">
        <v>26</v>
      </c>
      <c r="S156" s="25" t="s">
        <v>26</v>
      </c>
      <c r="T156" s="25">
        <f t="shared" si="2"/>
        <v>30700</v>
      </c>
    </row>
    <row r="157" spans="1:20">
      <c r="A157" t="s">
        <v>529</v>
      </c>
      <c r="B157">
        <v>45849</v>
      </c>
      <c r="C157" t="s">
        <v>93</v>
      </c>
      <c r="D157" t="s">
        <v>94</v>
      </c>
      <c r="E157" t="s">
        <v>160</v>
      </c>
      <c r="F157">
        <v>4000</v>
      </c>
      <c r="G157" t="s">
        <v>25</v>
      </c>
      <c r="H157" t="s">
        <v>530</v>
      </c>
      <c r="I157" t="s">
        <v>71</v>
      </c>
      <c r="J157">
        <v>27400</v>
      </c>
      <c r="K157" t="s">
        <v>3</v>
      </c>
      <c r="L157" t="s">
        <v>528</v>
      </c>
      <c r="M157" t="s">
        <v>3</v>
      </c>
      <c r="N157" t="s">
        <v>70</v>
      </c>
      <c r="O157" s="25" t="s">
        <v>3824</v>
      </c>
      <c r="P157" s="25">
        <v>1</v>
      </c>
      <c r="Q157" s="25">
        <v>27400</v>
      </c>
      <c r="R157" s="25" t="s">
        <v>26</v>
      </c>
      <c r="S157" s="25" t="s">
        <v>26</v>
      </c>
      <c r="T157" s="25">
        <f t="shared" si="2"/>
        <v>27400</v>
      </c>
    </row>
    <row r="158" spans="1:20">
      <c r="A158" t="s">
        <v>531</v>
      </c>
      <c r="B158">
        <v>45849</v>
      </c>
      <c r="C158" t="s">
        <v>93</v>
      </c>
      <c r="D158" t="s">
        <v>94</v>
      </c>
      <c r="E158" t="s">
        <v>107</v>
      </c>
      <c r="F158">
        <v>4000</v>
      </c>
      <c r="G158" t="s">
        <v>25</v>
      </c>
      <c r="H158" t="s">
        <v>532</v>
      </c>
      <c r="I158" t="s">
        <v>71</v>
      </c>
      <c r="J158">
        <v>31300</v>
      </c>
      <c r="K158" t="s">
        <v>3</v>
      </c>
      <c r="L158" t="s">
        <v>533</v>
      </c>
      <c r="M158" t="s">
        <v>3</v>
      </c>
      <c r="N158" t="s">
        <v>70</v>
      </c>
      <c r="O158" s="25" t="s">
        <v>3824</v>
      </c>
      <c r="P158" s="25">
        <v>1</v>
      </c>
      <c r="Q158" s="25">
        <v>31300</v>
      </c>
      <c r="R158" s="25" t="s">
        <v>26</v>
      </c>
      <c r="S158" s="25" t="s">
        <v>26</v>
      </c>
      <c r="T158" s="25">
        <f t="shared" si="2"/>
        <v>31300</v>
      </c>
    </row>
    <row r="159" spans="1:20">
      <c r="A159" t="s">
        <v>534</v>
      </c>
      <c r="B159">
        <v>45849</v>
      </c>
      <c r="C159" t="s">
        <v>93</v>
      </c>
      <c r="D159" t="s">
        <v>111</v>
      </c>
      <c r="E159" t="s">
        <v>112</v>
      </c>
      <c r="F159">
        <v>4000</v>
      </c>
      <c r="G159" t="s">
        <v>25</v>
      </c>
      <c r="H159" t="s">
        <v>535</v>
      </c>
      <c r="I159" t="s">
        <v>71</v>
      </c>
      <c r="J159">
        <v>50400</v>
      </c>
      <c r="K159" t="s">
        <v>3</v>
      </c>
      <c r="L159" t="s">
        <v>536</v>
      </c>
      <c r="M159" t="s">
        <v>3</v>
      </c>
      <c r="N159" t="s">
        <v>70</v>
      </c>
      <c r="O159" s="25" t="s">
        <v>3824</v>
      </c>
      <c r="P159" s="25">
        <v>1</v>
      </c>
      <c r="Q159" s="25">
        <v>50400</v>
      </c>
      <c r="R159" s="25" t="s">
        <v>26</v>
      </c>
      <c r="S159" s="25" t="s">
        <v>26</v>
      </c>
      <c r="T159" s="25">
        <f t="shared" si="2"/>
        <v>50400</v>
      </c>
    </row>
    <row r="160" spans="1:20">
      <c r="A160" t="s">
        <v>537</v>
      </c>
      <c r="B160">
        <v>45849</v>
      </c>
      <c r="C160" t="s">
        <v>93</v>
      </c>
      <c r="D160" t="s">
        <v>111</v>
      </c>
      <c r="E160" t="s">
        <v>116</v>
      </c>
      <c r="F160">
        <v>4000</v>
      </c>
      <c r="G160" t="s">
        <v>25</v>
      </c>
      <c r="H160" t="s">
        <v>538</v>
      </c>
      <c r="I160" t="s">
        <v>71</v>
      </c>
      <c r="J160">
        <v>50700</v>
      </c>
      <c r="K160" t="s">
        <v>3</v>
      </c>
      <c r="L160" t="s">
        <v>536</v>
      </c>
      <c r="M160" t="s">
        <v>3</v>
      </c>
      <c r="N160" t="s">
        <v>70</v>
      </c>
      <c r="O160" s="25" t="s">
        <v>3824</v>
      </c>
      <c r="P160" s="25">
        <v>1</v>
      </c>
      <c r="Q160" s="25">
        <v>50700</v>
      </c>
      <c r="R160" s="25" t="s">
        <v>26</v>
      </c>
      <c r="S160" s="25" t="s">
        <v>26</v>
      </c>
      <c r="T160" s="25">
        <f t="shared" si="2"/>
        <v>50700</v>
      </c>
    </row>
    <row r="161" spans="1:20">
      <c r="A161" t="s">
        <v>539</v>
      </c>
      <c r="B161">
        <v>45849</v>
      </c>
      <c r="C161" t="s">
        <v>93</v>
      </c>
      <c r="D161" t="s">
        <v>111</v>
      </c>
      <c r="E161" t="s">
        <v>170</v>
      </c>
      <c r="F161">
        <v>4000</v>
      </c>
      <c r="G161" t="s">
        <v>25</v>
      </c>
      <c r="H161" t="s">
        <v>540</v>
      </c>
      <c r="I161" t="s">
        <v>71</v>
      </c>
      <c r="J161">
        <v>46200</v>
      </c>
      <c r="K161" t="s">
        <v>3</v>
      </c>
      <c r="L161" t="s">
        <v>536</v>
      </c>
      <c r="M161" t="s">
        <v>3</v>
      </c>
      <c r="N161" t="s">
        <v>70</v>
      </c>
      <c r="O161" s="25" t="s">
        <v>3824</v>
      </c>
      <c r="P161" s="25">
        <v>1</v>
      </c>
      <c r="Q161" s="25">
        <v>46200</v>
      </c>
      <c r="R161" s="25" t="s">
        <v>26</v>
      </c>
      <c r="S161" s="25" t="s">
        <v>26</v>
      </c>
      <c r="T161" s="25">
        <f t="shared" si="2"/>
        <v>46200</v>
      </c>
    </row>
    <row r="162" spans="1:20">
      <c r="A162" t="s">
        <v>541</v>
      </c>
      <c r="B162">
        <v>45849</v>
      </c>
      <c r="C162" t="s">
        <v>93</v>
      </c>
      <c r="D162" t="s">
        <v>111</v>
      </c>
      <c r="E162" t="s">
        <v>122</v>
      </c>
      <c r="F162">
        <v>4000</v>
      </c>
      <c r="G162" t="s">
        <v>25</v>
      </c>
      <c r="H162" t="s">
        <v>542</v>
      </c>
      <c r="I162" t="s">
        <v>71</v>
      </c>
      <c r="J162">
        <v>50800</v>
      </c>
      <c r="K162" t="s">
        <v>3</v>
      </c>
      <c r="L162" t="s">
        <v>543</v>
      </c>
      <c r="M162" t="s">
        <v>3</v>
      </c>
      <c r="N162" t="s">
        <v>70</v>
      </c>
      <c r="O162" s="25" t="s">
        <v>3824</v>
      </c>
      <c r="P162" s="25">
        <v>1</v>
      </c>
      <c r="Q162" s="25">
        <v>50800</v>
      </c>
      <c r="R162" s="25" t="s">
        <v>26</v>
      </c>
      <c r="S162" s="25" t="s">
        <v>26</v>
      </c>
      <c r="T162" s="25">
        <f t="shared" si="2"/>
        <v>50800</v>
      </c>
    </row>
    <row r="163" spans="1:20">
      <c r="A163" t="s">
        <v>544</v>
      </c>
      <c r="B163">
        <v>45849</v>
      </c>
      <c r="C163" t="s">
        <v>126</v>
      </c>
      <c r="D163" t="s">
        <v>88</v>
      </c>
      <c r="E163" t="s">
        <v>127</v>
      </c>
      <c r="F163">
        <v>4020</v>
      </c>
      <c r="G163" t="s">
        <v>30</v>
      </c>
      <c r="H163" t="s">
        <v>545</v>
      </c>
      <c r="I163" t="s">
        <v>71</v>
      </c>
      <c r="J163">
        <v>48700</v>
      </c>
      <c r="K163" t="s">
        <v>129</v>
      </c>
      <c r="L163" t="s">
        <v>546</v>
      </c>
      <c r="M163" t="s">
        <v>3</v>
      </c>
      <c r="N163" t="s">
        <v>70</v>
      </c>
      <c r="O163" s="25" t="s">
        <v>3824</v>
      </c>
      <c r="P163" s="25">
        <v>1</v>
      </c>
      <c r="Q163" s="25">
        <v>48700</v>
      </c>
      <c r="R163" s="25" t="s">
        <v>26</v>
      </c>
      <c r="S163" s="25" t="s">
        <v>26</v>
      </c>
      <c r="T163" s="25">
        <f t="shared" si="2"/>
        <v>48700</v>
      </c>
    </row>
    <row r="164" spans="1:20">
      <c r="A164" t="s">
        <v>547</v>
      </c>
      <c r="B164">
        <v>45849</v>
      </c>
      <c r="C164" t="s">
        <v>126</v>
      </c>
      <c r="D164" t="s">
        <v>88</v>
      </c>
      <c r="E164" t="s">
        <v>132</v>
      </c>
      <c r="F164">
        <v>4020</v>
      </c>
      <c r="G164" t="s">
        <v>30</v>
      </c>
      <c r="H164" t="s">
        <v>548</v>
      </c>
      <c r="I164" t="s">
        <v>72</v>
      </c>
      <c r="J164">
        <v>28.43</v>
      </c>
      <c r="K164" t="s">
        <v>134</v>
      </c>
      <c r="L164" t="s">
        <v>546</v>
      </c>
      <c r="M164" t="s">
        <v>3</v>
      </c>
      <c r="N164" t="s">
        <v>70</v>
      </c>
      <c r="O164" s="25" t="s">
        <v>3825</v>
      </c>
      <c r="P164" s="25">
        <v>1530</v>
      </c>
      <c r="Q164" s="25">
        <v>43497.9</v>
      </c>
      <c r="R164" s="25" t="s">
        <v>26</v>
      </c>
      <c r="S164" s="25" t="s">
        <v>26</v>
      </c>
      <c r="T164" s="25">
        <f t="shared" si="2"/>
        <v>43497.9</v>
      </c>
    </row>
    <row r="165" spans="1:20">
      <c r="A165" t="s">
        <v>549</v>
      </c>
      <c r="B165">
        <v>45849</v>
      </c>
      <c r="C165" t="s">
        <v>126</v>
      </c>
      <c r="D165" t="s">
        <v>88</v>
      </c>
      <c r="E165" t="s">
        <v>136</v>
      </c>
      <c r="F165">
        <v>4020</v>
      </c>
      <c r="G165" t="s">
        <v>30</v>
      </c>
      <c r="H165" t="s">
        <v>550</v>
      </c>
      <c r="I165" t="s">
        <v>71</v>
      </c>
      <c r="J165">
        <v>49500</v>
      </c>
      <c r="K165" t="s">
        <v>138</v>
      </c>
      <c r="L165" t="s">
        <v>546</v>
      </c>
      <c r="M165" t="s">
        <v>3</v>
      </c>
      <c r="N165" t="s">
        <v>70</v>
      </c>
      <c r="O165" s="25" t="s">
        <v>3824</v>
      </c>
      <c r="P165" s="25">
        <v>1</v>
      </c>
      <c r="Q165" s="25">
        <v>49500</v>
      </c>
      <c r="R165" s="25" t="s">
        <v>26</v>
      </c>
      <c r="S165" s="25" t="s">
        <v>26</v>
      </c>
      <c r="T165" s="25">
        <f t="shared" si="2"/>
        <v>49500</v>
      </c>
    </row>
    <row r="166" spans="1:20">
      <c r="A166" t="s">
        <v>551</v>
      </c>
      <c r="B166">
        <v>45849</v>
      </c>
      <c r="C166" t="s">
        <v>126</v>
      </c>
      <c r="D166" t="s">
        <v>88</v>
      </c>
      <c r="E166" t="s">
        <v>140</v>
      </c>
      <c r="F166">
        <v>4020</v>
      </c>
      <c r="G166" t="s">
        <v>30</v>
      </c>
      <c r="H166" t="s">
        <v>552</v>
      </c>
      <c r="I166" t="s">
        <v>71</v>
      </c>
      <c r="J166">
        <v>43900</v>
      </c>
      <c r="K166" t="s">
        <v>3</v>
      </c>
      <c r="L166" t="s">
        <v>553</v>
      </c>
      <c r="M166" t="s">
        <v>3</v>
      </c>
      <c r="N166" t="s">
        <v>70</v>
      </c>
      <c r="O166" s="25" t="s">
        <v>3824</v>
      </c>
      <c r="P166" s="25">
        <v>1</v>
      </c>
      <c r="Q166" s="25">
        <v>43900</v>
      </c>
      <c r="R166" s="25" t="s">
        <v>26</v>
      </c>
      <c r="S166" s="25" t="s">
        <v>26</v>
      </c>
      <c r="T166" s="25">
        <f t="shared" si="2"/>
        <v>43900</v>
      </c>
    </row>
    <row r="167" spans="1:20">
      <c r="A167" t="s">
        <v>554</v>
      </c>
      <c r="B167">
        <v>45849</v>
      </c>
      <c r="C167" t="s">
        <v>87</v>
      </c>
      <c r="D167" t="s">
        <v>94</v>
      </c>
      <c r="E167" t="s">
        <v>3</v>
      </c>
      <c r="F167">
        <v>5040</v>
      </c>
      <c r="G167" t="s">
        <v>43</v>
      </c>
      <c r="H167" t="s">
        <v>186</v>
      </c>
      <c r="I167" t="s">
        <v>71</v>
      </c>
      <c r="J167">
        <v>-488000</v>
      </c>
      <c r="K167" t="s">
        <v>187</v>
      </c>
      <c r="L167" t="s">
        <v>555</v>
      </c>
      <c r="M167" t="s">
        <v>3</v>
      </c>
      <c r="N167" t="s">
        <v>70</v>
      </c>
      <c r="O167" s="25" t="s">
        <v>3824</v>
      </c>
      <c r="P167" s="25">
        <v>1</v>
      </c>
      <c r="Q167" s="25">
        <v>-488000</v>
      </c>
      <c r="R167" s="25" t="s">
        <v>35</v>
      </c>
      <c r="S167" s="25" t="s">
        <v>35</v>
      </c>
      <c r="T167" s="25">
        <f t="shared" si="2"/>
        <v>-488000</v>
      </c>
    </row>
    <row r="168" spans="1:20">
      <c r="A168" t="s">
        <v>556</v>
      </c>
      <c r="B168">
        <v>45849</v>
      </c>
      <c r="C168" t="s">
        <v>87</v>
      </c>
      <c r="D168" t="s">
        <v>111</v>
      </c>
      <c r="E168" t="s">
        <v>3</v>
      </c>
      <c r="F168">
        <v>5020</v>
      </c>
      <c r="G168" t="s">
        <v>39</v>
      </c>
      <c r="H168" t="s">
        <v>275</v>
      </c>
      <c r="I168" t="s">
        <v>71</v>
      </c>
      <c r="J168">
        <v>-101000</v>
      </c>
      <c r="K168" t="s">
        <v>276</v>
      </c>
      <c r="L168" t="s">
        <v>557</v>
      </c>
      <c r="M168" t="s">
        <v>3</v>
      </c>
      <c r="N168" t="s">
        <v>70</v>
      </c>
      <c r="O168" s="25" t="s">
        <v>3824</v>
      </c>
      <c r="P168" s="25">
        <v>1</v>
      </c>
      <c r="Q168" s="25">
        <v>-101000</v>
      </c>
      <c r="R168" s="25" t="s">
        <v>35</v>
      </c>
      <c r="S168" s="25" t="s">
        <v>35</v>
      </c>
      <c r="T168" s="25">
        <f t="shared" si="2"/>
        <v>-101000</v>
      </c>
    </row>
    <row r="169" spans="1:20">
      <c r="A169" t="s">
        <v>558</v>
      </c>
      <c r="B169">
        <v>45850</v>
      </c>
      <c r="C169" t="s">
        <v>93</v>
      </c>
      <c r="D169" t="s">
        <v>94</v>
      </c>
      <c r="E169" t="s">
        <v>95</v>
      </c>
      <c r="F169">
        <v>4000</v>
      </c>
      <c r="G169" t="s">
        <v>25</v>
      </c>
      <c r="H169" t="s">
        <v>559</v>
      </c>
      <c r="I169" t="s">
        <v>71</v>
      </c>
      <c r="J169">
        <v>35300</v>
      </c>
      <c r="K169" t="s">
        <v>3</v>
      </c>
      <c r="L169" t="s">
        <v>560</v>
      </c>
      <c r="M169" t="s">
        <v>3</v>
      </c>
      <c r="N169" t="s">
        <v>70</v>
      </c>
      <c r="O169" s="25" t="s">
        <v>3824</v>
      </c>
      <c r="P169" s="25">
        <v>1</v>
      </c>
      <c r="Q169" s="25">
        <v>35300</v>
      </c>
      <c r="R169" s="25" t="s">
        <v>26</v>
      </c>
      <c r="S169" s="25" t="s">
        <v>26</v>
      </c>
      <c r="T169" s="25">
        <f t="shared" si="2"/>
        <v>35300</v>
      </c>
    </row>
    <row r="170" spans="1:20">
      <c r="A170" t="s">
        <v>561</v>
      </c>
      <c r="B170">
        <v>45850</v>
      </c>
      <c r="C170" t="s">
        <v>93</v>
      </c>
      <c r="D170" t="s">
        <v>94</v>
      </c>
      <c r="E170" t="s">
        <v>99</v>
      </c>
      <c r="F170">
        <v>4000</v>
      </c>
      <c r="G170" t="s">
        <v>25</v>
      </c>
      <c r="H170" t="s">
        <v>562</v>
      </c>
      <c r="I170" t="s">
        <v>71</v>
      </c>
      <c r="J170">
        <v>37200</v>
      </c>
      <c r="K170" t="s">
        <v>3</v>
      </c>
      <c r="L170" t="s">
        <v>563</v>
      </c>
      <c r="M170" t="s">
        <v>3</v>
      </c>
      <c r="N170" t="s">
        <v>70</v>
      </c>
      <c r="O170" s="25" t="s">
        <v>3824</v>
      </c>
      <c r="P170" s="25">
        <v>1</v>
      </c>
      <c r="Q170" s="25">
        <v>37200</v>
      </c>
      <c r="R170" s="25" t="s">
        <v>26</v>
      </c>
      <c r="S170" s="25" t="s">
        <v>26</v>
      </c>
      <c r="T170" s="25">
        <f t="shared" si="2"/>
        <v>37200</v>
      </c>
    </row>
    <row r="171" spans="1:20">
      <c r="A171" t="s">
        <v>564</v>
      </c>
      <c r="B171">
        <v>45850</v>
      </c>
      <c r="C171" t="s">
        <v>93</v>
      </c>
      <c r="D171" t="s">
        <v>94</v>
      </c>
      <c r="E171" t="s">
        <v>103</v>
      </c>
      <c r="F171">
        <v>4000</v>
      </c>
      <c r="G171" t="s">
        <v>25</v>
      </c>
      <c r="H171" t="s">
        <v>565</v>
      </c>
      <c r="I171" t="s">
        <v>71</v>
      </c>
      <c r="J171">
        <v>37500</v>
      </c>
      <c r="K171" t="s">
        <v>3</v>
      </c>
      <c r="L171" t="s">
        <v>566</v>
      </c>
      <c r="M171" t="s">
        <v>3</v>
      </c>
      <c r="N171" t="s">
        <v>70</v>
      </c>
      <c r="O171" s="25" t="s">
        <v>3824</v>
      </c>
      <c r="P171" s="25">
        <v>1</v>
      </c>
      <c r="Q171" s="25">
        <v>37500</v>
      </c>
      <c r="R171" s="25" t="s">
        <v>26</v>
      </c>
      <c r="S171" s="25" t="s">
        <v>26</v>
      </c>
      <c r="T171" s="25">
        <f t="shared" si="2"/>
        <v>37500</v>
      </c>
    </row>
    <row r="172" spans="1:20">
      <c r="A172" t="s">
        <v>567</v>
      </c>
      <c r="B172">
        <v>45850</v>
      </c>
      <c r="C172" t="s">
        <v>93</v>
      </c>
      <c r="D172" t="s">
        <v>94</v>
      </c>
      <c r="E172" t="s">
        <v>160</v>
      </c>
      <c r="F172">
        <v>4000</v>
      </c>
      <c r="G172" t="s">
        <v>25</v>
      </c>
      <c r="H172" t="s">
        <v>568</v>
      </c>
      <c r="I172" t="s">
        <v>71</v>
      </c>
      <c r="J172">
        <v>35900</v>
      </c>
      <c r="K172" t="s">
        <v>3</v>
      </c>
      <c r="L172" t="s">
        <v>566</v>
      </c>
      <c r="M172" t="s">
        <v>3</v>
      </c>
      <c r="N172" t="s">
        <v>70</v>
      </c>
      <c r="O172" s="25" t="s">
        <v>3824</v>
      </c>
      <c r="P172" s="25">
        <v>1</v>
      </c>
      <c r="Q172" s="25">
        <v>35900</v>
      </c>
      <c r="R172" s="25" t="s">
        <v>26</v>
      </c>
      <c r="S172" s="25" t="s">
        <v>26</v>
      </c>
      <c r="T172" s="25">
        <f t="shared" si="2"/>
        <v>35900</v>
      </c>
    </row>
    <row r="173" spans="1:20">
      <c r="A173" t="s">
        <v>569</v>
      </c>
      <c r="B173">
        <v>45850</v>
      </c>
      <c r="C173" t="s">
        <v>93</v>
      </c>
      <c r="D173" t="s">
        <v>94</v>
      </c>
      <c r="E173" t="s">
        <v>107</v>
      </c>
      <c r="F173">
        <v>4000</v>
      </c>
      <c r="G173" t="s">
        <v>25</v>
      </c>
      <c r="H173" t="s">
        <v>570</v>
      </c>
      <c r="I173" t="s">
        <v>71</v>
      </c>
      <c r="J173">
        <v>35700</v>
      </c>
      <c r="K173" t="s">
        <v>3</v>
      </c>
      <c r="L173" t="s">
        <v>571</v>
      </c>
      <c r="M173" t="s">
        <v>3</v>
      </c>
      <c r="N173" t="s">
        <v>70</v>
      </c>
      <c r="O173" s="25" t="s">
        <v>3824</v>
      </c>
      <c r="P173" s="25">
        <v>1</v>
      </c>
      <c r="Q173" s="25">
        <v>35700</v>
      </c>
      <c r="R173" s="25" t="s">
        <v>26</v>
      </c>
      <c r="S173" s="25" t="s">
        <v>26</v>
      </c>
      <c r="T173" s="25">
        <f t="shared" si="2"/>
        <v>35700</v>
      </c>
    </row>
    <row r="174" spans="1:20">
      <c r="A174" t="s">
        <v>572</v>
      </c>
      <c r="B174">
        <v>45850</v>
      </c>
      <c r="C174" t="s">
        <v>93</v>
      </c>
      <c r="D174" t="s">
        <v>111</v>
      </c>
      <c r="E174" t="s">
        <v>112</v>
      </c>
      <c r="F174">
        <v>4000</v>
      </c>
      <c r="G174" t="s">
        <v>25</v>
      </c>
      <c r="H174" t="s">
        <v>573</v>
      </c>
      <c r="I174" t="s">
        <v>71</v>
      </c>
      <c r="J174">
        <v>58100</v>
      </c>
      <c r="K174" t="s">
        <v>3</v>
      </c>
      <c r="L174" t="s">
        <v>574</v>
      </c>
      <c r="M174" t="s">
        <v>3</v>
      </c>
      <c r="N174" t="s">
        <v>70</v>
      </c>
      <c r="O174" s="25" t="s">
        <v>3824</v>
      </c>
      <c r="P174" s="25">
        <v>1</v>
      </c>
      <c r="Q174" s="25">
        <v>58100</v>
      </c>
      <c r="R174" s="25" t="s">
        <v>26</v>
      </c>
      <c r="S174" s="25" t="s">
        <v>26</v>
      </c>
      <c r="T174" s="25">
        <f t="shared" si="2"/>
        <v>58100</v>
      </c>
    </row>
    <row r="175" spans="1:20">
      <c r="A175" t="s">
        <v>575</v>
      </c>
      <c r="B175">
        <v>45850</v>
      </c>
      <c r="C175" t="s">
        <v>93</v>
      </c>
      <c r="D175" t="s">
        <v>111</v>
      </c>
      <c r="E175" t="s">
        <v>116</v>
      </c>
      <c r="F175">
        <v>4000</v>
      </c>
      <c r="G175" t="s">
        <v>25</v>
      </c>
      <c r="H175" t="s">
        <v>576</v>
      </c>
      <c r="I175" t="s">
        <v>71</v>
      </c>
      <c r="J175">
        <v>60300</v>
      </c>
      <c r="K175" t="s">
        <v>3</v>
      </c>
      <c r="L175" t="s">
        <v>574</v>
      </c>
      <c r="M175" t="s">
        <v>3</v>
      </c>
      <c r="N175" t="s">
        <v>70</v>
      </c>
      <c r="O175" s="25" t="s">
        <v>3824</v>
      </c>
      <c r="P175" s="25">
        <v>1</v>
      </c>
      <c r="Q175" s="25">
        <v>60300</v>
      </c>
      <c r="R175" s="25" t="s">
        <v>26</v>
      </c>
      <c r="S175" s="25" t="s">
        <v>26</v>
      </c>
      <c r="T175" s="25">
        <f t="shared" si="2"/>
        <v>60300</v>
      </c>
    </row>
    <row r="176" spans="1:20">
      <c r="A176" t="s">
        <v>577</v>
      </c>
      <c r="B176">
        <v>45850</v>
      </c>
      <c r="C176" t="s">
        <v>93</v>
      </c>
      <c r="D176" t="s">
        <v>111</v>
      </c>
      <c r="E176" t="s">
        <v>119</v>
      </c>
      <c r="F176">
        <v>4000</v>
      </c>
      <c r="G176" t="s">
        <v>25</v>
      </c>
      <c r="H176" t="s">
        <v>578</v>
      </c>
      <c r="I176" t="s">
        <v>71</v>
      </c>
      <c r="J176">
        <v>62100</v>
      </c>
      <c r="K176" t="s">
        <v>3</v>
      </c>
      <c r="L176" t="s">
        <v>574</v>
      </c>
      <c r="M176" t="s">
        <v>3</v>
      </c>
      <c r="N176" t="s">
        <v>70</v>
      </c>
      <c r="O176" s="25" t="s">
        <v>3824</v>
      </c>
      <c r="P176" s="25">
        <v>1</v>
      </c>
      <c r="Q176" s="25">
        <v>62100</v>
      </c>
      <c r="R176" s="25" t="s">
        <v>26</v>
      </c>
      <c r="S176" s="25" t="s">
        <v>26</v>
      </c>
      <c r="T176" s="25">
        <f t="shared" si="2"/>
        <v>62100</v>
      </c>
    </row>
    <row r="177" spans="1:20">
      <c r="A177" t="s">
        <v>579</v>
      </c>
      <c r="B177">
        <v>45850</v>
      </c>
      <c r="C177" t="s">
        <v>93</v>
      </c>
      <c r="D177" t="s">
        <v>111</v>
      </c>
      <c r="E177" t="s">
        <v>170</v>
      </c>
      <c r="F177">
        <v>4000</v>
      </c>
      <c r="G177" t="s">
        <v>25</v>
      </c>
      <c r="H177" t="s">
        <v>580</v>
      </c>
      <c r="I177" t="s">
        <v>71</v>
      </c>
      <c r="J177">
        <v>57300</v>
      </c>
      <c r="K177" t="s">
        <v>3</v>
      </c>
      <c r="L177" t="s">
        <v>574</v>
      </c>
      <c r="M177" t="s">
        <v>3</v>
      </c>
      <c r="N177" t="s">
        <v>70</v>
      </c>
      <c r="O177" s="25" t="s">
        <v>3824</v>
      </c>
      <c r="P177" s="25">
        <v>1</v>
      </c>
      <c r="Q177" s="25">
        <v>57300</v>
      </c>
      <c r="R177" s="25" t="s">
        <v>26</v>
      </c>
      <c r="S177" s="25" t="s">
        <v>26</v>
      </c>
      <c r="T177" s="25">
        <f t="shared" si="2"/>
        <v>57300</v>
      </c>
    </row>
    <row r="178" spans="1:20">
      <c r="A178" t="s">
        <v>581</v>
      </c>
      <c r="B178">
        <v>45850</v>
      </c>
      <c r="C178" t="s">
        <v>126</v>
      </c>
      <c r="D178" t="s">
        <v>88</v>
      </c>
      <c r="E178" t="s">
        <v>127</v>
      </c>
      <c r="F178">
        <v>4020</v>
      </c>
      <c r="G178" t="s">
        <v>30</v>
      </c>
      <c r="H178" t="s">
        <v>582</v>
      </c>
      <c r="I178" t="s">
        <v>71</v>
      </c>
      <c r="J178">
        <v>40500</v>
      </c>
      <c r="K178" t="s">
        <v>129</v>
      </c>
      <c r="L178" t="s">
        <v>583</v>
      </c>
      <c r="M178" t="s">
        <v>3</v>
      </c>
      <c r="N178" t="s">
        <v>70</v>
      </c>
      <c r="O178" s="25" t="s">
        <v>3824</v>
      </c>
      <c r="P178" s="25">
        <v>1</v>
      </c>
      <c r="Q178" s="25">
        <v>40500</v>
      </c>
      <c r="R178" s="25" t="s">
        <v>26</v>
      </c>
      <c r="S178" s="25" t="s">
        <v>26</v>
      </c>
      <c r="T178" s="25">
        <f t="shared" si="2"/>
        <v>40500</v>
      </c>
    </row>
    <row r="179" spans="1:20">
      <c r="A179" t="s">
        <v>584</v>
      </c>
      <c r="B179">
        <v>45850</v>
      </c>
      <c r="C179" t="s">
        <v>126</v>
      </c>
      <c r="D179" t="s">
        <v>88</v>
      </c>
      <c r="E179" t="s">
        <v>132</v>
      </c>
      <c r="F179">
        <v>4020</v>
      </c>
      <c r="G179" t="s">
        <v>30</v>
      </c>
      <c r="H179" t="s">
        <v>585</v>
      </c>
      <c r="I179" t="s">
        <v>71</v>
      </c>
      <c r="J179">
        <v>40400</v>
      </c>
      <c r="K179" t="s">
        <v>134</v>
      </c>
      <c r="L179" t="s">
        <v>583</v>
      </c>
      <c r="M179" t="s">
        <v>3</v>
      </c>
      <c r="N179" t="s">
        <v>70</v>
      </c>
      <c r="O179" s="25" t="s">
        <v>3824</v>
      </c>
      <c r="P179" s="25">
        <v>1</v>
      </c>
      <c r="Q179" s="25">
        <v>40400</v>
      </c>
      <c r="R179" s="25" t="s">
        <v>26</v>
      </c>
      <c r="S179" s="25" t="s">
        <v>26</v>
      </c>
      <c r="T179" s="25">
        <f t="shared" si="2"/>
        <v>40400</v>
      </c>
    </row>
    <row r="180" spans="1:20">
      <c r="A180" t="s">
        <v>586</v>
      </c>
      <c r="B180">
        <v>45850</v>
      </c>
      <c r="C180" t="s">
        <v>126</v>
      </c>
      <c r="D180" t="s">
        <v>88</v>
      </c>
      <c r="E180" t="s">
        <v>136</v>
      </c>
      <c r="F180">
        <v>4020</v>
      </c>
      <c r="G180" t="s">
        <v>30</v>
      </c>
      <c r="H180" t="s">
        <v>587</v>
      </c>
      <c r="I180" t="s">
        <v>71</v>
      </c>
      <c r="J180">
        <v>48900</v>
      </c>
      <c r="K180" t="s">
        <v>138</v>
      </c>
      <c r="L180" t="s">
        <v>583</v>
      </c>
      <c r="M180" t="s">
        <v>3</v>
      </c>
      <c r="N180" t="s">
        <v>70</v>
      </c>
      <c r="O180" s="25" t="s">
        <v>3824</v>
      </c>
      <c r="P180" s="25">
        <v>1</v>
      </c>
      <c r="Q180" s="25">
        <v>48900</v>
      </c>
      <c r="R180" s="25" t="s">
        <v>26</v>
      </c>
      <c r="S180" s="25" t="s">
        <v>26</v>
      </c>
      <c r="T180" s="25">
        <f t="shared" si="2"/>
        <v>48900</v>
      </c>
    </row>
    <row r="181" spans="1:20">
      <c r="A181" t="s">
        <v>588</v>
      </c>
      <c r="B181">
        <v>45850</v>
      </c>
      <c r="C181" t="s">
        <v>126</v>
      </c>
      <c r="D181" t="s">
        <v>88</v>
      </c>
      <c r="E181" t="s">
        <v>140</v>
      </c>
      <c r="F181">
        <v>4020</v>
      </c>
      <c r="G181" t="s">
        <v>30</v>
      </c>
      <c r="H181" t="s">
        <v>589</v>
      </c>
      <c r="I181" t="s">
        <v>71</v>
      </c>
      <c r="J181">
        <v>42900</v>
      </c>
      <c r="K181" t="s">
        <v>3</v>
      </c>
      <c r="L181" t="s">
        <v>590</v>
      </c>
      <c r="M181" t="s">
        <v>3</v>
      </c>
      <c r="N181" t="s">
        <v>70</v>
      </c>
      <c r="O181" s="25" t="s">
        <v>3824</v>
      </c>
      <c r="P181" s="25">
        <v>1</v>
      </c>
      <c r="Q181" s="25">
        <v>42900</v>
      </c>
      <c r="R181" s="25" t="s">
        <v>26</v>
      </c>
      <c r="S181" s="25" t="s">
        <v>26</v>
      </c>
      <c r="T181" s="25">
        <f t="shared" si="2"/>
        <v>42900</v>
      </c>
    </row>
    <row r="182" spans="1:20">
      <c r="A182" t="s">
        <v>591</v>
      </c>
      <c r="B182">
        <v>45850</v>
      </c>
      <c r="C182" t="s">
        <v>87</v>
      </c>
      <c r="D182" t="s">
        <v>88</v>
      </c>
      <c r="E182" t="s">
        <v>3</v>
      </c>
      <c r="F182">
        <v>5030</v>
      </c>
      <c r="G182" t="s">
        <v>41</v>
      </c>
      <c r="H182" t="s">
        <v>148</v>
      </c>
      <c r="I182" t="s">
        <v>71</v>
      </c>
      <c r="J182">
        <v>-426000</v>
      </c>
      <c r="K182" t="s">
        <v>90</v>
      </c>
      <c r="L182" t="s">
        <v>592</v>
      </c>
      <c r="M182" t="s">
        <v>3</v>
      </c>
      <c r="N182" t="s">
        <v>70</v>
      </c>
      <c r="O182" s="25" t="s">
        <v>3824</v>
      </c>
      <c r="P182" s="25">
        <v>1</v>
      </c>
      <c r="Q182" s="25">
        <v>-426000</v>
      </c>
      <c r="R182" s="25" t="s">
        <v>35</v>
      </c>
      <c r="S182" s="25" t="s">
        <v>35</v>
      </c>
      <c r="T182" s="25">
        <f t="shared" si="2"/>
        <v>-426000</v>
      </c>
    </row>
    <row r="183" spans="1:20">
      <c r="A183" t="s">
        <v>593</v>
      </c>
      <c r="B183">
        <v>45850</v>
      </c>
      <c r="C183" t="s">
        <v>87</v>
      </c>
      <c r="D183" t="s">
        <v>111</v>
      </c>
      <c r="E183" t="s">
        <v>3</v>
      </c>
      <c r="F183">
        <v>6050</v>
      </c>
      <c r="G183" t="s">
        <v>58</v>
      </c>
      <c r="H183" t="s">
        <v>594</v>
      </c>
      <c r="I183" t="s">
        <v>71</v>
      </c>
      <c r="J183">
        <v>-350000</v>
      </c>
      <c r="K183" t="s">
        <v>595</v>
      </c>
      <c r="L183" t="s">
        <v>596</v>
      </c>
      <c r="M183" t="s">
        <v>3</v>
      </c>
      <c r="N183" t="s">
        <v>70</v>
      </c>
      <c r="O183" s="25" t="s">
        <v>3824</v>
      </c>
      <c r="P183" s="25">
        <v>1</v>
      </c>
      <c r="Q183" s="25">
        <v>-350000</v>
      </c>
      <c r="R183" s="25" t="s">
        <v>48</v>
      </c>
      <c r="S183" s="25" t="s">
        <v>48</v>
      </c>
      <c r="T183" s="25">
        <f t="shared" si="2"/>
        <v>-350000</v>
      </c>
    </row>
    <row r="184" spans="1:20">
      <c r="A184" t="s">
        <v>597</v>
      </c>
      <c r="B184">
        <v>45851</v>
      </c>
      <c r="C184" t="s">
        <v>93</v>
      </c>
      <c r="D184" t="s">
        <v>94</v>
      </c>
      <c r="E184" t="s">
        <v>95</v>
      </c>
      <c r="F184">
        <v>4000</v>
      </c>
      <c r="G184" t="s">
        <v>25</v>
      </c>
      <c r="H184" t="s">
        <v>598</v>
      </c>
      <c r="I184" t="s">
        <v>71</v>
      </c>
      <c r="J184">
        <v>38400</v>
      </c>
      <c r="K184" t="s">
        <v>3</v>
      </c>
      <c r="L184" t="s">
        <v>599</v>
      </c>
      <c r="M184" t="s">
        <v>3</v>
      </c>
      <c r="N184" t="s">
        <v>70</v>
      </c>
      <c r="O184" s="25" t="s">
        <v>3824</v>
      </c>
      <c r="P184" s="25">
        <v>1</v>
      </c>
      <c r="Q184" s="25">
        <v>38400</v>
      </c>
      <c r="R184" s="25" t="s">
        <v>26</v>
      </c>
      <c r="S184" s="25" t="s">
        <v>26</v>
      </c>
      <c r="T184" s="25">
        <f t="shared" si="2"/>
        <v>38400</v>
      </c>
    </row>
    <row r="185" spans="1:20">
      <c r="A185" t="s">
        <v>600</v>
      </c>
      <c r="B185">
        <v>45851</v>
      </c>
      <c r="C185" t="s">
        <v>93</v>
      </c>
      <c r="D185" t="s">
        <v>94</v>
      </c>
      <c r="E185" t="s">
        <v>99</v>
      </c>
      <c r="F185">
        <v>4000</v>
      </c>
      <c r="G185" t="s">
        <v>25</v>
      </c>
      <c r="H185" t="s">
        <v>601</v>
      </c>
      <c r="I185" t="s">
        <v>71</v>
      </c>
      <c r="J185">
        <v>33400</v>
      </c>
      <c r="K185" t="s">
        <v>3</v>
      </c>
      <c r="L185" t="s">
        <v>602</v>
      </c>
      <c r="M185" t="s">
        <v>3</v>
      </c>
      <c r="N185" t="s">
        <v>70</v>
      </c>
      <c r="O185" s="25" t="s">
        <v>3824</v>
      </c>
      <c r="P185" s="25">
        <v>1</v>
      </c>
      <c r="Q185" s="25">
        <v>33400</v>
      </c>
      <c r="R185" s="25" t="s">
        <v>26</v>
      </c>
      <c r="S185" s="25" t="s">
        <v>26</v>
      </c>
      <c r="T185" s="25">
        <f t="shared" si="2"/>
        <v>33400</v>
      </c>
    </row>
    <row r="186" spans="1:20">
      <c r="A186" t="s">
        <v>603</v>
      </c>
      <c r="B186">
        <v>45851</v>
      </c>
      <c r="C186" t="s">
        <v>93</v>
      </c>
      <c r="D186" t="s">
        <v>94</v>
      </c>
      <c r="E186" t="s">
        <v>103</v>
      </c>
      <c r="F186">
        <v>4000</v>
      </c>
      <c r="G186" t="s">
        <v>25</v>
      </c>
      <c r="H186" t="s">
        <v>604</v>
      </c>
      <c r="I186" t="s">
        <v>71</v>
      </c>
      <c r="J186">
        <v>35200</v>
      </c>
      <c r="K186" t="s">
        <v>3</v>
      </c>
      <c r="L186" t="s">
        <v>605</v>
      </c>
      <c r="M186" t="s">
        <v>3</v>
      </c>
      <c r="N186" t="s">
        <v>70</v>
      </c>
      <c r="O186" s="25" t="s">
        <v>3824</v>
      </c>
      <c r="P186" s="25">
        <v>1</v>
      </c>
      <c r="Q186" s="25">
        <v>35200</v>
      </c>
      <c r="R186" s="25" t="s">
        <v>26</v>
      </c>
      <c r="S186" s="25" t="s">
        <v>26</v>
      </c>
      <c r="T186" s="25">
        <f t="shared" si="2"/>
        <v>35200</v>
      </c>
    </row>
    <row r="187" spans="1:20">
      <c r="A187" t="s">
        <v>606</v>
      </c>
      <c r="B187">
        <v>45851</v>
      </c>
      <c r="C187" t="s">
        <v>93</v>
      </c>
      <c r="D187" t="s">
        <v>94</v>
      </c>
      <c r="E187" t="s">
        <v>160</v>
      </c>
      <c r="F187">
        <v>4000</v>
      </c>
      <c r="G187" t="s">
        <v>25</v>
      </c>
      <c r="H187" t="s">
        <v>607</v>
      </c>
      <c r="I187" t="s">
        <v>71</v>
      </c>
      <c r="J187">
        <v>38100</v>
      </c>
      <c r="K187" t="s">
        <v>3</v>
      </c>
      <c r="L187" t="s">
        <v>605</v>
      </c>
      <c r="M187" t="s">
        <v>3</v>
      </c>
      <c r="N187" t="s">
        <v>70</v>
      </c>
      <c r="O187" s="25" t="s">
        <v>3824</v>
      </c>
      <c r="P187" s="25">
        <v>1</v>
      </c>
      <c r="Q187" s="25">
        <v>38100</v>
      </c>
      <c r="R187" s="25" t="s">
        <v>26</v>
      </c>
      <c r="S187" s="25" t="s">
        <v>26</v>
      </c>
      <c r="T187" s="25">
        <f t="shared" si="2"/>
        <v>38100</v>
      </c>
    </row>
    <row r="188" spans="1:20">
      <c r="A188" t="s">
        <v>608</v>
      </c>
      <c r="B188">
        <v>45851</v>
      </c>
      <c r="C188" t="s">
        <v>93</v>
      </c>
      <c r="D188" t="s">
        <v>94</v>
      </c>
      <c r="E188" t="s">
        <v>107</v>
      </c>
      <c r="F188">
        <v>4000</v>
      </c>
      <c r="G188" t="s">
        <v>25</v>
      </c>
      <c r="H188" t="s">
        <v>609</v>
      </c>
      <c r="I188" t="s">
        <v>71</v>
      </c>
      <c r="J188">
        <v>33600</v>
      </c>
      <c r="K188" t="s">
        <v>3</v>
      </c>
      <c r="L188" t="s">
        <v>610</v>
      </c>
      <c r="M188" t="s">
        <v>3</v>
      </c>
      <c r="N188" t="s">
        <v>70</v>
      </c>
      <c r="O188" s="25" t="s">
        <v>3824</v>
      </c>
      <c r="P188" s="25">
        <v>1</v>
      </c>
      <c r="Q188" s="25">
        <v>33600</v>
      </c>
      <c r="R188" s="25" t="s">
        <v>26</v>
      </c>
      <c r="S188" s="25" t="s">
        <v>26</v>
      </c>
      <c r="T188" s="25">
        <f t="shared" si="2"/>
        <v>33600</v>
      </c>
    </row>
    <row r="189" spans="1:20">
      <c r="A189" t="s">
        <v>611</v>
      </c>
      <c r="B189">
        <v>45851</v>
      </c>
      <c r="C189" t="s">
        <v>93</v>
      </c>
      <c r="D189" t="s">
        <v>111</v>
      </c>
      <c r="E189" t="s">
        <v>112</v>
      </c>
      <c r="F189">
        <v>4000</v>
      </c>
      <c r="G189" t="s">
        <v>25</v>
      </c>
      <c r="H189" t="s">
        <v>612</v>
      </c>
      <c r="I189" t="s">
        <v>71</v>
      </c>
      <c r="J189">
        <v>58600</v>
      </c>
      <c r="K189" t="s">
        <v>3</v>
      </c>
      <c r="L189" t="s">
        <v>613</v>
      </c>
      <c r="M189" t="s">
        <v>3</v>
      </c>
      <c r="N189" t="s">
        <v>70</v>
      </c>
      <c r="O189" s="25" t="s">
        <v>3824</v>
      </c>
      <c r="P189" s="25">
        <v>1</v>
      </c>
      <c r="Q189" s="25">
        <v>58600</v>
      </c>
      <c r="R189" s="25" t="s">
        <v>26</v>
      </c>
      <c r="S189" s="25" t="s">
        <v>26</v>
      </c>
      <c r="T189" s="25">
        <f t="shared" si="2"/>
        <v>58600</v>
      </c>
    </row>
    <row r="190" spans="1:20">
      <c r="A190" t="s">
        <v>614</v>
      </c>
      <c r="B190">
        <v>45851</v>
      </c>
      <c r="C190" t="s">
        <v>93</v>
      </c>
      <c r="D190" t="s">
        <v>111</v>
      </c>
      <c r="E190" t="s">
        <v>116</v>
      </c>
      <c r="F190">
        <v>4000</v>
      </c>
      <c r="G190" t="s">
        <v>25</v>
      </c>
      <c r="H190" t="s">
        <v>615</v>
      </c>
      <c r="I190" t="s">
        <v>71</v>
      </c>
      <c r="J190">
        <v>56900</v>
      </c>
      <c r="K190" t="s">
        <v>3</v>
      </c>
      <c r="L190" t="s">
        <v>613</v>
      </c>
      <c r="M190" t="s">
        <v>3</v>
      </c>
      <c r="N190" t="s">
        <v>70</v>
      </c>
      <c r="O190" s="25" t="s">
        <v>3824</v>
      </c>
      <c r="P190" s="25">
        <v>1</v>
      </c>
      <c r="Q190" s="25">
        <v>56900</v>
      </c>
      <c r="R190" s="25" t="s">
        <v>26</v>
      </c>
      <c r="S190" s="25" t="s">
        <v>26</v>
      </c>
      <c r="T190" s="25">
        <f t="shared" si="2"/>
        <v>56900</v>
      </c>
    </row>
    <row r="191" spans="1:20">
      <c r="A191" t="s">
        <v>616</v>
      </c>
      <c r="B191">
        <v>45851</v>
      </c>
      <c r="C191" t="s">
        <v>93</v>
      </c>
      <c r="D191" t="s">
        <v>111</v>
      </c>
      <c r="E191" t="s">
        <v>119</v>
      </c>
      <c r="F191">
        <v>4000</v>
      </c>
      <c r="G191" t="s">
        <v>25</v>
      </c>
      <c r="H191" t="s">
        <v>617</v>
      </c>
      <c r="I191" t="s">
        <v>71</v>
      </c>
      <c r="J191">
        <v>61800</v>
      </c>
      <c r="K191" t="s">
        <v>3</v>
      </c>
      <c r="L191" t="s">
        <v>613</v>
      </c>
      <c r="M191" t="s">
        <v>3</v>
      </c>
      <c r="N191" t="s">
        <v>70</v>
      </c>
      <c r="O191" s="25" t="s">
        <v>3824</v>
      </c>
      <c r="P191" s="25">
        <v>1</v>
      </c>
      <c r="Q191" s="25">
        <v>61800</v>
      </c>
      <c r="R191" s="25" t="s">
        <v>26</v>
      </c>
      <c r="S191" s="25" t="s">
        <v>26</v>
      </c>
      <c r="T191" s="25">
        <f t="shared" si="2"/>
        <v>61800</v>
      </c>
    </row>
    <row r="192" spans="1:20">
      <c r="A192" t="s">
        <v>618</v>
      </c>
      <c r="B192">
        <v>45851</v>
      </c>
      <c r="C192" t="s">
        <v>93</v>
      </c>
      <c r="D192" t="s">
        <v>111</v>
      </c>
      <c r="E192" t="s">
        <v>170</v>
      </c>
      <c r="F192">
        <v>4000</v>
      </c>
      <c r="G192" t="s">
        <v>25</v>
      </c>
      <c r="H192" t="s">
        <v>619</v>
      </c>
      <c r="I192" t="s">
        <v>71</v>
      </c>
      <c r="J192">
        <v>62200</v>
      </c>
      <c r="K192" t="s">
        <v>3</v>
      </c>
      <c r="L192" t="s">
        <v>613</v>
      </c>
      <c r="M192" t="s">
        <v>3</v>
      </c>
      <c r="N192" t="s">
        <v>70</v>
      </c>
      <c r="O192" s="25" t="s">
        <v>3824</v>
      </c>
      <c r="P192" s="25">
        <v>1</v>
      </c>
      <c r="Q192" s="25">
        <v>62200</v>
      </c>
      <c r="R192" s="25" t="s">
        <v>26</v>
      </c>
      <c r="S192" s="25" t="s">
        <v>26</v>
      </c>
      <c r="T192" s="25">
        <f t="shared" si="2"/>
        <v>62200</v>
      </c>
    </row>
    <row r="193" spans="1:20">
      <c r="A193" t="s">
        <v>620</v>
      </c>
      <c r="B193">
        <v>45851</v>
      </c>
      <c r="C193" t="s">
        <v>93</v>
      </c>
      <c r="D193" t="s">
        <v>111</v>
      </c>
      <c r="E193" t="s">
        <v>122</v>
      </c>
      <c r="F193">
        <v>4000</v>
      </c>
      <c r="G193" t="s">
        <v>25</v>
      </c>
      <c r="H193" t="s">
        <v>621</v>
      </c>
      <c r="I193" t="s">
        <v>73</v>
      </c>
      <c r="J193">
        <v>576.47</v>
      </c>
      <c r="K193" t="s">
        <v>3</v>
      </c>
      <c r="L193" t="s">
        <v>622</v>
      </c>
      <c r="M193" t="s">
        <v>3</v>
      </c>
      <c r="N193" t="s">
        <v>70</v>
      </c>
      <c r="O193" s="25" t="s">
        <v>3826</v>
      </c>
      <c r="P193" s="25">
        <v>102</v>
      </c>
      <c r="Q193" s="25">
        <v>58799.94</v>
      </c>
      <c r="R193" s="25" t="s">
        <v>26</v>
      </c>
      <c r="S193" s="25" t="s">
        <v>26</v>
      </c>
      <c r="T193" s="25">
        <f t="shared" si="2"/>
        <v>58799.94</v>
      </c>
    </row>
    <row r="194" spans="1:20">
      <c r="A194" t="s">
        <v>623</v>
      </c>
      <c r="B194">
        <v>45851</v>
      </c>
      <c r="C194" t="s">
        <v>126</v>
      </c>
      <c r="D194" t="s">
        <v>88</v>
      </c>
      <c r="E194" t="s">
        <v>132</v>
      </c>
      <c r="F194">
        <v>4020</v>
      </c>
      <c r="G194" t="s">
        <v>30</v>
      </c>
      <c r="H194" t="s">
        <v>624</v>
      </c>
      <c r="I194" t="s">
        <v>71</v>
      </c>
      <c r="J194">
        <v>40000</v>
      </c>
      <c r="K194" t="s">
        <v>134</v>
      </c>
      <c r="L194" t="s">
        <v>625</v>
      </c>
      <c r="M194" t="s">
        <v>3</v>
      </c>
      <c r="N194" t="s">
        <v>70</v>
      </c>
      <c r="O194" s="25" t="s">
        <v>3824</v>
      </c>
      <c r="P194" s="25">
        <v>1</v>
      </c>
      <c r="Q194" s="25">
        <v>40000</v>
      </c>
      <c r="R194" s="25" t="s">
        <v>26</v>
      </c>
      <c r="S194" s="25" t="s">
        <v>26</v>
      </c>
      <c r="T194" s="25">
        <f t="shared" ref="T194:T257" si="3">IF(AND(S194="Revenue",G194&lt;&gt;"Refunds &amp; Chargebacks"),ABS(Q194),-ABS(Q194))</f>
        <v>40000</v>
      </c>
    </row>
    <row r="195" spans="1:20">
      <c r="A195" t="s">
        <v>626</v>
      </c>
      <c r="B195">
        <v>45851</v>
      </c>
      <c r="C195" t="s">
        <v>126</v>
      </c>
      <c r="D195" t="s">
        <v>88</v>
      </c>
      <c r="E195" t="s">
        <v>136</v>
      </c>
      <c r="F195">
        <v>4020</v>
      </c>
      <c r="G195" t="s">
        <v>30</v>
      </c>
      <c r="H195" t="s">
        <v>627</v>
      </c>
      <c r="I195" t="s">
        <v>71</v>
      </c>
      <c r="J195">
        <v>43000</v>
      </c>
      <c r="K195" t="s">
        <v>138</v>
      </c>
      <c r="L195" t="s">
        <v>625</v>
      </c>
      <c r="M195" t="s">
        <v>3</v>
      </c>
      <c r="N195" t="s">
        <v>70</v>
      </c>
      <c r="O195" s="25" t="s">
        <v>3824</v>
      </c>
      <c r="P195" s="25">
        <v>1</v>
      </c>
      <c r="Q195" s="25">
        <v>43000</v>
      </c>
      <c r="R195" s="25" t="s">
        <v>26</v>
      </c>
      <c r="S195" s="25" t="s">
        <v>26</v>
      </c>
      <c r="T195" s="25">
        <f t="shared" si="3"/>
        <v>43000</v>
      </c>
    </row>
    <row r="196" spans="1:20">
      <c r="A196" t="s">
        <v>628</v>
      </c>
      <c r="B196">
        <v>45851</v>
      </c>
      <c r="C196" t="s">
        <v>126</v>
      </c>
      <c r="D196" t="s">
        <v>88</v>
      </c>
      <c r="E196" t="s">
        <v>140</v>
      </c>
      <c r="F196">
        <v>4020</v>
      </c>
      <c r="G196" t="s">
        <v>30</v>
      </c>
      <c r="H196" t="s">
        <v>629</v>
      </c>
      <c r="I196" t="s">
        <v>71</v>
      </c>
      <c r="J196">
        <v>50100</v>
      </c>
      <c r="K196" t="s">
        <v>3</v>
      </c>
      <c r="L196" t="s">
        <v>630</v>
      </c>
      <c r="M196" t="s">
        <v>3</v>
      </c>
      <c r="N196" t="s">
        <v>70</v>
      </c>
      <c r="O196" s="25" t="s">
        <v>3824</v>
      </c>
      <c r="P196" s="25">
        <v>1</v>
      </c>
      <c r="Q196" s="25">
        <v>50100</v>
      </c>
      <c r="R196" s="25" t="s">
        <v>26</v>
      </c>
      <c r="S196" s="25" t="s">
        <v>26</v>
      </c>
      <c r="T196" s="25">
        <f t="shared" si="3"/>
        <v>50100</v>
      </c>
    </row>
    <row r="197" spans="1:20">
      <c r="A197" t="s">
        <v>631</v>
      </c>
      <c r="B197">
        <v>45851</v>
      </c>
      <c r="C197" t="s">
        <v>87</v>
      </c>
      <c r="D197" t="s">
        <v>111</v>
      </c>
      <c r="E197" t="s">
        <v>3</v>
      </c>
      <c r="F197">
        <v>5020</v>
      </c>
      <c r="G197" t="s">
        <v>39</v>
      </c>
      <c r="H197" t="s">
        <v>275</v>
      </c>
      <c r="I197" t="s">
        <v>71</v>
      </c>
      <c r="J197">
        <v>-134000</v>
      </c>
      <c r="K197" t="s">
        <v>276</v>
      </c>
      <c r="L197" t="s">
        <v>632</v>
      </c>
      <c r="M197" t="s">
        <v>3</v>
      </c>
      <c r="N197" t="s">
        <v>70</v>
      </c>
      <c r="O197" s="25" t="s">
        <v>3824</v>
      </c>
      <c r="P197" s="25">
        <v>1</v>
      </c>
      <c r="Q197" s="25">
        <v>-134000</v>
      </c>
      <c r="R197" s="25" t="s">
        <v>35</v>
      </c>
      <c r="S197" s="25" t="s">
        <v>35</v>
      </c>
      <c r="T197" s="25">
        <f t="shared" si="3"/>
        <v>-134000</v>
      </c>
    </row>
    <row r="198" spans="1:20">
      <c r="A198" t="s">
        <v>633</v>
      </c>
      <c r="B198">
        <v>45852</v>
      </c>
      <c r="C198" t="s">
        <v>93</v>
      </c>
      <c r="D198" t="s">
        <v>94</v>
      </c>
      <c r="E198" t="s">
        <v>95</v>
      </c>
      <c r="F198">
        <v>4000</v>
      </c>
      <c r="G198" t="s">
        <v>25</v>
      </c>
      <c r="H198" t="s">
        <v>634</v>
      </c>
      <c r="I198" t="s">
        <v>71</v>
      </c>
      <c r="J198">
        <v>29400</v>
      </c>
      <c r="K198" t="s">
        <v>3</v>
      </c>
      <c r="L198" t="s">
        <v>635</v>
      </c>
      <c r="M198" t="s">
        <v>3</v>
      </c>
      <c r="N198" t="s">
        <v>70</v>
      </c>
      <c r="O198" s="25" t="s">
        <v>3824</v>
      </c>
      <c r="P198" s="25">
        <v>1</v>
      </c>
      <c r="Q198" s="25">
        <v>29400</v>
      </c>
      <c r="R198" s="25" t="s">
        <v>26</v>
      </c>
      <c r="S198" s="25" t="s">
        <v>26</v>
      </c>
      <c r="T198" s="25">
        <f t="shared" si="3"/>
        <v>29400</v>
      </c>
    </row>
    <row r="199" spans="1:20">
      <c r="A199" t="s">
        <v>636</v>
      </c>
      <c r="B199">
        <v>45852</v>
      </c>
      <c r="C199" t="s">
        <v>93</v>
      </c>
      <c r="D199" t="s">
        <v>94</v>
      </c>
      <c r="E199" t="s">
        <v>99</v>
      </c>
      <c r="F199">
        <v>4000</v>
      </c>
      <c r="G199" t="s">
        <v>25</v>
      </c>
      <c r="H199" t="s">
        <v>637</v>
      </c>
      <c r="I199" t="s">
        <v>71</v>
      </c>
      <c r="J199">
        <v>26500</v>
      </c>
      <c r="K199" t="s">
        <v>3</v>
      </c>
      <c r="L199" t="s">
        <v>638</v>
      </c>
      <c r="M199" t="s">
        <v>3</v>
      </c>
      <c r="N199" t="s">
        <v>70</v>
      </c>
      <c r="O199" s="25" t="s">
        <v>3824</v>
      </c>
      <c r="P199" s="25">
        <v>1</v>
      </c>
      <c r="Q199" s="25">
        <v>26500</v>
      </c>
      <c r="R199" s="25" t="s">
        <v>26</v>
      </c>
      <c r="S199" s="25" t="s">
        <v>26</v>
      </c>
      <c r="T199" s="25">
        <f t="shared" si="3"/>
        <v>26500</v>
      </c>
    </row>
    <row r="200" spans="1:20">
      <c r="A200" t="s">
        <v>639</v>
      </c>
      <c r="B200">
        <v>45852</v>
      </c>
      <c r="C200" t="s">
        <v>93</v>
      </c>
      <c r="D200" t="s">
        <v>94</v>
      </c>
      <c r="E200" t="s">
        <v>103</v>
      </c>
      <c r="F200">
        <v>4000</v>
      </c>
      <c r="G200" t="s">
        <v>25</v>
      </c>
      <c r="H200" t="s">
        <v>640</v>
      </c>
      <c r="I200" t="s">
        <v>71</v>
      </c>
      <c r="J200">
        <v>27400</v>
      </c>
      <c r="K200" t="s">
        <v>3</v>
      </c>
      <c r="L200" t="s">
        <v>641</v>
      </c>
      <c r="M200" t="s">
        <v>3</v>
      </c>
      <c r="N200" t="s">
        <v>70</v>
      </c>
      <c r="O200" s="25" t="s">
        <v>3824</v>
      </c>
      <c r="P200" s="25">
        <v>1</v>
      </c>
      <c r="Q200" s="25">
        <v>27400</v>
      </c>
      <c r="R200" s="25" t="s">
        <v>26</v>
      </c>
      <c r="S200" s="25" t="s">
        <v>26</v>
      </c>
      <c r="T200" s="25">
        <f t="shared" si="3"/>
        <v>27400</v>
      </c>
    </row>
    <row r="201" spans="1:20">
      <c r="A201" t="s">
        <v>642</v>
      </c>
      <c r="B201">
        <v>45852</v>
      </c>
      <c r="C201" t="s">
        <v>93</v>
      </c>
      <c r="D201" t="s">
        <v>94</v>
      </c>
      <c r="E201" t="s">
        <v>160</v>
      </c>
      <c r="F201">
        <v>4000</v>
      </c>
      <c r="G201" t="s">
        <v>25</v>
      </c>
      <c r="H201" t="s">
        <v>643</v>
      </c>
      <c r="I201" t="s">
        <v>71</v>
      </c>
      <c r="J201">
        <v>31100</v>
      </c>
      <c r="K201" t="s">
        <v>3</v>
      </c>
      <c r="L201" t="s">
        <v>641</v>
      </c>
      <c r="M201" t="s">
        <v>3</v>
      </c>
      <c r="N201" t="s">
        <v>70</v>
      </c>
      <c r="O201" s="25" t="s">
        <v>3824</v>
      </c>
      <c r="P201" s="25">
        <v>1</v>
      </c>
      <c r="Q201" s="25">
        <v>31100</v>
      </c>
      <c r="R201" s="25" t="s">
        <v>26</v>
      </c>
      <c r="S201" s="25" t="s">
        <v>26</v>
      </c>
      <c r="T201" s="25">
        <f t="shared" si="3"/>
        <v>31100</v>
      </c>
    </row>
    <row r="202" spans="1:20">
      <c r="A202" t="s">
        <v>644</v>
      </c>
      <c r="B202">
        <v>45852</v>
      </c>
      <c r="C202" t="s">
        <v>93</v>
      </c>
      <c r="D202" t="s">
        <v>94</v>
      </c>
      <c r="E202" t="s">
        <v>107</v>
      </c>
      <c r="F202">
        <v>4000</v>
      </c>
      <c r="G202" t="s">
        <v>25</v>
      </c>
      <c r="H202" t="s">
        <v>645</v>
      </c>
      <c r="I202" t="s">
        <v>71</v>
      </c>
      <c r="J202">
        <v>30600</v>
      </c>
      <c r="K202" t="s">
        <v>3</v>
      </c>
      <c r="L202" t="s">
        <v>646</v>
      </c>
      <c r="M202" t="s">
        <v>3</v>
      </c>
      <c r="N202" t="s">
        <v>70</v>
      </c>
      <c r="O202" s="25" t="s">
        <v>3824</v>
      </c>
      <c r="P202" s="25">
        <v>1</v>
      </c>
      <c r="Q202" s="25">
        <v>30600</v>
      </c>
      <c r="R202" s="25" t="s">
        <v>26</v>
      </c>
      <c r="S202" s="25" t="s">
        <v>26</v>
      </c>
      <c r="T202" s="25">
        <f t="shared" si="3"/>
        <v>30600</v>
      </c>
    </row>
    <row r="203" spans="1:20">
      <c r="A203" t="s">
        <v>647</v>
      </c>
      <c r="B203">
        <v>45852</v>
      </c>
      <c r="C203" t="s">
        <v>93</v>
      </c>
      <c r="D203" t="s">
        <v>111</v>
      </c>
      <c r="E203" t="s">
        <v>112</v>
      </c>
      <c r="F203">
        <v>4000</v>
      </c>
      <c r="G203" t="s">
        <v>25</v>
      </c>
      <c r="H203" t="s">
        <v>648</v>
      </c>
      <c r="I203" t="s">
        <v>71</v>
      </c>
      <c r="J203">
        <v>47400</v>
      </c>
      <c r="K203" t="s">
        <v>3</v>
      </c>
      <c r="L203" t="s">
        <v>649</v>
      </c>
      <c r="M203" t="s">
        <v>3</v>
      </c>
      <c r="N203" t="s">
        <v>70</v>
      </c>
      <c r="O203" s="25" t="s">
        <v>3824</v>
      </c>
      <c r="P203" s="25">
        <v>1</v>
      </c>
      <c r="Q203" s="25">
        <v>47400</v>
      </c>
      <c r="R203" s="25" t="s">
        <v>26</v>
      </c>
      <c r="S203" s="25" t="s">
        <v>26</v>
      </c>
      <c r="T203" s="25">
        <f t="shared" si="3"/>
        <v>47400</v>
      </c>
    </row>
    <row r="204" spans="1:20">
      <c r="A204" t="s">
        <v>650</v>
      </c>
      <c r="B204">
        <v>45852</v>
      </c>
      <c r="C204" t="s">
        <v>93</v>
      </c>
      <c r="D204" t="s">
        <v>111</v>
      </c>
      <c r="E204" t="s">
        <v>116</v>
      </c>
      <c r="F204">
        <v>4000</v>
      </c>
      <c r="G204" t="s">
        <v>25</v>
      </c>
      <c r="H204" t="s">
        <v>651</v>
      </c>
      <c r="I204" t="s">
        <v>71</v>
      </c>
      <c r="J204">
        <v>50400</v>
      </c>
      <c r="K204" t="s">
        <v>3</v>
      </c>
      <c r="L204" t="s">
        <v>649</v>
      </c>
      <c r="M204" t="s">
        <v>3</v>
      </c>
      <c r="N204" t="s">
        <v>70</v>
      </c>
      <c r="O204" s="25" t="s">
        <v>3824</v>
      </c>
      <c r="P204" s="25">
        <v>1</v>
      </c>
      <c r="Q204" s="25">
        <v>50400</v>
      </c>
      <c r="R204" s="25" t="s">
        <v>26</v>
      </c>
      <c r="S204" s="25" t="s">
        <v>26</v>
      </c>
      <c r="T204" s="25">
        <f t="shared" si="3"/>
        <v>50400</v>
      </c>
    </row>
    <row r="205" spans="1:20">
      <c r="A205" t="s">
        <v>652</v>
      </c>
      <c r="B205">
        <v>45852</v>
      </c>
      <c r="C205" t="s">
        <v>93</v>
      </c>
      <c r="D205" t="s">
        <v>111</v>
      </c>
      <c r="E205" t="s">
        <v>119</v>
      </c>
      <c r="F205">
        <v>4000</v>
      </c>
      <c r="G205" t="s">
        <v>25</v>
      </c>
      <c r="H205" t="s">
        <v>653</v>
      </c>
      <c r="I205" t="s">
        <v>71</v>
      </c>
      <c r="J205">
        <v>49500</v>
      </c>
      <c r="K205" t="s">
        <v>3</v>
      </c>
      <c r="L205" t="s">
        <v>649</v>
      </c>
      <c r="M205" t="s">
        <v>3</v>
      </c>
      <c r="N205" t="s">
        <v>70</v>
      </c>
      <c r="O205" s="25" t="s">
        <v>3824</v>
      </c>
      <c r="P205" s="25">
        <v>1</v>
      </c>
      <c r="Q205" s="25">
        <v>49500</v>
      </c>
      <c r="R205" s="25" t="s">
        <v>26</v>
      </c>
      <c r="S205" s="25" t="s">
        <v>26</v>
      </c>
      <c r="T205" s="25">
        <f t="shared" si="3"/>
        <v>49500</v>
      </c>
    </row>
    <row r="206" spans="1:20">
      <c r="A206" t="s">
        <v>654</v>
      </c>
      <c r="B206">
        <v>45852</v>
      </c>
      <c r="C206" t="s">
        <v>93</v>
      </c>
      <c r="D206" t="s">
        <v>111</v>
      </c>
      <c r="E206" t="s">
        <v>170</v>
      </c>
      <c r="F206">
        <v>4000</v>
      </c>
      <c r="G206" t="s">
        <v>25</v>
      </c>
      <c r="H206" t="s">
        <v>655</v>
      </c>
      <c r="I206" t="s">
        <v>71</v>
      </c>
      <c r="J206">
        <v>50000</v>
      </c>
      <c r="K206" t="s">
        <v>3</v>
      </c>
      <c r="L206" t="s">
        <v>649</v>
      </c>
      <c r="M206" t="s">
        <v>3</v>
      </c>
      <c r="N206" t="s">
        <v>70</v>
      </c>
      <c r="O206" s="25" t="s">
        <v>3824</v>
      </c>
      <c r="P206" s="25">
        <v>1</v>
      </c>
      <c r="Q206" s="25">
        <v>50000</v>
      </c>
      <c r="R206" s="25" t="s">
        <v>26</v>
      </c>
      <c r="S206" s="25" t="s">
        <v>26</v>
      </c>
      <c r="T206" s="25">
        <f t="shared" si="3"/>
        <v>50000</v>
      </c>
    </row>
    <row r="207" spans="1:20">
      <c r="A207" t="s">
        <v>656</v>
      </c>
      <c r="B207">
        <v>45852</v>
      </c>
      <c r="C207" t="s">
        <v>93</v>
      </c>
      <c r="D207" t="s">
        <v>111</v>
      </c>
      <c r="E207" t="s">
        <v>122</v>
      </c>
      <c r="F207">
        <v>4000</v>
      </c>
      <c r="G207" t="s">
        <v>25</v>
      </c>
      <c r="H207" t="s">
        <v>657</v>
      </c>
      <c r="I207" t="s">
        <v>71</v>
      </c>
      <c r="J207">
        <v>50300</v>
      </c>
      <c r="K207" t="s">
        <v>3</v>
      </c>
      <c r="L207" t="s">
        <v>658</v>
      </c>
      <c r="M207" t="s">
        <v>3</v>
      </c>
      <c r="N207" t="s">
        <v>70</v>
      </c>
      <c r="O207" s="25" t="s">
        <v>3824</v>
      </c>
      <c r="P207" s="25">
        <v>1</v>
      </c>
      <c r="Q207" s="25">
        <v>50300</v>
      </c>
      <c r="R207" s="25" t="s">
        <v>26</v>
      </c>
      <c r="S207" s="25" t="s">
        <v>26</v>
      </c>
      <c r="T207" s="25">
        <f t="shared" si="3"/>
        <v>50300</v>
      </c>
    </row>
    <row r="208" spans="1:20">
      <c r="A208" t="s">
        <v>659</v>
      </c>
      <c r="B208">
        <v>45852</v>
      </c>
      <c r="C208" t="s">
        <v>126</v>
      </c>
      <c r="D208" t="s">
        <v>88</v>
      </c>
      <c r="E208" t="s">
        <v>127</v>
      </c>
      <c r="F208">
        <v>4020</v>
      </c>
      <c r="G208" t="s">
        <v>30</v>
      </c>
      <c r="H208" t="s">
        <v>660</v>
      </c>
      <c r="I208" t="s">
        <v>72</v>
      </c>
      <c r="J208">
        <v>31.31</v>
      </c>
      <c r="K208" t="s">
        <v>129</v>
      </c>
      <c r="L208" t="s">
        <v>661</v>
      </c>
      <c r="M208" t="s">
        <v>3</v>
      </c>
      <c r="N208" t="s">
        <v>70</v>
      </c>
      <c r="O208" s="25" t="s">
        <v>3825</v>
      </c>
      <c r="P208" s="25">
        <v>1530</v>
      </c>
      <c r="Q208" s="25">
        <v>47904.299999999996</v>
      </c>
      <c r="R208" s="25" t="s">
        <v>26</v>
      </c>
      <c r="S208" s="25" t="s">
        <v>26</v>
      </c>
      <c r="T208" s="25">
        <f t="shared" si="3"/>
        <v>47904.299999999996</v>
      </c>
    </row>
    <row r="209" spans="1:20">
      <c r="A209" t="s">
        <v>662</v>
      </c>
      <c r="B209">
        <v>45852</v>
      </c>
      <c r="C209" t="s">
        <v>126</v>
      </c>
      <c r="D209" t="s">
        <v>88</v>
      </c>
      <c r="E209" t="s">
        <v>132</v>
      </c>
      <c r="F209">
        <v>4020</v>
      </c>
      <c r="G209" t="s">
        <v>30</v>
      </c>
      <c r="H209" t="s">
        <v>663</v>
      </c>
      <c r="I209" t="s">
        <v>71</v>
      </c>
      <c r="J209">
        <v>40500</v>
      </c>
      <c r="K209" t="s">
        <v>134</v>
      </c>
      <c r="L209" t="s">
        <v>661</v>
      </c>
      <c r="M209" t="s">
        <v>3</v>
      </c>
      <c r="N209" t="s">
        <v>70</v>
      </c>
      <c r="O209" s="25" t="s">
        <v>3824</v>
      </c>
      <c r="P209" s="25">
        <v>1</v>
      </c>
      <c r="Q209" s="25">
        <v>40500</v>
      </c>
      <c r="R209" s="25" t="s">
        <v>26</v>
      </c>
      <c r="S209" s="25" t="s">
        <v>26</v>
      </c>
      <c r="T209" s="25">
        <f t="shared" si="3"/>
        <v>40500</v>
      </c>
    </row>
    <row r="210" spans="1:20">
      <c r="A210" t="s">
        <v>664</v>
      </c>
      <c r="B210">
        <v>45852</v>
      </c>
      <c r="C210" t="s">
        <v>126</v>
      </c>
      <c r="D210" t="s">
        <v>88</v>
      </c>
      <c r="E210" t="s">
        <v>136</v>
      </c>
      <c r="F210">
        <v>4020</v>
      </c>
      <c r="G210" t="s">
        <v>30</v>
      </c>
      <c r="H210" t="s">
        <v>665</v>
      </c>
      <c r="I210" t="s">
        <v>71</v>
      </c>
      <c r="J210">
        <v>41000</v>
      </c>
      <c r="K210" t="s">
        <v>138</v>
      </c>
      <c r="L210" t="s">
        <v>661</v>
      </c>
      <c r="M210" t="s">
        <v>3</v>
      </c>
      <c r="N210" t="s">
        <v>70</v>
      </c>
      <c r="O210" s="25" t="s">
        <v>3824</v>
      </c>
      <c r="P210" s="25">
        <v>1</v>
      </c>
      <c r="Q210" s="25">
        <v>41000</v>
      </c>
      <c r="R210" s="25" t="s">
        <v>26</v>
      </c>
      <c r="S210" s="25" t="s">
        <v>26</v>
      </c>
      <c r="T210" s="25">
        <f t="shared" si="3"/>
        <v>41000</v>
      </c>
    </row>
    <row r="211" spans="1:20">
      <c r="A211" t="s">
        <v>666</v>
      </c>
      <c r="B211">
        <v>45852</v>
      </c>
      <c r="C211" t="s">
        <v>87</v>
      </c>
      <c r="D211" t="s">
        <v>94</v>
      </c>
      <c r="E211" t="s">
        <v>3</v>
      </c>
      <c r="F211">
        <v>5050</v>
      </c>
      <c r="G211" t="s">
        <v>45</v>
      </c>
      <c r="H211" t="s">
        <v>667</v>
      </c>
      <c r="I211" t="s">
        <v>71</v>
      </c>
      <c r="J211">
        <v>-252000</v>
      </c>
      <c r="K211" t="s">
        <v>668</v>
      </c>
      <c r="L211" t="s">
        <v>669</v>
      </c>
      <c r="M211" t="s">
        <v>3</v>
      </c>
      <c r="N211" t="s">
        <v>70</v>
      </c>
      <c r="O211" s="25" t="s">
        <v>3824</v>
      </c>
      <c r="P211" s="25">
        <v>1</v>
      </c>
      <c r="Q211" s="25">
        <v>-252000</v>
      </c>
      <c r="R211" s="25" t="s">
        <v>35</v>
      </c>
      <c r="S211" s="25" t="s">
        <v>35</v>
      </c>
      <c r="T211" s="25">
        <f t="shared" si="3"/>
        <v>-252000</v>
      </c>
    </row>
    <row r="212" spans="1:20">
      <c r="A212" t="s">
        <v>670</v>
      </c>
      <c r="B212">
        <v>45852</v>
      </c>
      <c r="C212" t="s">
        <v>87</v>
      </c>
      <c r="D212" t="s">
        <v>111</v>
      </c>
      <c r="E212" t="s">
        <v>3</v>
      </c>
      <c r="F212">
        <v>5020</v>
      </c>
      <c r="G212" t="s">
        <v>39</v>
      </c>
      <c r="H212" t="s">
        <v>275</v>
      </c>
      <c r="I212" t="s">
        <v>71</v>
      </c>
      <c r="J212">
        <v>-108000</v>
      </c>
      <c r="K212" t="s">
        <v>276</v>
      </c>
      <c r="L212" t="s">
        <v>671</v>
      </c>
      <c r="M212" t="s">
        <v>3</v>
      </c>
      <c r="N212" t="s">
        <v>70</v>
      </c>
      <c r="O212" s="25" t="s">
        <v>3824</v>
      </c>
      <c r="P212" s="25">
        <v>1</v>
      </c>
      <c r="Q212" s="25">
        <v>-108000</v>
      </c>
      <c r="R212" s="25" t="s">
        <v>35</v>
      </c>
      <c r="S212" s="25" t="s">
        <v>35</v>
      </c>
      <c r="T212" s="25">
        <f t="shared" si="3"/>
        <v>-108000</v>
      </c>
    </row>
    <row r="213" spans="1:20">
      <c r="A213" t="s">
        <v>672</v>
      </c>
      <c r="B213">
        <v>45853</v>
      </c>
      <c r="C213" t="s">
        <v>93</v>
      </c>
      <c r="D213" t="s">
        <v>94</v>
      </c>
      <c r="E213" t="s">
        <v>95</v>
      </c>
      <c r="F213">
        <v>4000</v>
      </c>
      <c r="G213" t="s">
        <v>25</v>
      </c>
      <c r="H213" t="s">
        <v>673</v>
      </c>
      <c r="I213" t="s">
        <v>71</v>
      </c>
      <c r="J213">
        <v>30600</v>
      </c>
      <c r="K213" t="s">
        <v>3</v>
      </c>
      <c r="L213" t="s">
        <v>674</v>
      </c>
      <c r="M213" t="s">
        <v>3</v>
      </c>
      <c r="N213" t="s">
        <v>70</v>
      </c>
      <c r="O213" s="25" t="s">
        <v>3824</v>
      </c>
      <c r="P213" s="25">
        <v>1</v>
      </c>
      <c r="Q213" s="25">
        <v>30600</v>
      </c>
      <c r="R213" s="25" t="s">
        <v>26</v>
      </c>
      <c r="S213" s="25" t="s">
        <v>26</v>
      </c>
      <c r="T213" s="25">
        <f t="shared" si="3"/>
        <v>30600</v>
      </c>
    </row>
    <row r="214" spans="1:20">
      <c r="A214" t="s">
        <v>675</v>
      </c>
      <c r="B214">
        <v>45853</v>
      </c>
      <c r="C214" t="s">
        <v>93</v>
      </c>
      <c r="D214" t="s">
        <v>94</v>
      </c>
      <c r="E214" t="s">
        <v>99</v>
      </c>
      <c r="F214">
        <v>4000</v>
      </c>
      <c r="G214" t="s">
        <v>25</v>
      </c>
      <c r="H214" t="s">
        <v>676</v>
      </c>
      <c r="I214" t="s">
        <v>71</v>
      </c>
      <c r="J214">
        <v>27400</v>
      </c>
      <c r="K214" t="s">
        <v>3</v>
      </c>
      <c r="L214" t="s">
        <v>677</v>
      </c>
      <c r="M214" t="s">
        <v>3</v>
      </c>
      <c r="N214" t="s">
        <v>70</v>
      </c>
      <c r="O214" s="25" t="s">
        <v>3824</v>
      </c>
      <c r="P214" s="25">
        <v>1</v>
      </c>
      <c r="Q214" s="25">
        <v>27400</v>
      </c>
      <c r="R214" s="25" t="s">
        <v>26</v>
      </c>
      <c r="S214" s="25" t="s">
        <v>26</v>
      </c>
      <c r="T214" s="25">
        <f t="shared" si="3"/>
        <v>27400</v>
      </c>
    </row>
    <row r="215" spans="1:20">
      <c r="A215" t="s">
        <v>678</v>
      </c>
      <c r="B215">
        <v>45853</v>
      </c>
      <c r="C215" t="s">
        <v>93</v>
      </c>
      <c r="D215" t="s">
        <v>94</v>
      </c>
      <c r="E215" t="s">
        <v>160</v>
      </c>
      <c r="F215">
        <v>4000</v>
      </c>
      <c r="G215" t="s">
        <v>25</v>
      </c>
      <c r="H215" t="s">
        <v>679</v>
      </c>
      <c r="I215" t="s">
        <v>71</v>
      </c>
      <c r="J215">
        <v>28500</v>
      </c>
      <c r="K215" t="s">
        <v>3</v>
      </c>
      <c r="L215" t="s">
        <v>680</v>
      </c>
      <c r="M215" t="s">
        <v>3</v>
      </c>
      <c r="N215" t="s">
        <v>70</v>
      </c>
      <c r="O215" s="25" t="s">
        <v>3824</v>
      </c>
      <c r="P215" s="25">
        <v>1</v>
      </c>
      <c r="Q215" s="25">
        <v>28500</v>
      </c>
      <c r="R215" s="25" t="s">
        <v>26</v>
      </c>
      <c r="S215" s="25" t="s">
        <v>26</v>
      </c>
      <c r="T215" s="25">
        <f t="shared" si="3"/>
        <v>28500</v>
      </c>
    </row>
    <row r="216" spans="1:20">
      <c r="A216" t="s">
        <v>681</v>
      </c>
      <c r="B216">
        <v>45853</v>
      </c>
      <c r="C216" t="s">
        <v>93</v>
      </c>
      <c r="D216" t="s">
        <v>94</v>
      </c>
      <c r="E216" t="s">
        <v>107</v>
      </c>
      <c r="F216">
        <v>4000</v>
      </c>
      <c r="G216" t="s">
        <v>25</v>
      </c>
      <c r="H216" t="s">
        <v>682</v>
      </c>
      <c r="I216" t="s">
        <v>71</v>
      </c>
      <c r="J216">
        <v>26800</v>
      </c>
      <c r="K216" t="s">
        <v>3</v>
      </c>
      <c r="L216" t="s">
        <v>683</v>
      </c>
      <c r="M216" t="s">
        <v>3</v>
      </c>
      <c r="N216" t="s">
        <v>70</v>
      </c>
      <c r="O216" s="25" t="s">
        <v>3824</v>
      </c>
      <c r="P216" s="25">
        <v>1</v>
      </c>
      <c r="Q216" s="25">
        <v>26800</v>
      </c>
      <c r="R216" s="25" t="s">
        <v>26</v>
      </c>
      <c r="S216" s="25" t="s">
        <v>26</v>
      </c>
      <c r="T216" s="25">
        <f t="shared" si="3"/>
        <v>26800</v>
      </c>
    </row>
    <row r="217" spans="1:20">
      <c r="A217" t="s">
        <v>684</v>
      </c>
      <c r="B217">
        <v>45853</v>
      </c>
      <c r="C217" t="s">
        <v>93</v>
      </c>
      <c r="D217" t="s">
        <v>111</v>
      </c>
      <c r="E217" t="s">
        <v>112</v>
      </c>
      <c r="F217">
        <v>4000</v>
      </c>
      <c r="G217" t="s">
        <v>25</v>
      </c>
      <c r="H217" t="s">
        <v>685</v>
      </c>
      <c r="I217" t="s">
        <v>71</v>
      </c>
      <c r="J217">
        <v>47000</v>
      </c>
      <c r="K217" t="s">
        <v>3</v>
      </c>
      <c r="L217" t="s">
        <v>686</v>
      </c>
      <c r="M217" t="s">
        <v>3</v>
      </c>
      <c r="N217" t="s">
        <v>70</v>
      </c>
      <c r="O217" s="25" t="s">
        <v>3824</v>
      </c>
      <c r="P217" s="25">
        <v>1</v>
      </c>
      <c r="Q217" s="25">
        <v>47000</v>
      </c>
      <c r="R217" s="25" t="s">
        <v>26</v>
      </c>
      <c r="S217" s="25" t="s">
        <v>26</v>
      </c>
      <c r="T217" s="25">
        <f t="shared" si="3"/>
        <v>47000</v>
      </c>
    </row>
    <row r="218" spans="1:20">
      <c r="A218" t="s">
        <v>687</v>
      </c>
      <c r="B218">
        <v>45853</v>
      </c>
      <c r="C218" t="s">
        <v>93</v>
      </c>
      <c r="D218" t="s">
        <v>111</v>
      </c>
      <c r="E218" t="s">
        <v>119</v>
      </c>
      <c r="F218">
        <v>4000</v>
      </c>
      <c r="G218" t="s">
        <v>25</v>
      </c>
      <c r="H218" t="s">
        <v>688</v>
      </c>
      <c r="I218" t="s">
        <v>71</v>
      </c>
      <c r="J218">
        <v>50200</v>
      </c>
      <c r="K218" t="s">
        <v>3</v>
      </c>
      <c r="L218" t="s">
        <v>686</v>
      </c>
      <c r="M218" t="s">
        <v>3</v>
      </c>
      <c r="N218" t="s">
        <v>70</v>
      </c>
      <c r="O218" s="25" t="s">
        <v>3824</v>
      </c>
      <c r="P218" s="25">
        <v>1</v>
      </c>
      <c r="Q218" s="25">
        <v>50200</v>
      </c>
      <c r="R218" s="25" t="s">
        <v>26</v>
      </c>
      <c r="S218" s="25" t="s">
        <v>26</v>
      </c>
      <c r="T218" s="25">
        <f t="shared" si="3"/>
        <v>50200</v>
      </c>
    </row>
    <row r="219" spans="1:20">
      <c r="A219" t="s">
        <v>689</v>
      </c>
      <c r="B219">
        <v>45853</v>
      </c>
      <c r="C219" t="s">
        <v>93</v>
      </c>
      <c r="D219" t="s">
        <v>111</v>
      </c>
      <c r="E219" t="s">
        <v>170</v>
      </c>
      <c r="F219">
        <v>4000</v>
      </c>
      <c r="G219" t="s">
        <v>25</v>
      </c>
      <c r="H219" t="s">
        <v>690</v>
      </c>
      <c r="I219" t="s">
        <v>71</v>
      </c>
      <c r="J219">
        <v>46100</v>
      </c>
      <c r="K219" t="s">
        <v>3</v>
      </c>
      <c r="L219" t="s">
        <v>686</v>
      </c>
      <c r="M219" t="s">
        <v>3</v>
      </c>
      <c r="N219" t="s">
        <v>70</v>
      </c>
      <c r="O219" s="25" t="s">
        <v>3824</v>
      </c>
      <c r="P219" s="25">
        <v>1</v>
      </c>
      <c r="Q219" s="25">
        <v>46100</v>
      </c>
      <c r="R219" s="25" t="s">
        <v>26</v>
      </c>
      <c r="S219" s="25" t="s">
        <v>26</v>
      </c>
      <c r="T219" s="25">
        <f t="shared" si="3"/>
        <v>46100</v>
      </c>
    </row>
    <row r="220" spans="1:20">
      <c r="A220" t="s">
        <v>691</v>
      </c>
      <c r="B220">
        <v>45853</v>
      </c>
      <c r="C220" t="s">
        <v>93</v>
      </c>
      <c r="D220" t="s">
        <v>111</v>
      </c>
      <c r="E220" t="s">
        <v>122</v>
      </c>
      <c r="F220">
        <v>4000</v>
      </c>
      <c r="G220" t="s">
        <v>25</v>
      </c>
      <c r="H220" t="s">
        <v>692</v>
      </c>
      <c r="I220" t="s">
        <v>73</v>
      </c>
      <c r="J220">
        <v>465.69</v>
      </c>
      <c r="K220" t="s">
        <v>3</v>
      </c>
      <c r="L220" t="s">
        <v>693</v>
      </c>
      <c r="M220" t="s">
        <v>3</v>
      </c>
      <c r="N220" t="s">
        <v>70</v>
      </c>
      <c r="O220" s="25" t="s">
        <v>3826</v>
      </c>
      <c r="P220" s="25">
        <v>102</v>
      </c>
      <c r="Q220" s="25">
        <v>47500.38</v>
      </c>
      <c r="R220" s="25" t="s">
        <v>26</v>
      </c>
      <c r="S220" s="25" t="s">
        <v>26</v>
      </c>
      <c r="T220" s="25">
        <f t="shared" si="3"/>
        <v>47500.38</v>
      </c>
    </row>
    <row r="221" spans="1:20">
      <c r="A221" t="s">
        <v>694</v>
      </c>
      <c r="B221">
        <v>45853</v>
      </c>
      <c r="C221" t="s">
        <v>126</v>
      </c>
      <c r="D221" t="s">
        <v>88</v>
      </c>
      <c r="E221" t="s">
        <v>127</v>
      </c>
      <c r="F221">
        <v>4020</v>
      </c>
      <c r="G221" t="s">
        <v>30</v>
      </c>
      <c r="H221" t="s">
        <v>695</v>
      </c>
      <c r="I221" t="s">
        <v>71</v>
      </c>
      <c r="J221">
        <v>47000</v>
      </c>
      <c r="K221" t="s">
        <v>129</v>
      </c>
      <c r="L221" t="s">
        <v>696</v>
      </c>
      <c r="M221" t="s">
        <v>3</v>
      </c>
      <c r="N221" t="s">
        <v>70</v>
      </c>
      <c r="O221" s="25" t="s">
        <v>3824</v>
      </c>
      <c r="P221" s="25">
        <v>1</v>
      </c>
      <c r="Q221" s="25">
        <v>47000</v>
      </c>
      <c r="R221" s="25" t="s">
        <v>26</v>
      </c>
      <c r="S221" s="25" t="s">
        <v>26</v>
      </c>
      <c r="T221" s="25">
        <f t="shared" si="3"/>
        <v>47000</v>
      </c>
    </row>
    <row r="222" spans="1:20">
      <c r="A222" t="s">
        <v>697</v>
      </c>
      <c r="B222">
        <v>45853</v>
      </c>
      <c r="C222" t="s">
        <v>126</v>
      </c>
      <c r="D222" t="s">
        <v>88</v>
      </c>
      <c r="E222" t="s">
        <v>132</v>
      </c>
      <c r="F222">
        <v>4020</v>
      </c>
      <c r="G222" t="s">
        <v>30</v>
      </c>
      <c r="H222" t="s">
        <v>698</v>
      </c>
      <c r="I222" t="s">
        <v>72</v>
      </c>
      <c r="J222">
        <v>32.090000000000003</v>
      </c>
      <c r="K222" t="s">
        <v>134</v>
      </c>
      <c r="L222" t="s">
        <v>696</v>
      </c>
      <c r="M222" t="s">
        <v>3</v>
      </c>
      <c r="N222" t="s">
        <v>70</v>
      </c>
      <c r="O222" s="25" t="s">
        <v>3825</v>
      </c>
      <c r="P222" s="25">
        <v>1530</v>
      </c>
      <c r="Q222" s="25">
        <v>49097.700000000004</v>
      </c>
      <c r="R222" s="25" t="s">
        <v>26</v>
      </c>
      <c r="S222" s="25" t="s">
        <v>26</v>
      </c>
      <c r="T222" s="25">
        <f t="shared" si="3"/>
        <v>49097.700000000004</v>
      </c>
    </row>
    <row r="223" spans="1:20">
      <c r="A223" t="s">
        <v>699</v>
      </c>
      <c r="B223">
        <v>45853</v>
      </c>
      <c r="C223" t="s">
        <v>126</v>
      </c>
      <c r="D223" t="s">
        <v>88</v>
      </c>
      <c r="E223" t="s">
        <v>136</v>
      </c>
      <c r="F223">
        <v>4020</v>
      </c>
      <c r="G223" t="s">
        <v>30</v>
      </c>
      <c r="H223" t="s">
        <v>700</v>
      </c>
      <c r="I223" t="s">
        <v>71</v>
      </c>
      <c r="J223">
        <v>48900</v>
      </c>
      <c r="K223" t="s">
        <v>138</v>
      </c>
      <c r="L223" t="s">
        <v>696</v>
      </c>
      <c r="M223" t="s">
        <v>3</v>
      </c>
      <c r="N223" t="s">
        <v>70</v>
      </c>
      <c r="O223" s="25" t="s">
        <v>3824</v>
      </c>
      <c r="P223" s="25">
        <v>1</v>
      </c>
      <c r="Q223" s="25">
        <v>48900</v>
      </c>
      <c r="R223" s="25" t="s">
        <v>26</v>
      </c>
      <c r="S223" s="25" t="s">
        <v>26</v>
      </c>
      <c r="T223" s="25">
        <f t="shared" si="3"/>
        <v>48900</v>
      </c>
    </row>
    <row r="224" spans="1:20">
      <c r="A224" t="s">
        <v>701</v>
      </c>
      <c r="B224">
        <v>45853</v>
      </c>
      <c r="C224" t="s">
        <v>126</v>
      </c>
      <c r="D224" t="s">
        <v>88</v>
      </c>
      <c r="E224" t="s">
        <v>140</v>
      </c>
      <c r="F224">
        <v>4020</v>
      </c>
      <c r="G224" t="s">
        <v>30</v>
      </c>
      <c r="H224" t="s">
        <v>702</v>
      </c>
      <c r="I224" t="s">
        <v>71</v>
      </c>
      <c r="J224">
        <v>41000</v>
      </c>
      <c r="K224" t="s">
        <v>3</v>
      </c>
      <c r="L224" t="s">
        <v>703</v>
      </c>
      <c r="M224" t="s">
        <v>3</v>
      </c>
      <c r="N224" t="s">
        <v>70</v>
      </c>
      <c r="O224" s="25" t="s">
        <v>3824</v>
      </c>
      <c r="P224" s="25">
        <v>1</v>
      </c>
      <c r="Q224" s="25">
        <v>41000</v>
      </c>
      <c r="R224" s="25" t="s">
        <v>26</v>
      </c>
      <c r="S224" s="25" t="s">
        <v>26</v>
      </c>
      <c r="T224" s="25">
        <f t="shared" si="3"/>
        <v>41000</v>
      </c>
    </row>
    <row r="225" spans="1:20">
      <c r="A225" t="s">
        <v>704</v>
      </c>
      <c r="B225">
        <v>45853</v>
      </c>
      <c r="C225" t="s">
        <v>87</v>
      </c>
      <c r="D225" t="s">
        <v>88</v>
      </c>
      <c r="E225" t="s">
        <v>3</v>
      </c>
      <c r="F225">
        <v>5030</v>
      </c>
      <c r="G225" t="s">
        <v>41</v>
      </c>
      <c r="H225" t="s">
        <v>279</v>
      </c>
      <c r="I225" t="s">
        <v>71</v>
      </c>
      <c r="J225">
        <v>-364000</v>
      </c>
      <c r="K225" t="s">
        <v>280</v>
      </c>
      <c r="L225" t="s">
        <v>705</v>
      </c>
      <c r="M225" t="s">
        <v>3</v>
      </c>
      <c r="N225" t="s">
        <v>70</v>
      </c>
      <c r="O225" s="25" t="s">
        <v>3824</v>
      </c>
      <c r="P225" s="25">
        <v>1</v>
      </c>
      <c r="Q225" s="25">
        <v>-364000</v>
      </c>
      <c r="R225" s="25" t="s">
        <v>35</v>
      </c>
      <c r="S225" s="25" t="s">
        <v>35</v>
      </c>
      <c r="T225" s="25">
        <f t="shared" si="3"/>
        <v>-364000</v>
      </c>
    </row>
    <row r="226" spans="1:20">
      <c r="A226" t="s">
        <v>706</v>
      </c>
      <c r="B226">
        <v>45853</v>
      </c>
      <c r="C226" t="s">
        <v>87</v>
      </c>
      <c r="D226" t="s">
        <v>94</v>
      </c>
      <c r="E226" t="s">
        <v>3</v>
      </c>
      <c r="F226">
        <v>6030</v>
      </c>
      <c r="G226" t="s">
        <v>54</v>
      </c>
      <c r="H226" t="s">
        <v>707</v>
      </c>
      <c r="I226" t="s">
        <v>72</v>
      </c>
      <c r="J226">
        <v>-730.09</v>
      </c>
      <c r="K226" t="s">
        <v>708</v>
      </c>
      <c r="L226" t="s">
        <v>709</v>
      </c>
      <c r="M226" t="s">
        <v>3</v>
      </c>
      <c r="N226" t="s">
        <v>70</v>
      </c>
      <c r="O226" s="25" t="s">
        <v>3825</v>
      </c>
      <c r="P226" s="25">
        <v>1530</v>
      </c>
      <c r="Q226" s="25">
        <v>-1117037.7</v>
      </c>
      <c r="R226" s="25" t="s">
        <v>48</v>
      </c>
      <c r="S226" s="25" t="s">
        <v>48</v>
      </c>
      <c r="T226" s="25">
        <f t="shared" si="3"/>
        <v>-1117037.7</v>
      </c>
    </row>
    <row r="227" spans="1:20">
      <c r="A227" t="s">
        <v>710</v>
      </c>
      <c r="B227">
        <v>45854</v>
      </c>
      <c r="C227" t="s">
        <v>93</v>
      </c>
      <c r="D227" t="s">
        <v>94</v>
      </c>
      <c r="E227" t="s">
        <v>95</v>
      </c>
      <c r="F227">
        <v>4000</v>
      </c>
      <c r="G227" t="s">
        <v>25</v>
      </c>
      <c r="H227" t="s">
        <v>711</v>
      </c>
      <c r="I227" t="s">
        <v>71</v>
      </c>
      <c r="J227">
        <v>30600</v>
      </c>
      <c r="K227" t="s">
        <v>3</v>
      </c>
      <c r="L227" t="s">
        <v>712</v>
      </c>
      <c r="M227" t="s">
        <v>3</v>
      </c>
      <c r="N227" t="s">
        <v>70</v>
      </c>
      <c r="O227" s="25" t="s">
        <v>3824</v>
      </c>
      <c r="P227" s="25">
        <v>1</v>
      </c>
      <c r="Q227" s="25">
        <v>30600</v>
      </c>
      <c r="R227" s="25" t="s">
        <v>26</v>
      </c>
      <c r="S227" s="25" t="s">
        <v>26</v>
      </c>
      <c r="T227" s="25">
        <f t="shared" si="3"/>
        <v>30600</v>
      </c>
    </row>
    <row r="228" spans="1:20">
      <c r="A228" t="s">
        <v>713</v>
      </c>
      <c r="B228">
        <v>45854</v>
      </c>
      <c r="C228" t="s">
        <v>93</v>
      </c>
      <c r="D228" t="s">
        <v>94</v>
      </c>
      <c r="E228" t="s">
        <v>99</v>
      </c>
      <c r="F228">
        <v>4000</v>
      </c>
      <c r="G228" t="s">
        <v>25</v>
      </c>
      <c r="H228" t="s">
        <v>714</v>
      </c>
      <c r="I228" t="s">
        <v>71</v>
      </c>
      <c r="J228">
        <v>28500</v>
      </c>
      <c r="K228" t="s">
        <v>3</v>
      </c>
      <c r="L228" t="s">
        <v>715</v>
      </c>
      <c r="M228" t="s">
        <v>3</v>
      </c>
      <c r="N228" t="s">
        <v>70</v>
      </c>
      <c r="O228" s="25" t="s">
        <v>3824</v>
      </c>
      <c r="P228" s="25">
        <v>1</v>
      </c>
      <c r="Q228" s="25">
        <v>28500</v>
      </c>
      <c r="R228" s="25" t="s">
        <v>26</v>
      </c>
      <c r="S228" s="25" t="s">
        <v>26</v>
      </c>
      <c r="T228" s="25">
        <f t="shared" si="3"/>
        <v>28500</v>
      </c>
    </row>
    <row r="229" spans="1:20">
      <c r="A229" t="s">
        <v>716</v>
      </c>
      <c r="B229">
        <v>45854</v>
      </c>
      <c r="C229" t="s">
        <v>93</v>
      </c>
      <c r="D229" t="s">
        <v>94</v>
      </c>
      <c r="E229" t="s">
        <v>103</v>
      </c>
      <c r="F229">
        <v>4000</v>
      </c>
      <c r="G229" t="s">
        <v>25</v>
      </c>
      <c r="H229" t="s">
        <v>717</v>
      </c>
      <c r="I229" t="s">
        <v>71</v>
      </c>
      <c r="J229">
        <v>29100</v>
      </c>
      <c r="K229" t="s">
        <v>3</v>
      </c>
      <c r="L229" t="s">
        <v>718</v>
      </c>
      <c r="M229" t="s">
        <v>3</v>
      </c>
      <c r="N229" t="s">
        <v>70</v>
      </c>
      <c r="O229" s="25" t="s">
        <v>3824</v>
      </c>
      <c r="P229" s="25">
        <v>1</v>
      </c>
      <c r="Q229" s="25">
        <v>29100</v>
      </c>
      <c r="R229" s="25" t="s">
        <v>26</v>
      </c>
      <c r="S229" s="25" t="s">
        <v>26</v>
      </c>
      <c r="T229" s="25">
        <f t="shared" si="3"/>
        <v>29100</v>
      </c>
    </row>
    <row r="230" spans="1:20">
      <c r="A230" t="s">
        <v>719</v>
      </c>
      <c r="B230">
        <v>45854</v>
      </c>
      <c r="C230" t="s">
        <v>93</v>
      </c>
      <c r="D230" t="s">
        <v>94</v>
      </c>
      <c r="E230" t="s">
        <v>160</v>
      </c>
      <c r="F230">
        <v>4000</v>
      </c>
      <c r="G230" t="s">
        <v>25</v>
      </c>
      <c r="H230" t="s">
        <v>720</v>
      </c>
      <c r="I230" t="s">
        <v>71</v>
      </c>
      <c r="J230">
        <v>27000</v>
      </c>
      <c r="K230" t="s">
        <v>3</v>
      </c>
      <c r="L230" t="s">
        <v>718</v>
      </c>
      <c r="M230" t="s">
        <v>3</v>
      </c>
      <c r="N230" t="s">
        <v>70</v>
      </c>
      <c r="O230" s="25" t="s">
        <v>3824</v>
      </c>
      <c r="P230" s="25">
        <v>1</v>
      </c>
      <c r="Q230" s="25">
        <v>27000</v>
      </c>
      <c r="R230" s="25" t="s">
        <v>26</v>
      </c>
      <c r="S230" s="25" t="s">
        <v>26</v>
      </c>
      <c r="T230" s="25">
        <f t="shared" si="3"/>
        <v>27000</v>
      </c>
    </row>
    <row r="231" spans="1:20">
      <c r="A231" t="s">
        <v>721</v>
      </c>
      <c r="B231">
        <v>45854</v>
      </c>
      <c r="C231" t="s">
        <v>93</v>
      </c>
      <c r="D231" t="s">
        <v>94</v>
      </c>
      <c r="E231" t="s">
        <v>107</v>
      </c>
      <c r="F231">
        <v>4000</v>
      </c>
      <c r="G231" t="s">
        <v>25</v>
      </c>
      <c r="H231" t="s">
        <v>722</v>
      </c>
      <c r="I231" t="s">
        <v>71</v>
      </c>
      <c r="J231">
        <v>26700</v>
      </c>
      <c r="K231" t="s">
        <v>3</v>
      </c>
      <c r="L231" t="s">
        <v>723</v>
      </c>
      <c r="M231" t="s">
        <v>3</v>
      </c>
      <c r="N231" t="s">
        <v>70</v>
      </c>
      <c r="O231" s="25" t="s">
        <v>3824</v>
      </c>
      <c r="P231" s="25">
        <v>1</v>
      </c>
      <c r="Q231" s="25">
        <v>26700</v>
      </c>
      <c r="R231" s="25" t="s">
        <v>26</v>
      </c>
      <c r="S231" s="25" t="s">
        <v>26</v>
      </c>
      <c r="T231" s="25">
        <f t="shared" si="3"/>
        <v>26700</v>
      </c>
    </row>
    <row r="232" spans="1:20">
      <c r="A232" t="s">
        <v>724</v>
      </c>
      <c r="B232">
        <v>45854</v>
      </c>
      <c r="C232" t="s">
        <v>93</v>
      </c>
      <c r="D232" t="s">
        <v>111</v>
      </c>
      <c r="E232" t="s">
        <v>112</v>
      </c>
      <c r="F232">
        <v>4000</v>
      </c>
      <c r="G232" t="s">
        <v>25</v>
      </c>
      <c r="H232" t="s">
        <v>725</v>
      </c>
      <c r="I232" t="s">
        <v>71</v>
      </c>
      <c r="J232">
        <v>49200</v>
      </c>
      <c r="K232" t="s">
        <v>3</v>
      </c>
      <c r="L232" t="s">
        <v>726</v>
      </c>
      <c r="M232" t="s">
        <v>3</v>
      </c>
      <c r="N232" t="s">
        <v>70</v>
      </c>
      <c r="O232" s="25" t="s">
        <v>3824</v>
      </c>
      <c r="P232" s="25">
        <v>1</v>
      </c>
      <c r="Q232" s="25">
        <v>49200</v>
      </c>
      <c r="R232" s="25" t="s">
        <v>26</v>
      </c>
      <c r="S232" s="25" t="s">
        <v>26</v>
      </c>
      <c r="T232" s="25">
        <f t="shared" si="3"/>
        <v>49200</v>
      </c>
    </row>
    <row r="233" spans="1:20">
      <c r="A233" t="s">
        <v>727</v>
      </c>
      <c r="B233">
        <v>45854</v>
      </c>
      <c r="C233" t="s">
        <v>93</v>
      </c>
      <c r="D233" t="s">
        <v>111</v>
      </c>
      <c r="E233" t="s">
        <v>116</v>
      </c>
      <c r="F233">
        <v>4000</v>
      </c>
      <c r="G233" t="s">
        <v>25</v>
      </c>
      <c r="H233" t="s">
        <v>728</v>
      </c>
      <c r="I233" t="s">
        <v>71</v>
      </c>
      <c r="J233">
        <v>47800</v>
      </c>
      <c r="K233" t="s">
        <v>3</v>
      </c>
      <c r="L233" t="s">
        <v>726</v>
      </c>
      <c r="M233" t="s">
        <v>3</v>
      </c>
      <c r="N233" t="s">
        <v>70</v>
      </c>
      <c r="O233" s="25" t="s">
        <v>3824</v>
      </c>
      <c r="P233" s="25">
        <v>1</v>
      </c>
      <c r="Q233" s="25">
        <v>47800</v>
      </c>
      <c r="R233" s="25" t="s">
        <v>26</v>
      </c>
      <c r="S233" s="25" t="s">
        <v>26</v>
      </c>
      <c r="T233" s="25">
        <f t="shared" si="3"/>
        <v>47800</v>
      </c>
    </row>
    <row r="234" spans="1:20">
      <c r="A234" t="s">
        <v>729</v>
      </c>
      <c r="B234">
        <v>45854</v>
      </c>
      <c r="C234" t="s">
        <v>93</v>
      </c>
      <c r="D234" t="s">
        <v>111</v>
      </c>
      <c r="E234" t="s">
        <v>119</v>
      </c>
      <c r="F234">
        <v>4000</v>
      </c>
      <c r="G234" t="s">
        <v>25</v>
      </c>
      <c r="H234" t="s">
        <v>730</v>
      </c>
      <c r="I234" t="s">
        <v>71</v>
      </c>
      <c r="J234">
        <v>50300</v>
      </c>
      <c r="K234" t="s">
        <v>3</v>
      </c>
      <c r="L234" t="s">
        <v>726</v>
      </c>
      <c r="M234" t="s">
        <v>3</v>
      </c>
      <c r="N234" t="s">
        <v>70</v>
      </c>
      <c r="O234" s="25" t="s">
        <v>3824</v>
      </c>
      <c r="P234" s="25">
        <v>1</v>
      </c>
      <c r="Q234" s="25">
        <v>50300</v>
      </c>
      <c r="R234" s="25" t="s">
        <v>26</v>
      </c>
      <c r="S234" s="25" t="s">
        <v>26</v>
      </c>
      <c r="T234" s="25">
        <f t="shared" si="3"/>
        <v>50300</v>
      </c>
    </row>
    <row r="235" spans="1:20">
      <c r="A235" t="s">
        <v>731</v>
      </c>
      <c r="B235">
        <v>45854</v>
      </c>
      <c r="C235" t="s">
        <v>93</v>
      </c>
      <c r="D235" t="s">
        <v>111</v>
      </c>
      <c r="E235" t="s">
        <v>170</v>
      </c>
      <c r="F235">
        <v>4000</v>
      </c>
      <c r="G235" t="s">
        <v>25</v>
      </c>
      <c r="H235" t="s">
        <v>732</v>
      </c>
      <c r="I235" t="s">
        <v>71</v>
      </c>
      <c r="J235">
        <v>45300</v>
      </c>
      <c r="K235" t="s">
        <v>3</v>
      </c>
      <c r="L235" t="s">
        <v>726</v>
      </c>
      <c r="M235" t="s">
        <v>3</v>
      </c>
      <c r="N235" t="s">
        <v>70</v>
      </c>
      <c r="O235" s="25" t="s">
        <v>3824</v>
      </c>
      <c r="P235" s="25">
        <v>1</v>
      </c>
      <c r="Q235" s="25">
        <v>45300</v>
      </c>
      <c r="R235" s="25" t="s">
        <v>26</v>
      </c>
      <c r="S235" s="25" t="s">
        <v>26</v>
      </c>
      <c r="T235" s="25">
        <f t="shared" si="3"/>
        <v>45300</v>
      </c>
    </row>
    <row r="236" spans="1:20">
      <c r="A236" t="s">
        <v>733</v>
      </c>
      <c r="B236">
        <v>45854</v>
      </c>
      <c r="C236" t="s">
        <v>93</v>
      </c>
      <c r="D236" t="s">
        <v>111</v>
      </c>
      <c r="E236" t="s">
        <v>122</v>
      </c>
      <c r="F236">
        <v>4000</v>
      </c>
      <c r="G236" t="s">
        <v>25</v>
      </c>
      <c r="H236" t="s">
        <v>734</v>
      </c>
      <c r="I236" t="s">
        <v>71</v>
      </c>
      <c r="J236">
        <v>47100</v>
      </c>
      <c r="K236" t="s">
        <v>3</v>
      </c>
      <c r="L236" t="s">
        <v>735</v>
      </c>
      <c r="M236" t="s">
        <v>3</v>
      </c>
      <c r="N236" t="s">
        <v>70</v>
      </c>
      <c r="O236" s="25" t="s">
        <v>3824</v>
      </c>
      <c r="P236" s="25">
        <v>1</v>
      </c>
      <c r="Q236" s="25">
        <v>47100</v>
      </c>
      <c r="R236" s="25" t="s">
        <v>26</v>
      </c>
      <c r="S236" s="25" t="s">
        <v>26</v>
      </c>
      <c r="T236" s="25">
        <f t="shared" si="3"/>
        <v>47100</v>
      </c>
    </row>
    <row r="237" spans="1:20">
      <c r="A237" t="s">
        <v>736</v>
      </c>
      <c r="B237">
        <v>45854</v>
      </c>
      <c r="C237" t="s">
        <v>126</v>
      </c>
      <c r="D237" t="s">
        <v>88</v>
      </c>
      <c r="E237" t="s">
        <v>127</v>
      </c>
      <c r="F237">
        <v>4020</v>
      </c>
      <c r="G237" t="s">
        <v>30</v>
      </c>
      <c r="H237" t="s">
        <v>737</v>
      </c>
      <c r="I237" t="s">
        <v>71</v>
      </c>
      <c r="J237">
        <v>41200</v>
      </c>
      <c r="K237" t="s">
        <v>129</v>
      </c>
      <c r="L237" t="s">
        <v>738</v>
      </c>
      <c r="M237" t="s">
        <v>3</v>
      </c>
      <c r="N237" t="s">
        <v>70</v>
      </c>
      <c r="O237" s="25" t="s">
        <v>3824</v>
      </c>
      <c r="P237" s="25">
        <v>1</v>
      </c>
      <c r="Q237" s="25">
        <v>41200</v>
      </c>
      <c r="R237" s="25" t="s">
        <v>26</v>
      </c>
      <c r="S237" s="25" t="s">
        <v>26</v>
      </c>
      <c r="T237" s="25">
        <f t="shared" si="3"/>
        <v>41200</v>
      </c>
    </row>
    <row r="238" spans="1:20">
      <c r="A238" t="s">
        <v>739</v>
      </c>
      <c r="B238">
        <v>45854</v>
      </c>
      <c r="C238" t="s">
        <v>126</v>
      </c>
      <c r="D238" t="s">
        <v>88</v>
      </c>
      <c r="E238" t="s">
        <v>132</v>
      </c>
      <c r="F238">
        <v>4020</v>
      </c>
      <c r="G238" t="s">
        <v>30</v>
      </c>
      <c r="H238" t="s">
        <v>740</v>
      </c>
      <c r="I238" t="s">
        <v>72</v>
      </c>
      <c r="J238">
        <v>26.67</v>
      </c>
      <c r="K238" t="s">
        <v>134</v>
      </c>
      <c r="L238" t="s">
        <v>738</v>
      </c>
      <c r="M238" t="s">
        <v>3</v>
      </c>
      <c r="N238" t="s">
        <v>70</v>
      </c>
      <c r="O238" s="25" t="s">
        <v>3825</v>
      </c>
      <c r="P238" s="25">
        <v>1530</v>
      </c>
      <c r="Q238" s="25">
        <v>40805.100000000006</v>
      </c>
      <c r="R238" s="25" t="s">
        <v>26</v>
      </c>
      <c r="S238" s="25" t="s">
        <v>26</v>
      </c>
      <c r="T238" s="25">
        <f t="shared" si="3"/>
        <v>40805.100000000006</v>
      </c>
    </row>
    <row r="239" spans="1:20">
      <c r="A239" t="s">
        <v>741</v>
      </c>
      <c r="B239">
        <v>45854</v>
      </c>
      <c r="C239" t="s">
        <v>126</v>
      </c>
      <c r="D239" t="s">
        <v>88</v>
      </c>
      <c r="E239" t="s">
        <v>136</v>
      </c>
      <c r="F239">
        <v>4020</v>
      </c>
      <c r="G239" t="s">
        <v>30</v>
      </c>
      <c r="H239" t="s">
        <v>742</v>
      </c>
      <c r="I239" t="s">
        <v>71</v>
      </c>
      <c r="J239">
        <v>44100</v>
      </c>
      <c r="K239" t="s">
        <v>138</v>
      </c>
      <c r="L239" t="s">
        <v>738</v>
      </c>
      <c r="M239" t="s">
        <v>3</v>
      </c>
      <c r="N239" t="s">
        <v>70</v>
      </c>
      <c r="O239" s="25" t="s">
        <v>3824</v>
      </c>
      <c r="P239" s="25">
        <v>1</v>
      </c>
      <c r="Q239" s="25">
        <v>44100</v>
      </c>
      <c r="R239" s="25" t="s">
        <v>26</v>
      </c>
      <c r="S239" s="25" t="s">
        <v>26</v>
      </c>
      <c r="T239" s="25">
        <f t="shared" si="3"/>
        <v>44100</v>
      </c>
    </row>
    <row r="240" spans="1:20">
      <c r="A240" t="s">
        <v>743</v>
      </c>
      <c r="B240">
        <v>45854</v>
      </c>
      <c r="C240" t="s">
        <v>126</v>
      </c>
      <c r="D240" t="s">
        <v>88</v>
      </c>
      <c r="E240" t="s">
        <v>140</v>
      </c>
      <c r="F240">
        <v>4020</v>
      </c>
      <c r="G240" t="s">
        <v>30</v>
      </c>
      <c r="H240" t="s">
        <v>744</v>
      </c>
      <c r="I240" t="s">
        <v>71</v>
      </c>
      <c r="J240">
        <v>46100</v>
      </c>
      <c r="K240" t="s">
        <v>3</v>
      </c>
      <c r="L240" t="s">
        <v>745</v>
      </c>
      <c r="M240" t="s">
        <v>3</v>
      </c>
      <c r="N240" t="s">
        <v>70</v>
      </c>
      <c r="O240" s="25" t="s">
        <v>3824</v>
      </c>
      <c r="P240" s="25">
        <v>1</v>
      </c>
      <c r="Q240" s="25">
        <v>46100</v>
      </c>
      <c r="R240" s="25" t="s">
        <v>26</v>
      </c>
      <c r="S240" s="25" t="s">
        <v>26</v>
      </c>
      <c r="T240" s="25">
        <f t="shared" si="3"/>
        <v>46100</v>
      </c>
    </row>
    <row r="241" spans="1:20">
      <c r="A241" t="s">
        <v>746</v>
      </c>
      <c r="B241">
        <v>45854</v>
      </c>
      <c r="C241" t="s">
        <v>93</v>
      </c>
      <c r="D241" t="s">
        <v>94</v>
      </c>
      <c r="E241" t="s">
        <v>95</v>
      </c>
      <c r="F241">
        <v>4900</v>
      </c>
      <c r="G241" t="s">
        <v>32</v>
      </c>
      <c r="H241" t="s">
        <v>747</v>
      </c>
      <c r="I241" t="s">
        <v>71</v>
      </c>
      <c r="J241">
        <v>-131837</v>
      </c>
      <c r="K241" t="s">
        <v>3</v>
      </c>
      <c r="L241" t="s">
        <v>748</v>
      </c>
      <c r="M241" t="s">
        <v>3</v>
      </c>
      <c r="N241" t="s">
        <v>70</v>
      </c>
      <c r="O241" s="25" t="s">
        <v>3824</v>
      </c>
      <c r="P241" s="25">
        <v>1</v>
      </c>
      <c r="Q241" s="25">
        <v>-131837</v>
      </c>
      <c r="R241" s="25" t="s">
        <v>26</v>
      </c>
      <c r="S241" s="25" t="s">
        <v>26</v>
      </c>
      <c r="T241" s="25">
        <f t="shared" si="3"/>
        <v>-131837</v>
      </c>
    </row>
    <row r="242" spans="1:20">
      <c r="A242" t="s">
        <v>749</v>
      </c>
      <c r="B242">
        <v>45854</v>
      </c>
      <c r="C242" t="s">
        <v>93</v>
      </c>
      <c r="D242" t="s">
        <v>94</v>
      </c>
      <c r="E242" t="s">
        <v>95</v>
      </c>
      <c r="F242">
        <v>4900</v>
      </c>
      <c r="G242" t="s">
        <v>32</v>
      </c>
      <c r="H242" t="s">
        <v>750</v>
      </c>
      <c r="I242" t="s">
        <v>71</v>
      </c>
      <c r="J242">
        <v>130743</v>
      </c>
      <c r="K242" t="s">
        <v>3</v>
      </c>
      <c r="L242" t="s">
        <v>751</v>
      </c>
      <c r="M242" t="s">
        <v>237</v>
      </c>
      <c r="N242" t="s">
        <v>70</v>
      </c>
      <c r="O242" s="25" t="s">
        <v>3824</v>
      </c>
      <c r="P242" s="25">
        <v>1</v>
      </c>
      <c r="Q242" s="25">
        <v>130743</v>
      </c>
      <c r="R242" s="25" t="s">
        <v>26</v>
      </c>
      <c r="S242" s="25" t="s">
        <v>26</v>
      </c>
      <c r="T242" s="25">
        <f t="shared" si="3"/>
        <v>-130743</v>
      </c>
    </row>
    <row r="243" spans="1:20">
      <c r="A243" t="s">
        <v>752</v>
      </c>
      <c r="B243">
        <v>45854</v>
      </c>
      <c r="C243" t="s">
        <v>87</v>
      </c>
      <c r="D243" t="s">
        <v>88</v>
      </c>
      <c r="E243" t="s">
        <v>3</v>
      </c>
      <c r="F243">
        <v>5030</v>
      </c>
      <c r="G243" t="s">
        <v>41</v>
      </c>
      <c r="H243" t="s">
        <v>148</v>
      </c>
      <c r="I243" t="s">
        <v>71</v>
      </c>
      <c r="J243">
        <v>-550000</v>
      </c>
      <c r="K243" t="s">
        <v>90</v>
      </c>
      <c r="L243" t="s">
        <v>753</v>
      </c>
      <c r="M243" t="s">
        <v>3</v>
      </c>
      <c r="N243" t="s">
        <v>70</v>
      </c>
      <c r="O243" s="25" t="s">
        <v>3824</v>
      </c>
      <c r="P243" s="25">
        <v>1</v>
      </c>
      <c r="Q243" s="25">
        <v>-550000</v>
      </c>
      <c r="R243" s="25" t="s">
        <v>35</v>
      </c>
      <c r="S243" s="25" t="s">
        <v>35</v>
      </c>
      <c r="T243" s="25">
        <f t="shared" si="3"/>
        <v>-550000</v>
      </c>
    </row>
    <row r="244" spans="1:20">
      <c r="A244" t="s">
        <v>754</v>
      </c>
      <c r="B244">
        <v>45855</v>
      </c>
      <c r="C244" t="s">
        <v>93</v>
      </c>
      <c r="D244" t="s">
        <v>94</v>
      </c>
      <c r="E244" t="s">
        <v>95</v>
      </c>
      <c r="F244">
        <v>4000</v>
      </c>
      <c r="G244" t="s">
        <v>25</v>
      </c>
      <c r="H244" t="s">
        <v>755</v>
      </c>
      <c r="I244" t="s">
        <v>71</v>
      </c>
      <c r="J244">
        <v>29800</v>
      </c>
      <c r="K244" t="s">
        <v>3</v>
      </c>
      <c r="L244" t="s">
        <v>756</v>
      </c>
      <c r="M244" t="s">
        <v>3</v>
      </c>
      <c r="N244" t="s">
        <v>70</v>
      </c>
      <c r="O244" s="25" t="s">
        <v>3824</v>
      </c>
      <c r="P244" s="25">
        <v>1</v>
      </c>
      <c r="Q244" s="25">
        <v>29800</v>
      </c>
      <c r="R244" s="25" t="s">
        <v>26</v>
      </c>
      <c r="S244" s="25" t="s">
        <v>26</v>
      </c>
      <c r="T244" s="25">
        <f t="shared" si="3"/>
        <v>29800</v>
      </c>
    </row>
    <row r="245" spans="1:20">
      <c r="A245" t="s">
        <v>757</v>
      </c>
      <c r="B245">
        <v>45855</v>
      </c>
      <c r="C245" t="s">
        <v>93</v>
      </c>
      <c r="D245" t="s">
        <v>94</v>
      </c>
      <c r="E245" t="s">
        <v>99</v>
      </c>
      <c r="F245">
        <v>4000</v>
      </c>
      <c r="G245" t="s">
        <v>25</v>
      </c>
      <c r="H245" t="s">
        <v>758</v>
      </c>
      <c r="I245" t="s">
        <v>71</v>
      </c>
      <c r="J245">
        <v>27000</v>
      </c>
      <c r="K245" t="s">
        <v>3</v>
      </c>
      <c r="L245" t="s">
        <v>759</v>
      </c>
      <c r="M245" t="s">
        <v>3</v>
      </c>
      <c r="N245" t="s">
        <v>70</v>
      </c>
      <c r="O245" s="25" t="s">
        <v>3824</v>
      </c>
      <c r="P245" s="25">
        <v>1</v>
      </c>
      <c r="Q245" s="25">
        <v>27000</v>
      </c>
      <c r="R245" s="25" t="s">
        <v>26</v>
      </c>
      <c r="S245" s="25" t="s">
        <v>26</v>
      </c>
      <c r="T245" s="25">
        <f t="shared" si="3"/>
        <v>27000</v>
      </c>
    </row>
    <row r="246" spans="1:20">
      <c r="A246" t="s">
        <v>760</v>
      </c>
      <c r="B246">
        <v>45855</v>
      </c>
      <c r="C246" t="s">
        <v>93</v>
      </c>
      <c r="D246" t="s">
        <v>94</v>
      </c>
      <c r="E246" t="s">
        <v>103</v>
      </c>
      <c r="F246">
        <v>4000</v>
      </c>
      <c r="G246" t="s">
        <v>25</v>
      </c>
      <c r="H246" t="s">
        <v>761</v>
      </c>
      <c r="I246" t="s">
        <v>71</v>
      </c>
      <c r="J246">
        <v>30500</v>
      </c>
      <c r="K246" t="s">
        <v>3</v>
      </c>
      <c r="L246" t="s">
        <v>762</v>
      </c>
      <c r="M246" t="s">
        <v>3</v>
      </c>
      <c r="N246" t="s">
        <v>70</v>
      </c>
      <c r="O246" s="25" t="s">
        <v>3824</v>
      </c>
      <c r="P246" s="25">
        <v>1</v>
      </c>
      <c r="Q246" s="25">
        <v>30500</v>
      </c>
      <c r="R246" s="25" t="s">
        <v>26</v>
      </c>
      <c r="S246" s="25" t="s">
        <v>26</v>
      </c>
      <c r="T246" s="25">
        <f t="shared" si="3"/>
        <v>30500</v>
      </c>
    </row>
    <row r="247" spans="1:20">
      <c r="A247" t="s">
        <v>763</v>
      </c>
      <c r="B247">
        <v>45855</v>
      </c>
      <c r="C247" t="s">
        <v>93</v>
      </c>
      <c r="D247" t="s">
        <v>94</v>
      </c>
      <c r="E247" t="s">
        <v>160</v>
      </c>
      <c r="F247">
        <v>4000</v>
      </c>
      <c r="G247" t="s">
        <v>25</v>
      </c>
      <c r="H247" t="s">
        <v>764</v>
      </c>
      <c r="I247" t="s">
        <v>71</v>
      </c>
      <c r="J247">
        <v>30200</v>
      </c>
      <c r="K247" t="s">
        <v>3</v>
      </c>
      <c r="L247" t="s">
        <v>762</v>
      </c>
      <c r="M247" t="s">
        <v>3</v>
      </c>
      <c r="N247" t="s">
        <v>70</v>
      </c>
      <c r="O247" s="25" t="s">
        <v>3824</v>
      </c>
      <c r="P247" s="25">
        <v>1</v>
      </c>
      <c r="Q247" s="25">
        <v>30200</v>
      </c>
      <c r="R247" s="25" t="s">
        <v>26</v>
      </c>
      <c r="S247" s="25" t="s">
        <v>26</v>
      </c>
      <c r="T247" s="25">
        <f t="shared" si="3"/>
        <v>30200</v>
      </c>
    </row>
    <row r="248" spans="1:20">
      <c r="A248" t="s">
        <v>765</v>
      </c>
      <c r="B248">
        <v>45855</v>
      </c>
      <c r="C248" t="s">
        <v>93</v>
      </c>
      <c r="D248" t="s">
        <v>94</v>
      </c>
      <c r="E248" t="s">
        <v>107</v>
      </c>
      <c r="F248">
        <v>4000</v>
      </c>
      <c r="G248" t="s">
        <v>25</v>
      </c>
      <c r="H248" t="s">
        <v>766</v>
      </c>
      <c r="I248" t="s">
        <v>71</v>
      </c>
      <c r="J248">
        <v>27200</v>
      </c>
      <c r="K248" t="s">
        <v>3</v>
      </c>
      <c r="L248" t="s">
        <v>767</v>
      </c>
      <c r="M248" t="s">
        <v>3</v>
      </c>
      <c r="N248" t="s">
        <v>70</v>
      </c>
      <c r="O248" s="25" t="s">
        <v>3824</v>
      </c>
      <c r="P248" s="25">
        <v>1</v>
      </c>
      <c r="Q248" s="25">
        <v>27200</v>
      </c>
      <c r="R248" s="25" t="s">
        <v>26</v>
      </c>
      <c r="S248" s="25" t="s">
        <v>26</v>
      </c>
      <c r="T248" s="25">
        <f t="shared" si="3"/>
        <v>27200</v>
      </c>
    </row>
    <row r="249" spans="1:20">
      <c r="A249" t="s">
        <v>768</v>
      </c>
      <c r="B249">
        <v>45855</v>
      </c>
      <c r="C249" t="s">
        <v>93</v>
      </c>
      <c r="D249" t="s">
        <v>111</v>
      </c>
      <c r="E249" t="s">
        <v>112</v>
      </c>
      <c r="F249">
        <v>4000</v>
      </c>
      <c r="G249" t="s">
        <v>25</v>
      </c>
      <c r="H249" t="s">
        <v>769</v>
      </c>
      <c r="I249" t="s">
        <v>71</v>
      </c>
      <c r="J249">
        <v>46400</v>
      </c>
      <c r="K249" t="s">
        <v>3</v>
      </c>
      <c r="L249" t="s">
        <v>770</v>
      </c>
      <c r="M249" t="s">
        <v>3</v>
      </c>
      <c r="N249" t="s">
        <v>70</v>
      </c>
      <c r="O249" s="25" t="s">
        <v>3824</v>
      </c>
      <c r="P249" s="25">
        <v>1</v>
      </c>
      <c r="Q249" s="25">
        <v>46400</v>
      </c>
      <c r="R249" s="25" t="s">
        <v>26</v>
      </c>
      <c r="S249" s="25" t="s">
        <v>26</v>
      </c>
      <c r="T249" s="25">
        <f t="shared" si="3"/>
        <v>46400</v>
      </c>
    </row>
    <row r="250" spans="1:20">
      <c r="A250" t="s">
        <v>771</v>
      </c>
      <c r="B250">
        <v>45855</v>
      </c>
      <c r="C250" t="s">
        <v>93</v>
      </c>
      <c r="D250" t="s">
        <v>111</v>
      </c>
      <c r="E250" t="s">
        <v>116</v>
      </c>
      <c r="F250">
        <v>4000</v>
      </c>
      <c r="G250" t="s">
        <v>25</v>
      </c>
      <c r="H250" t="s">
        <v>772</v>
      </c>
      <c r="I250" t="s">
        <v>71</v>
      </c>
      <c r="J250">
        <v>49100</v>
      </c>
      <c r="K250" t="s">
        <v>3</v>
      </c>
      <c r="L250" t="s">
        <v>770</v>
      </c>
      <c r="M250" t="s">
        <v>3</v>
      </c>
      <c r="N250" t="s">
        <v>70</v>
      </c>
      <c r="O250" s="25" t="s">
        <v>3824</v>
      </c>
      <c r="P250" s="25">
        <v>1</v>
      </c>
      <c r="Q250" s="25">
        <v>49100</v>
      </c>
      <c r="R250" s="25" t="s">
        <v>26</v>
      </c>
      <c r="S250" s="25" t="s">
        <v>26</v>
      </c>
      <c r="T250" s="25">
        <f t="shared" si="3"/>
        <v>49100</v>
      </c>
    </row>
    <row r="251" spans="1:20">
      <c r="A251" t="s">
        <v>773</v>
      </c>
      <c r="B251">
        <v>45855</v>
      </c>
      <c r="C251" t="s">
        <v>93</v>
      </c>
      <c r="D251" t="s">
        <v>111</v>
      </c>
      <c r="E251" t="s">
        <v>119</v>
      </c>
      <c r="F251">
        <v>4000</v>
      </c>
      <c r="G251" t="s">
        <v>25</v>
      </c>
      <c r="H251" t="s">
        <v>774</v>
      </c>
      <c r="I251" t="s">
        <v>71</v>
      </c>
      <c r="J251">
        <v>48600</v>
      </c>
      <c r="K251" t="s">
        <v>3</v>
      </c>
      <c r="L251" t="s">
        <v>770</v>
      </c>
      <c r="M251" t="s">
        <v>3</v>
      </c>
      <c r="N251" t="s">
        <v>70</v>
      </c>
      <c r="O251" s="25" t="s">
        <v>3824</v>
      </c>
      <c r="P251" s="25">
        <v>1</v>
      </c>
      <c r="Q251" s="25">
        <v>48600</v>
      </c>
      <c r="R251" s="25" t="s">
        <v>26</v>
      </c>
      <c r="S251" s="25" t="s">
        <v>26</v>
      </c>
      <c r="T251" s="25">
        <f t="shared" si="3"/>
        <v>48600</v>
      </c>
    </row>
    <row r="252" spans="1:20">
      <c r="A252" t="s">
        <v>775</v>
      </c>
      <c r="B252">
        <v>45855</v>
      </c>
      <c r="C252" t="s">
        <v>93</v>
      </c>
      <c r="D252" t="s">
        <v>111</v>
      </c>
      <c r="E252" t="s">
        <v>170</v>
      </c>
      <c r="F252">
        <v>4000</v>
      </c>
      <c r="G252" t="s">
        <v>25</v>
      </c>
      <c r="H252" t="s">
        <v>776</v>
      </c>
      <c r="I252" t="s">
        <v>71</v>
      </c>
      <c r="J252">
        <v>48200</v>
      </c>
      <c r="K252" t="s">
        <v>3</v>
      </c>
      <c r="L252" t="s">
        <v>770</v>
      </c>
      <c r="M252" t="s">
        <v>3</v>
      </c>
      <c r="N252" t="s">
        <v>70</v>
      </c>
      <c r="O252" s="25" t="s">
        <v>3824</v>
      </c>
      <c r="P252" s="25">
        <v>1</v>
      </c>
      <c r="Q252" s="25">
        <v>48200</v>
      </c>
      <c r="R252" s="25" t="s">
        <v>26</v>
      </c>
      <c r="S252" s="25" t="s">
        <v>26</v>
      </c>
      <c r="T252" s="25">
        <f t="shared" si="3"/>
        <v>48200</v>
      </c>
    </row>
    <row r="253" spans="1:20">
      <c r="A253" t="s">
        <v>777</v>
      </c>
      <c r="B253">
        <v>45855</v>
      </c>
      <c r="C253" t="s">
        <v>93</v>
      </c>
      <c r="D253" t="s">
        <v>111</v>
      </c>
      <c r="E253" t="s">
        <v>122</v>
      </c>
      <c r="F253">
        <v>4000</v>
      </c>
      <c r="G253" t="s">
        <v>25</v>
      </c>
      <c r="H253" t="s">
        <v>778</v>
      </c>
      <c r="I253" t="s">
        <v>73</v>
      </c>
      <c r="J253">
        <v>483.33</v>
      </c>
      <c r="K253" t="s">
        <v>3</v>
      </c>
      <c r="L253" t="s">
        <v>779</v>
      </c>
      <c r="M253" t="s">
        <v>3</v>
      </c>
      <c r="N253" t="s">
        <v>70</v>
      </c>
      <c r="O253" s="25" t="s">
        <v>3826</v>
      </c>
      <c r="P253" s="25">
        <v>102</v>
      </c>
      <c r="Q253" s="25">
        <v>49299.659999999996</v>
      </c>
      <c r="R253" s="25" t="s">
        <v>26</v>
      </c>
      <c r="S253" s="25" t="s">
        <v>26</v>
      </c>
      <c r="T253" s="25">
        <f t="shared" si="3"/>
        <v>49299.659999999996</v>
      </c>
    </row>
    <row r="254" spans="1:20">
      <c r="A254" t="s">
        <v>780</v>
      </c>
      <c r="B254">
        <v>45855</v>
      </c>
      <c r="C254" t="s">
        <v>126</v>
      </c>
      <c r="D254" t="s">
        <v>88</v>
      </c>
      <c r="E254" t="s">
        <v>127</v>
      </c>
      <c r="F254">
        <v>4020</v>
      </c>
      <c r="G254" t="s">
        <v>30</v>
      </c>
      <c r="H254" t="s">
        <v>781</v>
      </c>
      <c r="I254" t="s">
        <v>71</v>
      </c>
      <c r="J254">
        <v>49800</v>
      </c>
      <c r="K254" t="s">
        <v>129</v>
      </c>
      <c r="L254" t="s">
        <v>782</v>
      </c>
      <c r="M254" t="s">
        <v>3</v>
      </c>
      <c r="N254" t="s">
        <v>70</v>
      </c>
      <c r="O254" s="25" t="s">
        <v>3824</v>
      </c>
      <c r="P254" s="25">
        <v>1</v>
      </c>
      <c r="Q254" s="25">
        <v>49800</v>
      </c>
      <c r="R254" s="25" t="s">
        <v>26</v>
      </c>
      <c r="S254" s="25" t="s">
        <v>26</v>
      </c>
      <c r="T254" s="25">
        <f t="shared" si="3"/>
        <v>49800</v>
      </c>
    </row>
    <row r="255" spans="1:20">
      <c r="A255" t="s">
        <v>783</v>
      </c>
      <c r="B255">
        <v>45855</v>
      </c>
      <c r="C255" t="s">
        <v>126</v>
      </c>
      <c r="D255" t="s">
        <v>88</v>
      </c>
      <c r="E255" t="s">
        <v>132</v>
      </c>
      <c r="F255">
        <v>4020</v>
      </c>
      <c r="G255" t="s">
        <v>30</v>
      </c>
      <c r="H255" t="s">
        <v>784</v>
      </c>
      <c r="I255" t="s">
        <v>72</v>
      </c>
      <c r="J255">
        <v>28.37</v>
      </c>
      <c r="K255" t="s">
        <v>134</v>
      </c>
      <c r="L255" t="s">
        <v>782</v>
      </c>
      <c r="M255" t="s">
        <v>3</v>
      </c>
      <c r="N255" t="s">
        <v>70</v>
      </c>
      <c r="O255" s="25" t="s">
        <v>3825</v>
      </c>
      <c r="P255" s="25">
        <v>1530</v>
      </c>
      <c r="Q255" s="25">
        <v>43406.1</v>
      </c>
      <c r="R255" s="25" t="s">
        <v>26</v>
      </c>
      <c r="S255" s="25" t="s">
        <v>26</v>
      </c>
      <c r="T255" s="25">
        <f t="shared" si="3"/>
        <v>43406.1</v>
      </c>
    </row>
    <row r="256" spans="1:20">
      <c r="A256" t="s">
        <v>785</v>
      </c>
      <c r="B256">
        <v>45855</v>
      </c>
      <c r="C256" t="s">
        <v>126</v>
      </c>
      <c r="D256" t="s">
        <v>88</v>
      </c>
      <c r="E256" t="s">
        <v>136</v>
      </c>
      <c r="F256">
        <v>4020</v>
      </c>
      <c r="G256" t="s">
        <v>30</v>
      </c>
      <c r="H256" t="s">
        <v>786</v>
      </c>
      <c r="I256" t="s">
        <v>71</v>
      </c>
      <c r="J256">
        <v>45000</v>
      </c>
      <c r="K256" t="s">
        <v>138</v>
      </c>
      <c r="L256" t="s">
        <v>782</v>
      </c>
      <c r="M256" t="s">
        <v>3</v>
      </c>
      <c r="N256" t="s">
        <v>70</v>
      </c>
      <c r="O256" s="25" t="s">
        <v>3824</v>
      </c>
      <c r="P256" s="25">
        <v>1</v>
      </c>
      <c r="Q256" s="25">
        <v>45000</v>
      </c>
      <c r="R256" s="25" t="s">
        <v>26</v>
      </c>
      <c r="S256" s="25" t="s">
        <v>26</v>
      </c>
      <c r="T256" s="25">
        <f t="shared" si="3"/>
        <v>45000</v>
      </c>
    </row>
    <row r="257" spans="1:20">
      <c r="A257" t="s">
        <v>787</v>
      </c>
      <c r="B257">
        <v>45855</v>
      </c>
      <c r="C257" t="s">
        <v>126</v>
      </c>
      <c r="D257" t="s">
        <v>88</v>
      </c>
      <c r="E257" t="s">
        <v>140</v>
      </c>
      <c r="F257">
        <v>4020</v>
      </c>
      <c r="G257" t="s">
        <v>30</v>
      </c>
      <c r="H257" t="s">
        <v>788</v>
      </c>
      <c r="I257" t="s">
        <v>71</v>
      </c>
      <c r="J257">
        <v>44000</v>
      </c>
      <c r="K257" t="s">
        <v>3</v>
      </c>
      <c r="L257" t="s">
        <v>789</v>
      </c>
      <c r="M257" t="s">
        <v>3</v>
      </c>
      <c r="N257" t="s">
        <v>70</v>
      </c>
      <c r="O257" s="25" t="s">
        <v>3824</v>
      </c>
      <c r="P257" s="25">
        <v>1</v>
      </c>
      <c r="Q257" s="25">
        <v>44000</v>
      </c>
      <c r="R257" s="25" t="s">
        <v>26</v>
      </c>
      <c r="S257" s="25" t="s">
        <v>26</v>
      </c>
      <c r="T257" s="25">
        <f t="shared" si="3"/>
        <v>44000</v>
      </c>
    </row>
    <row r="258" spans="1:20">
      <c r="A258" t="s">
        <v>790</v>
      </c>
      <c r="B258">
        <v>45855</v>
      </c>
      <c r="C258" t="s">
        <v>87</v>
      </c>
      <c r="D258" t="s">
        <v>94</v>
      </c>
      <c r="E258" t="s">
        <v>3</v>
      </c>
      <c r="F258">
        <v>5000</v>
      </c>
      <c r="G258" t="s">
        <v>34</v>
      </c>
      <c r="H258" t="s">
        <v>315</v>
      </c>
      <c r="I258" t="s">
        <v>71</v>
      </c>
      <c r="J258">
        <v>-596000</v>
      </c>
      <c r="K258" t="s">
        <v>316</v>
      </c>
      <c r="L258" t="s">
        <v>791</v>
      </c>
      <c r="M258" t="s">
        <v>3</v>
      </c>
      <c r="N258" t="s">
        <v>70</v>
      </c>
      <c r="O258" s="25" t="s">
        <v>3824</v>
      </c>
      <c r="P258" s="25">
        <v>1</v>
      </c>
      <c r="Q258" s="25">
        <v>-596000</v>
      </c>
      <c r="R258" s="25" t="s">
        <v>35</v>
      </c>
      <c r="S258" s="25" t="s">
        <v>35</v>
      </c>
      <c r="T258" s="25">
        <f t="shared" ref="T258:T321" si="4">IF(AND(S258="Revenue",G258&lt;&gt;"Refunds &amp; Chargebacks"),ABS(Q258),-ABS(Q258))</f>
        <v>-596000</v>
      </c>
    </row>
    <row r="259" spans="1:20">
      <c r="A259" t="s">
        <v>792</v>
      </c>
      <c r="B259">
        <v>45855</v>
      </c>
      <c r="C259" t="s">
        <v>87</v>
      </c>
      <c r="D259" t="s">
        <v>94</v>
      </c>
      <c r="E259" t="s">
        <v>3</v>
      </c>
      <c r="F259">
        <v>5050</v>
      </c>
      <c r="G259" t="s">
        <v>45</v>
      </c>
      <c r="H259" t="s">
        <v>190</v>
      </c>
      <c r="I259" t="s">
        <v>71</v>
      </c>
      <c r="J259">
        <v>-153000</v>
      </c>
      <c r="K259" t="s">
        <v>191</v>
      </c>
      <c r="L259" t="s">
        <v>793</v>
      </c>
      <c r="M259" t="s">
        <v>3</v>
      </c>
      <c r="N259" t="s">
        <v>70</v>
      </c>
      <c r="O259" s="25" t="s">
        <v>3824</v>
      </c>
      <c r="P259" s="25">
        <v>1</v>
      </c>
      <c r="Q259" s="25">
        <v>-153000</v>
      </c>
      <c r="R259" s="25" t="s">
        <v>35</v>
      </c>
      <c r="S259" s="25" t="s">
        <v>35</v>
      </c>
      <c r="T259" s="25">
        <f t="shared" si="4"/>
        <v>-153000</v>
      </c>
    </row>
    <row r="260" spans="1:20">
      <c r="A260" t="s">
        <v>794</v>
      </c>
      <c r="B260">
        <v>45856</v>
      </c>
      <c r="C260" t="s">
        <v>93</v>
      </c>
      <c r="D260" t="s">
        <v>94</v>
      </c>
      <c r="E260" t="s">
        <v>95</v>
      </c>
      <c r="F260">
        <v>4000</v>
      </c>
      <c r="G260" t="s">
        <v>25</v>
      </c>
      <c r="H260" t="s">
        <v>795</v>
      </c>
      <c r="I260" t="s">
        <v>71</v>
      </c>
      <c r="J260">
        <v>27300</v>
      </c>
      <c r="K260" t="s">
        <v>3</v>
      </c>
      <c r="L260" t="s">
        <v>796</v>
      </c>
      <c r="M260" t="s">
        <v>3</v>
      </c>
      <c r="N260" t="s">
        <v>70</v>
      </c>
      <c r="O260" s="25" t="s">
        <v>3824</v>
      </c>
      <c r="P260" s="25">
        <v>1</v>
      </c>
      <c r="Q260" s="25">
        <v>27300</v>
      </c>
      <c r="R260" s="25" t="s">
        <v>26</v>
      </c>
      <c r="S260" s="25" t="s">
        <v>26</v>
      </c>
      <c r="T260" s="25">
        <f t="shared" si="4"/>
        <v>27300</v>
      </c>
    </row>
    <row r="261" spans="1:20">
      <c r="A261" t="s">
        <v>797</v>
      </c>
      <c r="B261">
        <v>45856</v>
      </c>
      <c r="C261" t="s">
        <v>93</v>
      </c>
      <c r="D261" t="s">
        <v>94</v>
      </c>
      <c r="E261" t="s">
        <v>99</v>
      </c>
      <c r="F261">
        <v>4000</v>
      </c>
      <c r="G261" t="s">
        <v>25</v>
      </c>
      <c r="H261" t="s">
        <v>798</v>
      </c>
      <c r="I261" t="s">
        <v>71</v>
      </c>
      <c r="J261">
        <v>30400</v>
      </c>
      <c r="K261" t="s">
        <v>3</v>
      </c>
      <c r="L261" t="s">
        <v>799</v>
      </c>
      <c r="M261" t="s">
        <v>3</v>
      </c>
      <c r="N261" t="s">
        <v>70</v>
      </c>
      <c r="O261" s="25" t="s">
        <v>3824</v>
      </c>
      <c r="P261" s="25">
        <v>1</v>
      </c>
      <c r="Q261" s="25">
        <v>30400</v>
      </c>
      <c r="R261" s="25" t="s">
        <v>26</v>
      </c>
      <c r="S261" s="25" t="s">
        <v>26</v>
      </c>
      <c r="T261" s="25">
        <f t="shared" si="4"/>
        <v>30400</v>
      </c>
    </row>
    <row r="262" spans="1:20">
      <c r="A262" t="s">
        <v>800</v>
      </c>
      <c r="B262">
        <v>45856</v>
      </c>
      <c r="C262" t="s">
        <v>93</v>
      </c>
      <c r="D262" t="s">
        <v>94</v>
      </c>
      <c r="E262" t="s">
        <v>103</v>
      </c>
      <c r="F262">
        <v>4000</v>
      </c>
      <c r="G262" t="s">
        <v>25</v>
      </c>
      <c r="H262" t="s">
        <v>801</v>
      </c>
      <c r="I262" t="s">
        <v>71</v>
      </c>
      <c r="J262">
        <v>26700</v>
      </c>
      <c r="K262" t="s">
        <v>3</v>
      </c>
      <c r="L262" t="s">
        <v>802</v>
      </c>
      <c r="M262" t="s">
        <v>3</v>
      </c>
      <c r="N262" t="s">
        <v>70</v>
      </c>
      <c r="O262" s="25" t="s">
        <v>3824</v>
      </c>
      <c r="P262" s="25">
        <v>1</v>
      </c>
      <c r="Q262" s="25">
        <v>26700</v>
      </c>
      <c r="R262" s="25" t="s">
        <v>26</v>
      </c>
      <c r="S262" s="25" t="s">
        <v>26</v>
      </c>
      <c r="T262" s="25">
        <f t="shared" si="4"/>
        <v>26700</v>
      </c>
    </row>
    <row r="263" spans="1:20">
      <c r="A263" t="s">
        <v>803</v>
      </c>
      <c r="B263">
        <v>45856</v>
      </c>
      <c r="C263" t="s">
        <v>93</v>
      </c>
      <c r="D263" t="s">
        <v>94</v>
      </c>
      <c r="E263" t="s">
        <v>160</v>
      </c>
      <c r="F263">
        <v>4000</v>
      </c>
      <c r="G263" t="s">
        <v>25</v>
      </c>
      <c r="H263" t="s">
        <v>804</v>
      </c>
      <c r="I263" t="s">
        <v>71</v>
      </c>
      <c r="J263">
        <v>27100</v>
      </c>
      <c r="K263" t="s">
        <v>3</v>
      </c>
      <c r="L263" t="s">
        <v>802</v>
      </c>
      <c r="M263" t="s">
        <v>3</v>
      </c>
      <c r="N263" t="s">
        <v>70</v>
      </c>
      <c r="O263" s="25" t="s">
        <v>3824</v>
      </c>
      <c r="P263" s="25">
        <v>1</v>
      </c>
      <c r="Q263" s="25">
        <v>27100</v>
      </c>
      <c r="R263" s="25" t="s">
        <v>26</v>
      </c>
      <c r="S263" s="25" t="s">
        <v>26</v>
      </c>
      <c r="T263" s="25">
        <f t="shared" si="4"/>
        <v>27100</v>
      </c>
    </row>
    <row r="264" spans="1:20">
      <c r="A264" t="s">
        <v>805</v>
      </c>
      <c r="B264">
        <v>45856</v>
      </c>
      <c r="C264" t="s">
        <v>93</v>
      </c>
      <c r="D264" t="s">
        <v>94</v>
      </c>
      <c r="E264" t="s">
        <v>107</v>
      </c>
      <c r="F264">
        <v>4000</v>
      </c>
      <c r="G264" t="s">
        <v>25</v>
      </c>
      <c r="H264" t="s">
        <v>806</v>
      </c>
      <c r="I264" t="s">
        <v>71</v>
      </c>
      <c r="J264">
        <v>31400</v>
      </c>
      <c r="K264" t="s">
        <v>3</v>
      </c>
      <c r="L264" t="s">
        <v>807</v>
      </c>
      <c r="M264" t="s">
        <v>3</v>
      </c>
      <c r="N264" t="s">
        <v>70</v>
      </c>
      <c r="O264" s="25" t="s">
        <v>3824</v>
      </c>
      <c r="P264" s="25">
        <v>1</v>
      </c>
      <c r="Q264" s="25">
        <v>31400</v>
      </c>
      <c r="R264" s="25" t="s">
        <v>26</v>
      </c>
      <c r="S264" s="25" t="s">
        <v>26</v>
      </c>
      <c r="T264" s="25">
        <f t="shared" si="4"/>
        <v>31400</v>
      </c>
    </row>
    <row r="265" spans="1:20">
      <c r="A265" t="s">
        <v>808</v>
      </c>
      <c r="B265">
        <v>45856</v>
      </c>
      <c r="C265" t="s">
        <v>93</v>
      </c>
      <c r="D265" t="s">
        <v>111</v>
      </c>
      <c r="E265" t="s">
        <v>112</v>
      </c>
      <c r="F265">
        <v>4000</v>
      </c>
      <c r="G265" t="s">
        <v>25</v>
      </c>
      <c r="H265" t="s">
        <v>809</v>
      </c>
      <c r="I265" t="s">
        <v>71</v>
      </c>
      <c r="J265">
        <v>48800</v>
      </c>
      <c r="K265" t="s">
        <v>3</v>
      </c>
      <c r="L265" t="s">
        <v>810</v>
      </c>
      <c r="M265" t="s">
        <v>3</v>
      </c>
      <c r="N265" t="s">
        <v>70</v>
      </c>
      <c r="O265" s="25" t="s">
        <v>3824</v>
      </c>
      <c r="P265" s="25">
        <v>1</v>
      </c>
      <c r="Q265" s="25">
        <v>48800</v>
      </c>
      <c r="R265" s="25" t="s">
        <v>26</v>
      </c>
      <c r="S265" s="25" t="s">
        <v>26</v>
      </c>
      <c r="T265" s="25">
        <f t="shared" si="4"/>
        <v>48800</v>
      </c>
    </row>
    <row r="266" spans="1:20">
      <c r="A266" t="s">
        <v>811</v>
      </c>
      <c r="B266">
        <v>45856</v>
      </c>
      <c r="C266" t="s">
        <v>93</v>
      </c>
      <c r="D266" t="s">
        <v>111</v>
      </c>
      <c r="E266" t="s">
        <v>170</v>
      </c>
      <c r="F266">
        <v>4000</v>
      </c>
      <c r="G266" t="s">
        <v>25</v>
      </c>
      <c r="H266" t="s">
        <v>812</v>
      </c>
      <c r="I266" t="s">
        <v>71</v>
      </c>
      <c r="J266">
        <v>49300</v>
      </c>
      <c r="K266" t="s">
        <v>3</v>
      </c>
      <c r="L266" t="s">
        <v>810</v>
      </c>
      <c r="M266" t="s">
        <v>3</v>
      </c>
      <c r="N266" t="s">
        <v>70</v>
      </c>
      <c r="O266" s="25" t="s">
        <v>3824</v>
      </c>
      <c r="P266" s="25">
        <v>1</v>
      </c>
      <c r="Q266" s="25">
        <v>49300</v>
      </c>
      <c r="R266" s="25" t="s">
        <v>26</v>
      </c>
      <c r="S266" s="25" t="s">
        <v>26</v>
      </c>
      <c r="T266" s="25">
        <f t="shared" si="4"/>
        <v>49300</v>
      </c>
    </row>
    <row r="267" spans="1:20">
      <c r="A267" t="s">
        <v>813</v>
      </c>
      <c r="B267">
        <v>45856</v>
      </c>
      <c r="C267" t="s">
        <v>93</v>
      </c>
      <c r="D267" t="s">
        <v>111</v>
      </c>
      <c r="E267" t="s">
        <v>122</v>
      </c>
      <c r="F267">
        <v>4000</v>
      </c>
      <c r="G267" t="s">
        <v>25</v>
      </c>
      <c r="H267" t="s">
        <v>814</v>
      </c>
      <c r="I267" t="s">
        <v>71</v>
      </c>
      <c r="J267">
        <v>50100</v>
      </c>
      <c r="K267" t="s">
        <v>3</v>
      </c>
      <c r="L267" t="s">
        <v>815</v>
      </c>
      <c r="M267" t="s">
        <v>3</v>
      </c>
      <c r="N267" t="s">
        <v>70</v>
      </c>
      <c r="O267" s="25" t="s">
        <v>3824</v>
      </c>
      <c r="P267" s="25">
        <v>1</v>
      </c>
      <c r="Q267" s="25">
        <v>50100</v>
      </c>
      <c r="R267" s="25" t="s">
        <v>26</v>
      </c>
      <c r="S267" s="25" t="s">
        <v>26</v>
      </c>
      <c r="T267" s="25">
        <f t="shared" si="4"/>
        <v>50100</v>
      </c>
    </row>
    <row r="268" spans="1:20">
      <c r="A268" t="s">
        <v>816</v>
      </c>
      <c r="B268">
        <v>45856</v>
      </c>
      <c r="C268" t="s">
        <v>126</v>
      </c>
      <c r="D268" t="s">
        <v>88</v>
      </c>
      <c r="E268" t="s">
        <v>127</v>
      </c>
      <c r="F268">
        <v>4020</v>
      </c>
      <c r="G268" t="s">
        <v>30</v>
      </c>
      <c r="H268" t="s">
        <v>817</v>
      </c>
      <c r="I268" t="s">
        <v>72</v>
      </c>
      <c r="J268">
        <v>27.97</v>
      </c>
      <c r="K268" t="s">
        <v>129</v>
      </c>
      <c r="L268" t="s">
        <v>818</v>
      </c>
      <c r="M268" t="s">
        <v>3</v>
      </c>
      <c r="N268" t="s">
        <v>70</v>
      </c>
      <c r="O268" s="25" t="s">
        <v>3825</v>
      </c>
      <c r="P268" s="25">
        <v>1530</v>
      </c>
      <c r="Q268" s="25">
        <v>42794.1</v>
      </c>
      <c r="R268" s="25" t="s">
        <v>26</v>
      </c>
      <c r="S268" s="25" t="s">
        <v>26</v>
      </c>
      <c r="T268" s="25">
        <f t="shared" si="4"/>
        <v>42794.1</v>
      </c>
    </row>
    <row r="269" spans="1:20">
      <c r="A269" t="s">
        <v>819</v>
      </c>
      <c r="B269">
        <v>45856</v>
      </c>
      <c r="C269" t="s">
        <v>126</v>
      </c>
      <c r="D269" t="s">
        <v>88</v>
      </c>
      <c r="E269" t="s">
        <v>136</v>
      </c>
      <c r="F269">
        <v>4020</v>
      </c>
      <c r="G269" t="s">
        <v>30</v>
      </c>
      <c r="H269" t="s">
        <v>820</v>
      </c>
      <c r="I269" t="s">
        <v>71</v>
      </c>
      <c r="J269">
        <v>43600</v>
      </c>
      <c r="K269" t="s">
        <v>138</v>
      </c>
      <c r="L269" t="s">
        <v>818</v>
      </c>
      <c r="M269" t="s">
        <v>3</v>
      </c>
      <c r="N269" t="s">
        <v>70</v>
      </c>
      <c r="O269" s="25" t="s">
        <v>3824</v>
      </c>
      <c r="P269" s="25">
        <v>1</v>
      </c>
      <c r="Q269" s="25">
        <v>43600</v>
      </c>
      <c r="R269" s="25" t="s">
        <v>26</v>
      </c>
      <c r="S269" s="25" t="s">
        <v>26</v>
      </c>
      <c r="T269" s="25">
        <f t="shared" si="4"/>
        <v>43600</v>
      </c>
    </row>
    <row r="270" spans="1:20">
      <c r="A270" t="s">
        <v>821</v>
      </c>
      <c r="B270">
        <v>45856</v>
      </c>
      <c r="C270" t="s">
        <v>126</v>
      </c>
      <c r="D270" t="s">
        <v>88</v>
      </c>
      <c r="E270" t="s">
        <v>140</v>
      </c>
      <c r="F270">
        <v>4020</v>
      </c>
      <c r="G270" t="s">
        <v>30</v>
      </c>
      <c r="H270" t="s">
        <v>822</v>
      </c>
      <c r="I270" t="s">
        <v>71</v>
      </c>
      <c r="J270">
        <v>45300</v>
      </c>
      <c r="K270" t="s">
        <v>3</v>
      </c>
      <c r="L270" t="s">
        <v>823</v>
      </c>
      <c r="M270" t="s">
        <v>3</v>
      </c>
      <c r="N270" t="s">
        <v>70</v>
      </c>
      <c r="O270" s="25" t="s">
        <v>3824</v>
      </c>
      <c r="P270" s="25">
        <v>1</v>
      </c>
      <c r="Q270" s="25">
        <v>45300</v>
      </c>
      <c r="R270" s="25" t="s">
        <v>26</v>
      </c>
      <c r="S270" s="25" t="s">
        <v>26</v>
      </c>
      <c r="T270" s="25">
        <f t="shared" si="4"/>
        <v>45300</v>
      </c>
    </row>
    <row r="271" spans="1:20">
      <c r="A271" t="s">
        <v>824</v>
      </c>
      <c r="B271">
        <v>45856</v>
      </c>
      <c r="C271" t="s">
        <v>87</v>
      </c>
      <c r="D271" t="s">
        <v>94</v>
      </c>
      <c r="E271" t="s">
        <v>3</v>
      </c>
      <c r="F271">
        <v>5020</v>
      </c>
      <c r="G271" t="s">
        <v>39</v>
      </c>
      <c r="H271" t="s">
        <v>275</v>
      </c>
      <c r="I271" t="s">
        <v>71</v>
      </c>
      <c r="J271">
        <v>-116000</v>
      </c>
      <c r="K271" t="s">
        <v>276</v>
      </c>
      <c r="L271" t="s">
        <v>825</v>
      </c>
      <c r="M271" t="s">
        <v>3</v>
      </c>
      <c r="N271" t="s">
        <v>70</v>
      </c>
      <c r="O271" s="25" t="s">
        <v>3824</v>
      </c>
      <c r="P271" s="25">
        <v>1</v>
      </c>
      <c r="Q271" s="25">
        <v>-116000</v>
      </c>
      <c r="R271" s="25" t="s">
        <v>35</v>
      </c>
      <c r="S271" s="25" t="s">
        <v>35</v>
      </c>
      <c r="T271" s="25">
        <f t="shared" si="4"/>
        <v>-116000</v>
      </c>
    </row>
    <row r="272" spans="1:20">
      <c r="A272" t="s">
        <v>826</v>
      </c>
      <c r="B272">
        <v>45856</v>
      </c>
      <c r="C272" t="s">
        <v>87</v>
      </c>
      <c r="D272" t="s">
        <v>94</v>
      </c>
      <c r="E272" t="s">
        <v>3</v>
      </c>
      <c r="F272">
        <v>5050</v>
      </c>
      <c r="G272" t="s">
        <v>45</v>
      </c>
      <c r="H272" t="s">
        <v>667</v>
      </c>
      <c r="I272" t="s">
        <v>71</v>
      </c>
      <c r="J272">
        <v>-225000</v>
      </c>
      <c r="K272" t="s">
        <v>668</v>
      </c>
      <c r="L272" t="s">
        <v>827</v>
      </c>
      <c r="M272" t="s">
        <v>3</v>
      </c>
      <c r="N272" t="s">
        <v>70</v>
      </c>
      <c r="O272" s="25" t="s">
        <v>3824</v>
      </c>
      <c r="P272" s="25">
        <v>1</v>
      </c>
      <c r="Q272" s="25">
        <v>-225000</v>
      </c>
      <c r="R272" s="25" t="s">
        <v>35</v>
      </c>
      <c r="S272" s="25" t="s">
        <v>35</v>
      </c>
      <c r="T272" s="25">
        <f t="shared" si="4"/>
        <v>-225000</v>
      </c>
    </row>
    <row r="273" spans="1:20">
      <c r="A273" t="s">
        <v>828</v>
      </c>
      <c r="B273">
        <v>45857</v>
      </c>
      <c r="C273" t="s">
        <v>93</v>
      </c>
      <c r="D273" t="s">
        <v>94</v>
      </c>
      <c r="E273" t="s">
        <v>95</v>
      </c>
      <c r="F273">
        <v>4000</v>
      </c>
      <c r="G273" t="s">
        <v>25</v>
      </c>
      <c r="H273" t="s">
        <v>829</v>
      </c>
      <c r="I273" t="s">
        <v>71</v>
      </c>
      <c r="J273">
        <v>39000</v>
      </c>
      <c r="K273" t="s">
        <v>3</v>
      </c>
      <c r="L273" t="s">
        <v>830</v>
      </c>
      <c r="M273" t="s">
        <v>3</v>
      </c>
      <c r="N273" t="s">
        <v>70</v>
      </c>
      <c r="O273" s="25" t="s">
        <v>3824</v>
      </c>
      <c r="P273" s="25">
        <v>1</v>
      </c>
      <c r="Q273" s="25">
        <v>39000</v>
      </c>
      <c r="R273" s="25" t="s">
        <v>26</v>
      </c>
      <c r="S273" s="25" t="s">
        <v>26</v>
      </c>
      <c r="T273" s="25">
        <f t="shared" si="4"/>
        <v>39000</v>
      </c>
    </row>
    <row r="274" spans="1:20">
      <c r="A274" t="s">
        <v>831</v>
      </c>
      <c r="B274">
        <v>45857</v>
      </c>
      <c r="C274" t="s">
        <v>93</v>
      </c>
      <c r="D274" t="s">
        <v>94</v>
      </c>
      <c r="E274" t="s">
        <v>99</v>
      </c>
      <c r="F274">
        <v>4000</v>
      </c>
      <c r="G274" t="s">
        <v>25</v>
      </c>
      <c r="H274" t="s">
        <v>832</v>
      </c>
      <c r="I274" t="s">
        <v>71</v>
      </c>
      <c r="J274">
        <v>37100</v>
      </c>
      <c r="K274" t="s">
        <v>3</v>
      </c>
      <c r="L274" t="s">
        <v>833</v>
      </c>
      <c r="M274" t="s">
        <v>3</v>
      </c>
      <c r="N274" t="s">
        <v>70</v>
      </c>
      <c r="O274" s="25" t="s">
        <v>3824</v>
      </c>
      <c r="P274" s="25">
        <v>1</v>
      </c>
      <c r="Q274" s="25">
        <v>37100</v>
      </c>
      <c r="R274" s="25" t="s">
        <v>26</v>
      </c>
      <c r="S274" s="25" t="s">
        <v>26</v>
      </c>
      <c r="T274" s="25">
        <f t="shared" si="4"/>
        <v>37100</v>
      </c>
    </row>
    <row r="275" spans="1:20">
      <c r="A275" t="s">
        <v>834</v>
      </c>
      <c r="B275">
        <v>45857</v>
      </c>
      <c r="C275" t="s">
        <v>93</v>
      </c>
      <c r="D275" t="s">
        <v>94</v>
      </c>
      <c r="E275" t="s">
        <v>103</v>
      </c>
      <c r="F275">
        <v>4000</v>
      </c>
      <c r="G275" t="s">
        <v>25</v>
      </c>
      <c r="H275" t="s">
        <v>835</v>
      </c>
      <c r="I275" t="s">
        <v>71</v>
      </c>
      <c r="J275">
        <v>37000</v>
      </c>
      <c r="K275" t="s">
        <v>3</v>
      </c>
      <c r="L275" t="s">
        <v>836</v>
      </c>
      <c r="M275" t="s">
        <v>3</v>
      </c>
      <c r="N275" t="s">
        <v>70</v>
      </c>
      <c r="O275" s="25" t="s">
        <v>3824</v>
      </c>
      <c r="P275" s="25">
        <v>1</v>
      </c>
      <c r="Q275" s="25">
        <v>37000</v>
      </c>
      <c r="R275" s="25" t="s">
        <v>26</v>
      </c>
      <c r="S275" s="25" t="s">
        <v>26</v>
      </c>
      <c r="T275" s="25">
        <f t="shared" si="4"/>
        <v>37000</v>
      </c>
    </row>
    <row r="276" spans="1:20">
      <c r="A276" t="s">
        <v>837</v>
      </c>
      <c r="B276">
        <v>45857</v>
      </c>
      <c r="C276" t="s">
        <v>93</v>
      </c>
      <c r="D276" t="s">
        <v>94</v>
      </c>
      <c r="E276" t="s">
        <v>160</v>
      </c>
      <c r="F276">
        <v>4000</v>
      </c>
      <c r="G276" t="s">
        <v>25</v>
      </c>
      <c r="H276" t="s">
        <v>838</v>
      </c>
      <c r="I276" t="s">
        <v>71</v>
      </c>
      <c r="J276">
        <v>36100</v>
      </c>
      <c r="K276" t="s">
        <v>3</v>
      </c>
      <c r="L276" t="s">
        <v>836</v>
      </c>
      <c r="M276" t="s">
        <v>3</v>
      </c>
      <c r="N276" t="s">
        <v>70</v>
      </c>
      <c r="O276" s="25" t="s">
        <v>3824</v>
      </c>
      <c r="P276" s="25">
        <v>1</v>
      </c>
      <c r="Q276" s="25">
        <v>36100</v>
      </c>
      <c r="R276" s="25" t="s">
        <v>26</v>
      </c>
      <c r="S276" s="25" t="s">
        <v>26</v>
      </c>
      <c r="T276" s="25">
        <f t="shared" si="4"/>
        <v>36100</v>
      </c>
    </row>
    <row r="277" spans="1:20">
      <c r="A277" t="s">
        <v>839</v>
      </c>
      <c r="B277">
        <v>45857</v>
      </c>
      <c r="C277" t="s">
        <v>93</v>
      </c>
      <c r="D277" t="s">
        <v>94</v>
      </c>
      <c r="E277" t="s">
        <v>107</v>
      </c>
      <c r="F277">
        <v>4000</v>
      </c>
      <c r="G277" t="s">
        <v>25</v>
      </c>
      <c r="H277" t="s">
        <v>840</v>
      </c>
      <c r="I277" t="s">
        <v>71</v>
      </c>
      <c r="J277">
        <v>38200</v>
      </c>
      <c r="K277" t="s">
        <v>3</v>
      </c>
      <c r="L277" t="s">
        <v>841</v>
      </c>
      <c r="M277" t="s">
        <v>3</v>
      </c>
      <c r="N277" t="s">
        <v>70</v>
      </c>
      <c r="O277" s="25" t="s">
        <v>3824</v>
      </c>
      <c r="P277" s="25">
        <v>1</v>
      </c>
      <c r="Q277" s="25">
        <v>38200</v>
      </c>
      <c r="R277" s="25" t="s">
        <v>26</v>
      </c>
      <c r="S277" s="25" t="s">
        <v>26</v>
      </c>
      <c r="T277" s="25">
        <f t="shared" si="4"/>
        <v>38200</v>
      </c>
    </row>
    <row r="278" spans="1:20">
      <c r="A278" t="s">
        <v>842</v>
      </c>
      <c r="B278">
        <v>45857</v>
      </c>
      <c r="C278" t="s">
        <v>93</v>
      </c>
      <c r="D278" t="s">
        <v>111</v>
      </c>
      <c r="E278" t="s">
        <v>112</v>
      </c>
      <c r="F278">
        <v>4000</v>
      </c>
      <c r="G278" t="s">
        <v>25</v>
      </c>
      <c r="H278" t="s">
        <v>843</v>
      </c>
      <c r="I278" t="s">
        <v>71</v>
      </c>
      <c r="J278">
        <v>60700</v>
      </c>
      <c r="K278" t="s">
        <v>3</v>
      </c>
      <c r="L278" t="s">
        <v>844</v>
      </c>
      <c r="M278" t="s">
        <v>3</v>
      </c>
      <c r="N278" t="s">
        <v>70</v>
      </c>
      <c r="O278" s="25" t="s">
        <v>3824</v>
      </c>
      <c r="P278" s="25">
        <v>1</v>
      </c>
      <c r="Q278" s="25">
        <v>60700</v>
      </c>
      <c r="R278" s="25" t="s">
        <v>26</v>
      </c>
      <c r="S278" s="25" t="s">
        <v>26</v>
      </c>
      <c r="T278" s="25">
        <f t="shared" si="4"/>
        <v>60700</v>
      </c>
    </row>
    <row r="279" spans="1:20">
      <c r="A279" t="s">
        <v>845</v>
      </c>
      <c r="B279">
        <v>45857</v>
      </c>
      <c r="C279" t="s">
        <v>93</v>
      </c>
      <c r="D279" t="s">
        <v>111</v>
      </c>
      <c r="E279" t="s">
        <v>119</v>
      </c>
      <c r="F279">
        <v>4000</v>
      </c>
      <c r="G279" t="s">
        <v>25</v>
      </c>
      <c r="H279" t="s">
        <v>846</v>
      </c>
      <c r="I279" t="s">
        <v>71</v>
      </c>
      <c r="J279">
        <v>60100</v>
      </c>
      <c r="K279" t="s">
        <v>3</v>
      </c>
      <c r="L279" t="s">
        <v>844</v>
      </c>
      <c r="M279" t="s">
        <v>3</v>
      </c>
      <c r="N279" t="s">
        <v>70</v>
      </c>
      <c r="O279" s="25" t="s">
        <v>3824</v>
      </c>
      <c r="P279" s="25">
        <v>1</v>
      </c>
      <c r="Q279" s="25">
        <v>60100</v>
      </c>
      <c r="R279" s="25" t="s">
        <v>26</v>
      </c>
      <c r="S279" s="25" t="s">
        <v>26</v>
      </c>
      <c r="T279" s="25">
        <f t="shared" si="4"/>
        <v>60100</v>
      </c>
    </row>
    <row r="280" spans="1:20">
      <c r="A280" t="s">
        <v>847</v>
      </c>
      <c r="B280">
        <v>45857</v>
      </c>
      <c r="C280" t="s">
        <v>93</v>
      </c>
      <c r="D280" t="s">
        <v>111</v>
      </c>
      <c r="E280" t="s">
        <v>170</v>
      </c>
      <c r="F280">
        <v>4000</v>
      </c>
      <c r="G280" t="s">
        <v>25</v>
      </c>
      <c r="H280" t="s">
        <v>848</v>
      </c>
      <c r="I280" t="s">
        <v>71</v>
      </c>
      <c r="J280">
        <v>59600</v>
      </c>
      <c r="K280" t="s">
        <v>3</v>
      </c>
      <c r="L280" t="s">
        <v>844</v>
      </c>
      <c r="M280" t="s">
        <v>3</v>
      </c>
      <c r="N280" t="s">
        <v>70</v>
      </c>
      <c r="O280" s="25" t="s">
        <v>3824</v>
      </c>
      <c r="P280" s="25">
        <v>1</v>
      </c>
      <c r="Q280" s="25">
        <v>59600</v>
      </c>
      <c r="R280" s="25" t="s">
        <v>26</v>
      </c>
      <c r="S280" s="25" t="s">
        <v>26</v>
      </c>
      <c r="T280" s="25">
        <f t="shared" si="4"/>
        <v>59600</v>
      </c>
    </row>
    <row r="281" spans="1:20">
      <c r="A281" t="s">
        <v>849</v>
      </c>
      <c r="B281">
        <v>45857</v>
      </c>
      <c r="C281" t="s">
        <v>93</v>
      </c>
      <c r="D281" t="s">
        <v>111</v>
      </c>
      <c r="E281" t="s">
        <v>122</v>
      </c>
      <c r="F281">
        <v>4000</v>
      </c>
      <c r="G281" t="s">
        <v>25</v>
      </c>
      <c r="H281" t="s">
        <v>850</v>
      </c>
      <c r="I281" t="s">
        <v>71</v>
      </c>
      <c r="J281">
        <v>62300</v>
      </c>
      <c r="K281" t="s">
        <v>3</v>
      </c>
      <c r="L281" t="s">
        <v>851</v>
      </c>
      <c r="M281" t="s">
        <v>3</v>
      </c>
      <c r="N281" t="s">
        <v>70</v>
      </c>
      <c r="O281" s="25" t="s">
        <v>3824</v>
      </c>
      <c r="P281" s="25">
        <v>1</v>
      </c>
      <c r="Q281" s="25">
        <v>62300</v>
      </c>
      <c r="R281" s="25" t="s">
        <v>26</v>
      </c>
      <c r="S281" s="25" t="s">
        <v>26</v>
      </c>
      <c r="T281" s="25">
        <f t="shared" si="4"/>
        <v>62300</v>
      </c>
    </row>
    <row r="282" spans="1:20">
      <c r="A282" t="s">
        <v>852</v>
      </c>
      <c r="B282">
        <v>45857</v>
      </c>
      <c r="C282" t="s">
        <v>126</v>
      </c>
      <c r="D282" t="s">
        <v>88</v>
      </c>
      <c r="E282" t="s">
        <v>127</v>
      </c>
      <c r="F282">
        <v>4020</v>
      </c>
      <c r="G282" t="s">
        <v>30</v>
      </c>
      <c r="H282" t="s">
        <v>853</v>
      </c>
      <c r="I282" t="s">
        <v>72</v>
      </c>
      <c r="J282">
        <v>28.1</v>
      </c>
      <c r="K282" t="s">
        <v>129</v>
      </c>
      <c r="L282" t="s">
        <v>854</v>
      </c>
      <c r="M282" t="s">
        <v>3</v>
      </c>
      <c r="N282" t="s">
        <v>70</v>
      </c>
      <c r="O282" s="25" t="s">
        <v>3825</v>
      </c>
      <c r="P282" s="25">
        <v>1530</v>
      </c>
      <c r="Q282" s="25">
        <v>42993</v>
      </c>
      <c r="R282" s="25" t="s">
        <v>26</v>
      </c>
      <c r="S282" s="25" t="s">
        <v>26</v>
      </c>
      <c r="T282" s="25">
        <f t="shared" si="4"/>
        <v>42993</v>
      </c>
    </row>
    <row r="283" spans="1:20">
      <c r="A283" t="s">
        <v>855</v>
      </c>
      <c r="B283">
        <v>45857</v>
      </c>
      <c r="C283" t="s">
        <v>126</v>
      </c>
      <c r="D283" t="s">
        <v>88</v>
      </c>
      <c r="E283" t="s">
        <v>132</v>
      </c>
      <c r="F283">
        <v>4020</v>
      </c>
      <c r="G283" t="s">
        <v>30</v>
      </c>
      <c r="H283" t="s">
        <v>856</v>
      </c>
      <c r="I283" t="s">
        <v>71</v>
      </c>
      <c r="J283">
        <v>48500</v>
      </c>
      <c r="K283" t="s">
        <v>134</v>
      </c>
      <c r="L283" t="s">
        <v>854</v>
      </c>
      <c r="M283" t="s">
        <v>3</v>
      </c>
      <c r="N283" t="s">
        <v>70</v>
      </c>
      <c r="O283" s="25" t="s">
        <v>3824</v>
      </c>
      <c r="P283" s="25">
        <v>1</v>
      </c>
      <c r="Q283" s="25">
        <v>48500</v>
      </c>
      <c r="R283" s="25" t="s">
        <v>26</v>
      </c>
      <c r="S283" s="25" t="s">
        <v>26</v>
      </c>
      <c r="T283" s="25">
        <f t="shared" si="4"/>
        <v>48500</v>
      </c>
    </row>
    <row r="284" spans="1:20">
      <c r="A284" t="s">
        <v>857</v>
      </c>
      <c r="B284">
        <v>45857</v>
      </c>
      <c r="C284" t="s">
        <v>126</v>
      </c>
      <c r="D284" t="s">
        <v>88</v>
      </c>
      <c r="E284" t="s">
        <v>136</v>
      </c>
      <c r="F284">
        <v>4020</v>
      </c>
      <c r="G284" t="s">
        <v>30</v>
      </c>
      <c r="H284" t="s">
        <v>858</v>
      </c>
      <c r="I284" t="s">
        <v>71</v>
      </c>
      <c r="J284">
        <v>39700</v>
      </c>
      <c r="K284" t="s">
        <v>138</v>
      </c>
      <c r="L284" t="s">
        <v>854</v>
      </c>
      <c r="M284" t="s">
        <v>3</v>
      </c>
      <c r="N284" t="s">
        <v>70</v>
      </c>
      <c r="O284" s="25" t="s">
        <v>3824</v>
      </c>
      <c r="P284" s="25">
        <v>1</v>
      </c>
      <c r="Q284" s="25">
        <v>39700</v>
      </c>
      <c r="R284" s="25" t="s">
        <v>26</v>
      </c>
      <c r="S284" s="25" t="s">
        <v>26</v>
      </c>
      <c r="T284" s="25">
        <f t="shared" si="4"/>
        <v>39700</v>
      </c>
    </row>
    <row r="285" spans="1:20">
      <c r="A285" t="s">
        <v>859</v>
      </c>
      <c r="B285">
        <v>45857</v>
      </c>
      <c r="C285" t="s">
        <v>126</v>
      </c>
      <c r="D285" t="s">
        <v>88</v>
      </c>
      <c r="E285" t="s">
        <v>140</v>
      </c>
      <c r="F285">
        <v>4020</v>
      </c>
      <c r="G285" t="s">
        <v>30</v>
      </c>
      <c r="H285" t="s">
        <v>860</v>
      </c>
      <c r="I285" t="s">
        <v>71</v>
      </c>
      <c r="J285">
        <v>49800</v>
      </c>
      <c r="K285" t="s">
        <v>3</v>
      </c>
      <c r="L285" t="s">
        <v>861</v>
      </c>
      <c r="M285" t="s">
        <v>3</v>
      </c>
      <c r="N285" t="s">
        <v>70</v>
      </c>
      <c r="O285" s="25" t="s">
        <v>3824</v>
      </c>
      <c r="P285" s="25">
        <v>1</v>
      </c>
      <c r="Q285" s="25">
        <v>49800</v>
      </c>
      <c r="R285" s="25" t="s">
        <v>26</v>
      </c>
      <c r="S285" s="25" t="s">
        <v>26</v>
      </c>
      <c r="T285" s="25">
        <f t="shared" si="4"/>
        <v>49800</v>
      </c>
    </row>
    <row r="286" spans="1:20">
      <c r="A286" t="s">
        <v>862</v>
      </c>
      <c r="B286">
        <v>45857</v>
      </c>
      <c r="C286" t="s">
        <v>87</v>
      </c>
      <c r="D286" t="s">
        <v>94</v>
      </c>
      <c r="E286" t="s">
        <v>3</v>
      </c>
      <c r="F286">
        <v>5040</v>
      </c>
      <c r="G286" t="s">
        <v>43</v>
      </c>
      <c r="H286" t="s">
        <v>186</v>
      </c>
      <c r="I286" t="s">
        <v>71</v>
      </c>
      <c r="J286">
        <v>-504000</v>
      </c>
      <c r="K286" t="s">
        <v>187</v>
      </c>
      <c r="L286" t="s">
        <v>863</v>
      </c>
      <c r="M286" t="s">
        <v>3</v>
      </c>
      <c r="N286" t="s">
        <v>70</v>
      </c>
      <c r="O286" s="25" t="s">
        <v>3824</v>
      </c>
      <c r="P286" s="25">
        <v>1</v>
      </c>
      <c r="Q286" s="25">
        <v>-504000</v>
      </c>
      <c r="R286" s="25" t="s">
        <v>35</v>
      </c>
      <c r="S286" s="25" t="s">
        <v>35</v>
      </c>
      <c r="T286" s="25">
        <f t="shared" si="4"/>
        <v>-504000</v>
      </c>
    </row>
    <row r="287" spans="1:20">
      <c r="A287" t="s">
        <v>864</v>
      </c>
      <c r="B287">
        <v>45857</v>
      </c>
      <c r="C287" t="s">
        <v>87</v>
      </c>
      <c r="D287" t="s">
        <v>111</v>
      </c>
      <c r="E287" t="s">
        <v>3</v>
      </c>
      <c r="F287">
        <v>5010</v>
      </c>
      <c r="G287" t="s">
        <v>37</v>
      </c>
      <c r="H287" t="s">
        <v>144</v>
      </c>
      <c r="I287" t="s">
        <v>71</v>
      </c>
      <c r="J287">
        <v>-2216000</v>
      </c>
      <c r="K287" t="s">
        <v>145</v>
      </c>
      <c r="L287" t="s">
        <v>865</v>
      </c>
      <c r="M287" t="s">
        <v>3</v>
      </c>
      <c r="N287" t="s">
        <v>70</v>
      </c>
      <c r="O287" s="25" t="s">
        <v>3824</v>
      </c>
      <c r="P287" s="25">
        <v>1</v>
      </c>
      <c r="Q287" s="25">
        <v>-2216000</v>
      </c>
      <c r="R287" s="25" t="s">
        <v>35</v>
      </c>
      <c r="S287" s="25" t="s">
        <v>35</v>
      </c>
      <c r="T287" s="25">
        <f t="shared" si="4"/>
        <v>-2216000</v>
      </c>
    </row>
    <row r="288" spans="1:20">
      <c r="A288" t="s">
        <v>866</v>
      </c>
      <c r="B288">
        <v>45857</v>
      </c>
      <c r="C288" t="s">
        <v>87</v>
      </c>
      <c r="D288" t="s">
        <v>88</v>
      </c>
      <c r="E288" t="s">
        <v>3</v>
      </c>
      <c r="F288">
        <v>5030</v>
      </c>
      <c r="G288" t="s">
        <v>41</v>
      </c>
      <c r="H288" t="s">
        <v>148</v>
      </c>
      <c r="I288" t="s">
        <v>71</v>
      </c>
      <c r="J288">
        <v>-529000</v>
      </c>
      <c r="K288" t="s">
        <v>90</v>
      </c>
      <c r="L288" t="s">
        <v>867</v>
      </c>
      <c r="M288" t="s">
        <v>3</v>
      </c>
      <c r="N288" t="s">
        <v>70</v>
      </c>
      <c r="O288" s="25" t="s">
        <v>3824</v>
      </c>
      <c r="P288" s="25">
        <v>1</v>
      </c>
      <c r="Q288" s="25">
        <v>-529000</v>
      </c>
      <c r="R288" s="25" t="s">
        <v>35</v>
      </c>
      <c r="S288" s="25" t="s">
        <v>35</v>
      </c>
      <c r="T288" s="25">
        <f t="shared" si="4"/>
        <v>-529000</v>
      </c>
    </row>
    <row r="289" spans="1:20">
      <c r="A289" t="s">
        <v>868</v>
      </c>
      <c r="B289">
        <v>45857</v>
      </c>
      <c r="C289" t="s">
        <v>87</v>
      </c>
      <c r="D289" t="s">
        <v>111</v>
      </c>
      <c r="E289" t="s">
        <v>3</v>
      </c>
      <c r="F289">
        <v>6030</v>
      </c>
      <c r="G289" t="s">
        <v>54</v>
      </c>
      <c r="H289" t="s">
        <v>869</v>
      </c>
      <c r="I289" t="s">
        <v>71</v>
      </c>
      <c r="J289">
        <v>-484662</v>
      </c>
      <c r="K289" t="s">
        <v>870</v>
      </c>
      <c r="L289" t="s">
        <v>871</v>
      </c>
      <c r="M289" t="s">
        <v>3</v>
      </c>
      <c r="N289" t="s">
        <v>70</v>
      </c>
      <c r="O289" s="25" t="s">
        <v>3824</v>
      </c>
      <c r="P289" s="25">
        <v>1</v>
      </c>
      <c r="Q289" s="25">
        <v>-484662</v>
      </c>
      <c r="R289" s="25" t="s">
        <v>48</v>
      </c>
      <c r="S289" s="25" t="s">
        <v>48</v>
      </c>
      <c r="T289" s="25">
        <f t="shared" si="4"/>
        <v>-484662</v>
      </c>
    </row>
    <row r="290" spans="1:20">
      <c r="A290" t="s">
        <v>872</v>
      </c>
      <c r="B290">
        <v>45858</v>
      </c>
      <c r="C290" t="s">
        <v>93</v>
      </c>
      <c r="D290" t="s">
        <v>94</v>
      </c>
      <c r="E290" t="s">
        <v>95</v>
      </c>
      <c r="F290">
        <v>4000</v>
      </c>
      <c r="G290" t="s">
        <v>25</v>
      </c>
      <c r="H290" t="s">
        <v>873</v>
      </c>
      <c r="I290" t="s">
        <v>71</v>
      </c>
      <c r="J290">
        <v>34200</v>
      </c>
      <c r="K290" t="s">
        <v>3</v>
      </c>
      <c r="L290" t="s">
        <v>874</v>
      </c>
      <c r="M290" t="s">
        <v>3</v>
      </c>
      <c r="N290" t="s">
        <v>70</v>
      </c>
      <c r="O290" s="25" t="s">
        <v>3824</v>
      </c>
      <c r="P290" s="25">
        <v>1</v>
      </c>
      <c r="Q290" s="25">
        <v>34200</v>
      </c>
      <c r="R290" s="25" t="s">
        <v>26</v>
      </c>
      <c r="S290" s="25" t="s">
        <v>26</v>
      </c>
      <c r="T290" s="25">
        <f t="shared" si="4"/>
        <v>34200</v>
      </c>
    </row>
    <row r="291" spans="1:20">
      <c r="A291" t="s">
        <v>875</v>
      </c>
      <c r="B291">
        <v>45858</v>
      </c>
      <c r="C291" t="s">
        <v>93</v>
      </c>
      <c r="D291" t="s">
        <v>94</v>
      </c>
      <c r="E291" t="s">
        <v>99</v>
      </c>
      <c r="F291">
        <v>4000</v>
      </c>
      <c r="G291" t="s">
        <v>25</v>
      </c>
      <c r="H291" t="s">
        <v>876</v>
      </c>
      <c r="I291" t="s">
        <v>71</v>
      </c>
      <c r="J291">
        <v>36600</v>
      </c>
      <c r="K291" t="s">
        <v>3</v>
      </c>
      <c r="L291" t="s">
        <v>877</v>
      </c>
      <c r="M291" t="s">
        <v>3</v>
      </c>
      <c r="N291" t="s">
        <v>70</v>
      </c>
      <c r="O291" s="25" t="s">
        <v>3824</v>
      </c>
      <c r="P291" s="25">
        <v>1</v>
      </c>
      <c r="Q291" s="25">
        <v>36600</v>
      </c>
      <c r="R291" s="25" t="s">
        <v>26</v>
      </c>
      <c r="S291" s="25" t="s">
        <v>26</v>
      </c>
      <c r="T291" s="25">
        <f t="shared" si="4"/>
        <v>36600</v>
      </c>
    </row>
    <row r="292" spans="1:20">
      <c r="A292" t="s">
        <v>878</v>
      </c>
      <c r="B292">
        <v>45858</v>
      </c>
      <c r="C292" t="s">
        <v>93</v>
      </c>
      <c r="D292" t="s">
        <v>94</v>
      </c>
      <c r="E292" t="s">
        <v>103</v>
      </c>
      <c r="F292">
        <v>4000</v>
      </c>
      <c r="G292" t="s">
        <v>25</v>
      </c>
      <c r="H292" t="s">
        <v>879</v>
      </c>
      <c r="I292" t="s">
        <v>71</v>
      </c>
      <c r="J292">
        <v>37400</v>
      </c>
      <c r="K292" t="s">
        <v>3</v>
      </c>
      <c r="L292" t="s">
        <v>880</v>
      </c>
      <c r="M292" t="s">
        <v>3</v>
      </c>
      <c r="N292" t="s">
        <v>70</v>
      </c>
      <c r="O292" s="25" t="s">
        <v>3824</v>
      </c>
      <c r="P292" s="25">
        <v>1</v>
      </c>
      <c r="Q292" s="25">
        <v>37400</v>
      </c>
      <c r="R292" s="25" t="s">
        <v>26</v>
      </c>
      <c r="S292" s="25" t="s">
        <v>26</v>
      </c>
      <c r="T292" s="25">
        <f t="shared" si="4"/>
        <v>37400</v>
      </c>
    </row>
    <row r="293" spans="1:20">
      <c r="A293" t="s">
        <v>881</v>
      </c>
      <c r="B293">
        <v>45858</v>
      </c>
      <c r="C293" t="s">
        <v>93</v>
      </c>
      <c r="D293" t="s">
        <v>94</v>
      </c>
      <c r="E293" t="s">
        <v>160</v>
      </c>
      <c r="F293">
        <v>4000</v>
      </c>
      <c r="G293" t="s">
        <v>25</v>
      </c>
      <c r="H293" t="s">
        <v>882</v>
      </c>
      <c r="I293" t="s">
        <v>71</v>
      </c>
      <c r="J293">
        <v>34800</v>
      </c>
      <c r="K293" t="s">
        <v>3</v>
      </c>
      <c r="L293" t="s">
        <v>880</v>
      </c>
      <c r="M293" t="s">
        <v>3</v>
      </c>
      <c r="N293" t="s">
        <v>70</v>
      </c>
      <c r="O293" s="25" t="s">
        <v>3824</v>
      </c>
      <c r="P293" s="25">
        <v>1</v>
      </c>
      <c r="Q293" s="25">
        <v>34800</v>
      </c>
      <c r="R293" s="25" t="s">
        <v>26</v>
      </c>
      <c r="S293" s="25" t="s">
        <v>26</v>
      </c>
      <c r="T293" s="25">
        <f t="shared" si="4"/>
        <v>34800</v>
      </c>
    </row>
    <row r="294" spans="1:20">
      <c r="A294" t="s">
        <v>883</v>
      </c>
      <c r="B294">
        <v>45858</v>
      </c>
      <c r="C294" t="s">
        <v>93</v>
      </c>
      <c r="D294" t="s">
        <v>94</v>
      </c>
      <c r="E294" t="s">
        <v>107</v>
      </c>
      <c r="F294">
        <v>4000</v>
      </c>
      <c r="G294" t="s">
        <v>25</v>
      </c>
      <c r="H294" t="s">
        <v>884</v>
      </c>
      <c r="I294" t="s">
        <v>71</v>
      </c>
      <c r="J294">
        <v>34400</v>
      </c>
      <c r="K294" t="s">
        <v>3</v>
      </c>
      <c r="L294" t="s">
        <v>885</v>
      </c>
      <c r="M294" t="s">
        <v>3</v>
      </c>
      <c r="N294" t="s">
        <v>70</v>
      </c>
      <c r="O294" s="25" t="s">
        <v>3824</v>
      </c>
      <c r="P294" s="25">
        <v>1</v>
      </c>
      <c r="Q294" s="25">
        <v>34400</v>
      </c>
      <c r="R294" s="25" t="s">
        <v>26</v>
      </c>
      <c r="S294" s="25" t="s">
        <v>26</v>
      </c>
      <c r="T294" s="25">
        <f t="shared" si="4"/>
        <v>34400</v>
      </c>
    </row>
    <row r="295" spans="1:20">
      <c r="A295" t="s">
        <v>886</v>
      </c>
      <c r="B295">
        <v>45858</v>
      </c>
      <c r="C295" t="s">
        <v>93</v>
      </c>
      <c r="D295" t="s">
        <v>111</v>
      </c>
      <c r="E295" t="s">
        <v>112</v>
      </c>
      <c r="F295">
        <v>4000</v>
      </c>
      <c r="G295" t="s">
        <v>25</v>
      </c>
      <c r="H295" t="s">
        <v>887</v>
      </c>
      <c r="I295" t="s">
        <v>71</v>
      </c>
      <c r="J295">
        <v>61100</v>
      </c>
      <c r="K295" t="s">
        <v>3</v>
      </c>
      <c r="L295" t="s">
        <v>888</v>
      </c>
      <c r="M295" t="s">
        <v>3</v>
      </c>
      <c r="N295" t="s">
        <v>70</v>
      </c>
      <c r="O295" s="25" t="s">
        <v>3824</v>
      </c>
      <c r="P295" s="25">
        <v>1</v>
      </c>
      <c r="Q295" s="25">
        <v>61100</v>
      </c>
      <c r="R295" s="25" t="s">
        <v>26</v>
      </c>
      <c r="S295" s="25" t="s">
        <v>26</v>
      </c>
      <c r="T295" s="25">
        <f t="shared" si="4"/>
        <v>61100</v>
      </c>
    </row>
    <row r="296" spans="1:20">
      <c r="A296" t="s">
        <v>889</v>
      </c>
      <c r="B296">
        <v>45858</v>
      </c>
      <c r="C296" t="s">
        <v>93</v>
      </c>
      <c r="D296" t="s">
        <v>111</v>
      </c>
      <c r="E296" t="s">
        <v>116</v>
      </c>
      <c r="F296">
        <v>4000</v>
      </c>
      <c r="G296" t="s">
        <v>25</v>
      </c>
      <c r="H296" t="s">
        <v>890</v>
      </c>
      <c r="I296" t="s">
        <v>71</v>
      </c>
      <c r="J296">
        <v>58200</v>
      </c>
      <c r="K296" t="s">
        <v>3</v>
      </c>
      <c r="L296" t="s">
        <v>888</v>
      </c>
      <c r="M296" t="s">
        <v>3</v>
      </c>
      <c r="N296" t="s">
        <v>70</v>
      </c>
      <c r="O296" s="25" t="s">
        <v>3824</v>
      </c>
      <c r="P296" s="25">
        <v>1</v>
      </c>
      <c r="Q296" s="25">
        <v>58200</v>
      </c>
      <c r="R296" s="25" t="s">
        <v>26</v>
      </c>
      <c r="S296" s="25" t="s">
        <v>26</v>
      </c>
      <c r="T296" s="25">
        <f t="shared" si="4"/>
        <v>58200</v>
      </c>
    </row>
    <row r="297" spans="1:20">
      <c r="A297" t="s">
        <v>891</v>
      </c>
      <c r="B297">
        <v>45858</v>
      </c>
      <c r="C297" t="s">
        <v>93</v>
      </c>
      <c r="D297" t="s">
        <v>111</v>
      </c>
      <c r="E297" t="s">
        <v>119</v>
      </c>
      <c r="F297">
        <v>4000</v>
      </c>
      <c r="G297" t="s">
        <v>25</v>
      </c>
      <c r="H297" t="s">
        <v>892</v>
      </c>
      <c r="I297" t="s">
        <v>71</v>
      </c>
      <c r="J297">
        <v>63400</v>
      </c>
      <c r="K297" t="s">
        <v>3</v>
      </c>
      <c r="L297" t="s">
        <v>888</v>
      </c>
      <c r="M297" t="s">
        <v>3</v>
      </c>
      <c r="N297" t="s">
        <v>70</v>
      </c>
      <c r="O297" s="25" t="s">
        <v>3824</v>
      </c>
      <c r="P297" s="25">
        <v>1</v>
      </c>
      <c r="Q297" s="25">
        <v>63400</v>
      </c>
      <c r="R297" s="25" t="s">
        <v>26</v>
      </c>
      <c r="S297" s="25" t="s">
        <v>26</v>
      </c>
      <c r="T297" s="25">
        <f t="shared" si="4"/>
        <v>63400</v>
      </c>
    </row>
    <row r="298" spans="1:20">
      <c r="A298" t="s">
        <v>893</v>
      </c>
      <c r="B298">
        <v>45858</v>
      </c>
      <c r="C298" t="s">
        <v>93</v>
      </c>
      <c r="D298" t="s">
        <v>111</v>
      </c>
      <c r="E298" t="s">
        <v>122</v>
      </c>
      <c r="F298">
        <v>4000</v>
      </c>
      <c r="G298" t="s">
        <v>25</v>
      </c>
      <c r="H298" t="s">
        <v>894</v>
      </c>
      <c r="I298" t="s">
        <v>71</v>
      </c>
      <c r="J298">
        <v>62800</v>
      </c>
      <c r="K298" t="s">
        <v>3</v>
      </c>
      <c r="L298" t="s">
        <v>895</v>
      </c>
      <c r="M298" t="s">
        <v>3</v>
      </c>
      <c r="N298" t="s">
        <v>70</v>
      </c>
      <c r="O298" s="25" t="s">
        <v>3824</v>
      </c>
      <c r="P298" s="25">
        <v>1</v>
      </c>
      <c r="Q298" s="25">
        <v>62800</v>
      </c>
      <c r="R298" s="25" t="s">
        <v>26</v>
      </c>
      <c r="S298" s="25" t="s">
        <v>26</v>
      </c>
      <c r="T298" s="25">
        <f t="shared" si="4"/>
        <v>62800</v>
      </c>
    </row>
    <row r="299" spans="1:20">
      <c r="A299" t="s">
        <v>896</v>
      </c>
      <c r="B299">
        <v>45858</v>
      </c>
      <c r="C299" t="s">
        <v>126</v>
      </c>
      <c r="D299" t="s">
        <v>88</v>
      </c>
      <c r="E299" t="s">
        <v>127</v>
      </c>
      <c r="F299">
        <v>4020</v>
      </c>
      <c r="G299" t="s">
        <v>30</v>
      </c>
      <c r="H299" t="s">
        <v>897</v>
      </c>
      <c r="I299" t="s">
        <v>71</v>
      </c>
      <c r="J299">
        <v>45400</v>
      </c>
      <c r="K299" t="s">
        <v>129</v>
      </c>
      <c r="L299" t="s">
        <v>898</v>
      </c>
      <c r="M299" t="s">
        <v>3</v>
      </c>
      <c r="N299" t="s">
        <v>70</v>
      </c>
      <c r="O299" s="25" t="s">
        <v>3824</v>
      </c>
      <c r="P299" s="25">
        <v>1</v>
      </c>
      <c r="Q299" s="25">
        <v>45400</v>
      </c>
      <c r="R299" s="25" t="s">
        <v>26</v>
      </c>
      <c r="S299" s="25" t="s">
        <v>26</v>
      </c>
      <c r="T299" s="25">
        <f t="shared" si="4"/>
        <v>45400</v>
      </c>
    </row>
    <row r="300" spans="1:20">
      <c r="A300" t="s">
        <v>899</v>
      </c>
      <c r="B300">
        <v>45858</v>
      </c>
      <c r="C300" t="s">
        <v>126</v>
      </c>
      <c r="D300" t="s">
        <v>88</v>
      </c>
      <c r="E300" t="s">
        <v>132</v>
      </c>
      <c r="F300">
        <v>4020</v>
      </c>
      <c r="G300" t="s">
        <v>30</v>
      </c>
      <c r="H300" t="s">
        <v>900</v>
      </c>
      <c r="I300" t="s">
        <v>72</v>
      </c>
      <c r="J300">
        <v>29.28</v>
      </c>
      <c r="K300" t="s">
        <v>134</v>
      </c>
      <c r="L300" t="s">
        <v>898</v>
      </c>
      <c r="M300" t="s">
        <v>3</v>
      </c>
      <c r="N300" t="s">
        <v>70</v>
      </c>
      <c r="O300" s="25" t="s">
        <v>3825</v>
      </c>
      <c r="P300" s="25">
        <v>1530</v>
      </c>
      <c r="Q300" s="25">
        <v>44798.400000000001</v>
      </c>
      <c r="R300" s="25" t="s">
        <v>26</v>
      </c>
      <c r="S300" s="25" t="s">
        <v>26</v>
      </c>
      <c r="T300" s="25">
        <f t="shared" si="4"/>
        <v>44798.400000000001</v>
      </c>
    </row>
    <row r="301" spans="1:20">
      <c r="A301" t="s">
        <v>901</v>
      </c>
      <c r="B301">
        <v>45858</v>
      </c>
      <c r="C301" t="s">
        <v>126</v>
      </c>
      <c r="D301" t="s">
        <v>88</v>
      </c>
      <c r="E301" t="s">
        <v>136</v>
      </c>
      <c r="F301">
        <v>4020</v>
      </c>
      <c r="G301" t="s">
        <v>30</v>
      </c>
      <c r="H301" t="s">
        <v>902</v>
      </c>
      <c r="I301" t="s">
        <v>71</v>
      </c>
      <c r="J301">
        <v>40600</v>
      </c>
      <c r="K301" t="s">
        <v>138</v>
      </c>
      <c r="L301" t="s">
        <v>898</v>
      </c>
      <c r="M301" t="s">
        <v>3</v>
      </c>
      <c r="N301" t="s">
        <v>70</v>
      </c>
      <c r="O301" s="25" t="s">
        <v>3824</v>
      </c>
      <c r="P301" s="25">
        <v>1</v>
      </c>
      <c r="Q301" s="25">
        <v>40600</v>
      </c>
      <c r="R301" s="25" t="s">
        <v>26</v>
      </c>
      <c r="S301" s="25" t="s">
        <v>26</v>
      </c>
      <c r="T301" s="25">
        <f t="shared" si="4"/>
        <v>40600</v>
      </c>
    </row>
    <row r="302" spans="1:20">
      <c r="A302" t="s">
        <v>903</v>
      </c>
      <c r="B302">
        <v>45858</v>
      </c>
      <c r="C302" t="s">
        <v>126</v>
      </c>
      <c r="D302" t="s">
        <v>88</v>
      </c>
      <c r="E302" t="s">
        <v>140</v>
      </c>
      <c r="F302">
        <v>4020</v>
      </c>
      <c r="G302" t="s">
        <v>30</v>
      </c>
      <c r="H302" t="s">
        <v>904</v>
      </c>
      <c r="I302" t="s">
        <v>71</v>
      </c>
      <c r="J302">
        <v>41200</v>
      </c>
      <c r="K302" t="s">
        <v>3</v>
      </c>
      <c r="L302" t="s">
        <v>905</v>
      </c>
      <c r="M302" t="s">
        <v>3</v>
      </c>
      <c r="N302" t="s">
        <v>70</v>
      </c>
      <c r="O302" s="25" t="s">
        <v>3824</v>
      </c>
      <c r="P302" s="25">
        <v>1</v>
      </c>
      <c r="Q302" s="25">
        <v>41200</v>
      </c>
      <c r="R302" s="25" t="s">
        <v>26</v>
      </c>
      <c r="S302" s="25" t="s">
        <v>26</v>
      </c>
      <c r="T302" s="25">
        <f t="shared" si="4"/>
        <v>41200</v>
      </c>
    </row>
    <row r="303" spans="1:20">
      <c r="A303" t="s">
        <v>906</v>
      </c>
      <c r="B303">
        <v>45859</v>
      </c>
      <c r="C303" t="s">
        <v>93</v>
      </c>
      <c r="D303" t="s">
        <v>94</v>
      </c>
      <c r="E303" t="s">
        <v>95</v>
      </c>
      <c r="F303">
        <v>4000</v>
      </c>
      <c r="G303" t="s">
        <v>25</v>
      </c>
      <c r="H303" t="s">
        <v>907</v>
      </c>
      <c r="I303" t="s">
        <v>71</v>
      </c>
      <c r="J303">
        <v>27700</v>
      </c>
      <c r="K303" t="s">
        <v>3</v>
      </c>
      <c r="L303" t="s">
        <v>908</v>
      </c>
      <c r="M303" t="s">
        <v>3</v>
      </c>
      <c r="N303" t="s">
        <v>70</v>
      </c>
      <c r="O303" s="25" t="s">
        <v>3824</v>
      </c>
      <c r="P303" s="25">
        <v>1</v>
      </c>
      <c r="Q303" s="25">
        <v>27700</v>
      </c>
      <c r="R303" s="25" t="s">
        <v>26</v>
      </c>
      <c r="S303" s="25" t="s">
        <v>26</v>
      </c>
      <c r="T303" s="25">
        <f t="shared" si="4"/>
        <v>27700</v>
      </c>
    </row>
    <row r="304" spans="1:20">
      <c r="A304" t="s">
        <v>909</v>
      </c>
      <c r="B304">
        <v>45859</v>
      </c>
      <c r="C304" t="s">
        <v>93</v>
      </c>
      <c r="D304" t="s">
        <v>94</v>
      </c>
      <c r="E304" t="s">
        <v>99</v>
      </c>
      <c r="F304">
        <v>4000</v>
      </c>
      <c r="G304" t="s">
        <v>25</v>
      </c>
      <c r="H304" t="s">
        <v>910</v>
      </c>
      <c r="I304" t="s">
        <v>71</v>
      </c>
      <c r="J304">
        <v>30000</v>
      </c>
      <c r="K304" t="s">
        <v>3</v>
      </c>
      <c r="L304" t="s">
        <v>911</v>
      </c>
      <c r="M304" t="s">
        <v>3</v>
      </c>
      <c r="N304" t="s">
        <v>70</v>
      </c>
      <c r="O304" s="25" t="s">
        <v>3824</v>
      </c>
      <c r="P304" s="25">
        <v>1</v>
      </c>
      <c r="Q304" s="25">
        <v>30000</v>
      </c>
      <c r="R304" s="25" t="s">
        <v>26</v>
      </c>
      <c r="S304" s="25" t="s">
        <v>26</v>
      </c>
      <c r="T304" s="25">
        <f t="shared" si="4"/>
        <v>30000</v>
      </c>
    </row>
    <row r="305" spans="1:20">
      <c r="A305" t="s">
        <v>912</v>
      </c>
      <c r="B305">
        <v>45859</v>
      </c>
      <c r="C305" t="s">
        <v>93</v>
      </c>
      <c r="D305" t="s">
        <v>94</v>
      </c>
      <c r="E305" t="s">
        <v>103</v>
      </c>
      <c r="F305">
        <v>4000</v>
      </c>
      <c r="G305" t="s">
        <v>25</v>
      </c>
      <c r="H305" t="s">
        <v>913</v>
      </c>
      <c r="I305" t="s">
        <v>71</v>
      </c>
      <c r="J305">
        <v>30700</v>
      </c>
      <c r="K305" t="s">
        <v>3</v>
      </c>
      <c r="L305" t="s">
        <v>914</v>
      </c>
      <c r="M305" t="s">
        <v>3</v>
      </c>
      <c r="N305" t="s">
        <v>70</v>
      </c>
      <c r="O305" s="25" t="s">
        <v>3824</v>
      </c>
      <c r="P305" s="25">
        <v>1</v>
      </c>
      <c r="Q305" s="25">
        <v>30700</v>
      </c>
      <c r="R305" s="25" t="s">
        <v>26</v>
      </c>
      <c r="S305" s="25" t="s">
        <v>26</v>
      </c>
      <c r="T305" s="25">
        <f t="shared" si="4"/>
        <v>30700</v>
      </c>
    </row>
    <row r="306" spans="1:20">
      <c r="A306" t="s">
        <v>915</v>
      </c>
      <c r="B306">
        <v>45859</v>
      </c>
      <c r="C306" t="s">
        <v>93</v>
      </c>
      <c r="D306" t="s">
        <v>94</v>
      </c>
      <c r="E306" t="s">
        <v>160</v>
      </c>
      <c r="F306">
        <v>4000</v>
      </c>
      <c r="G306" t="s">
        <v>25</v>
      </c>
      <c r="H306" t="s">
        <v>916</v>
      </c>
      <c r="I306" t="s">
        <v>71</v>
      </c>
      <c r="J306">
        <v>27900</v>
      </c>
      <c r="K306" t="s">
        <v>3</v>
      </c>
      <c r="L306" t="s">
        <v>914</v>
      </c>
      <c r="M306" t="s">
        <v>3</v>
      </c>
      <c r="N306" t="s">
        <v>70</v>
      </c>
      <c r="O306" s="25" t="s">
        <v>3824</v>
      </c>
      <c r="P306" s="25">
        <v>1</v>
      </c>
      <c r="Q306" s="25">
        <v>27900</v>
      </c>
      <c r="R306" s="25" t="s">
        <v>26</v>
      </c>
      <c r="S306" s="25" t="s">
        <v>26</v>
      </c>
      <c r="T306" s="25">
        <f t="shared" si="4"/>
        <v>27900</v>
      </c>
    </row>
    <row r="307" spans="1:20">
      <c r="A307" t="s">
        <v>917</v>
      </c>
      <c r="B307">
        <v>45859</v>
      </c>
      <c r="C307" t="s">
        <v>93</v>
      </c>
      <c r="D307" t="s">
        <v>94</v>
      </c>
      <c r="E307" t="s">
        <v>107</v>
      </c>
      <c r="F307">
        <v>4000</v>
      </c>
      <c r="G307" t="s">
        <v>25</v>
      </c>
      <c r="H307" t="s">
        <v>918</v>
      </c>
      <c r="I307" t="s">
        <v>71</v>
      </c>
      <c r="J307">
        <v>29500</v>
      </c>
      <c r="K307" t="s">
        <v>3</v>
      </c>
      <c r="L307" t="s">
        <v>919</v>
      </c>
      <c r="M307" t="s">
        <v>3</v>
      </c>
      <c r="N307" t="s">
        <v>70</v>
      </c>
      <c r="O307" s="25" t="s">
        <v>3824</v>
      </c>
      <c r="P307" s="25">
        <v>1</v>
      </c>
      <c r="Q307" s="25">
        <v>29500</v>
      </c>
      <c r="R307" s="25" t="s">
        <v>26</v>
      </c>
      <c r="S307" s="25" t="s">
        <v>26</v>
      </c>
      <c r="T307" s="25">
        <f t="shared" si="4"/>
        <v>29500</v>
      </c>
    </row>
    <row r="308" spans="1:20">
      <c r="A308" t="s">
        <v>920</v>
      </c>
      <c r="B308">
        <v>45859</v>
      </c>
      <c r="C308" t="s">
        <v>93</v>
      </c>
      <c r="D308" t="s">
        <v>111</v>
      </c>
      <c r="E308" t="s">
        <v>112</v>
      </c>
      <c r="F308">
        <v>4000</v>
      </c>
      <c r="G308" t="s">
        <v>25</v>
      </c>
      <c r="H308" t="s">
        <v>921</v>
      </c>
      <c r="I308" t="s">
        <v>71</v>
      </c>
      <c r="J308">
        <v>46800</v>
      </c>
      <c r="K308" t="s">
        <v>3</v>
      </c>
      <c r="L308" t="s">
        <v>922</v>
      </c>
      <c r="M308" t="s">
        <v>3</v>
      </c>
      <c r="N308" t="s">
        <v>70</v>
      </c>
      <c r="O308" s="25" t="s">
        <v>3824</v>
      </c>
      <c r="P308" s="25">
        <v>1</v>
      </c>
      <c r="Q308" s="25">
        <v>46800</v>
      </c>
      <c r="R308" s="25" t="s">
        <v>26</v>
      </c>
      <c r="S308" s="25" t="s">
        <v>26</v>
      </c>
      <c r="T308" s="25">
        <f t="shared" si="4"/>
        <v>46800</v>
      </c>
    </row>
    <row r="309" spans="1:20">
      <c r="A309" t="s">
        <v>923</v>
      </c>
      <c r="B309">
        <v>45859</v>
      </c>
      <c r="C309" t="s">
        <v>93</v>
      </c>
      <c r="D309" t="s">
        <v>111</v>
      </c>
      <c r="E309" t="s">
        <v>116</v>
      </c>
      <c r="F309">
        <v>4000</v>
      </c>
      <c r="G309" t="s">
        <v>25</v>
      </c>
      <c r="H309" t="s">
        <v>924</v>
      </c>
      <c r="I309" t="s">
        <v>71</v>
      </c>
      <c r="J309">
        <v>46700</v>
      </c>
      <c r="K309" t="s">
        <v>3</v>
      </c>
      <c r="L309" t="s">
        <v>922</v>
      </c>
      <c r="M309" t="s">
        <v>3</v>
      </c>
      <c r="N309" t="s">
        <v>70</v>
      </c>
      <c r="O309" s="25" t="s">
        <v>3824</v>
      </c>
      <c r="P309" s="25">
        <v>1</v>
      </c>
      <c r="Q309" s="25">
        <v>46700</v>
      </c>
      <c r="R309" s="25" t="s">
        <v>26</v>
      </c>
      <c r="S309" s="25" t="s">
        <v>26</v>
      </c>
      <c r="T309" s="25">
        <f t="shared" si="4"/>
        <v>46700</v>
      </c>
    </row>
    <row r="310" spans="1:20">
      <c r="A310" t="s">
        <v>925</v>
      </c>
      <c r="B310">
        <v>45859</v>
      </c>
      <c r="C310" t="s">
        <v>93</v>
      </c>
      <c r="D310" t="s">
        <v>111</v>
      </c>
      <c r="E310" t="s">
        <v>119</v>
      </c>
      <c r="F310">
        <v>4000</v>
      </c>
      <c r="G310" t="s">
        <v>25</v>
      </c>
      <c r="H310" t="s">
        <v>926</v>
      </c>
      <c r="I310" t="s">
        <v>71</v>
      </c>
      <c r="J310">
        <v>47200</v>
      </c>
      <c r="K310" t="s">
        <v>3</v>
      </c>
      <c r="L310" t="s">
        <v>922</v>
      </c>
      <c r="M310" t="s">
        <v>3</v>
      </c>
      <c r="N310" t="s">
        <v>70</v>
      </c>
      <c r="O310" s="25" t="s">
        <v>3824</v>
      </c>
      <c r="P310" s="25">
        <v>1</v>
      </c>
      <c r="Q310" s="25">
        <v>47200</v>
      </c>
      <c r="R310" s="25" t="s">
        <v>26</v>
      </c>
      <c r="S310" s="25" t="s">
        <v>26</v>
      </c>
      <c r="T310" s="25">
        <f t="shared" si="4"/>
        <v>47200</v>
      </c>
    </row>
    <row r="311" spans="1:20">
      <c r="A311" t="s">
        <v>927</v>
      </c>
      <c r="B311">
        <v>45859</v>
      </c>
      <c r="C311" t="s">
        <v>93</v>
      </c>
      <c r="D311" t="s">
        <v>111</v>
      </c>
      <c r="E311" t="s">
        <v>170</v>
      </c>
      <c r="F311">
        <v>4000</v>
      </c>
      <c r="G311" t="s">
        <v>25</v>
      </c>
      <c r="H311" t="s">
        <v>928</v>
      </c>
      <c r="I311" t="s">
        <v>71</v>
      </c>
      <c r="J311">
        <v>49200</v>
      </c>
      <c r="K311" t="s">
        <v>3</v>
      </c>
      <c r="L311" t="s">
        <v>922</v>
      </c>
      <c r="M311" t="s">
        <v>3</v>
      </c>
      <c r="N311" t="s">
        <v>70</v>
      </c>
      <c r="O311" s="25" t="s">
        <v>3824</v>
      </c>
      <c r="P311" s="25">
        <v>1</v>
      </c>
      <c r="Q311" s="25">
        <v>49200</v>
      </c>
      <c r="R311" s="25" t="s">
        <v>26</v>
      </c>
      <c r="S311" s="25" t="s">
        <v>26</v>
      </c>
      <c r="T311" s="25">
        <f t="shared" si="4"/>
        <v>49200</v>
      </c>
    </row>
    <row r="312" spans="1:20">
      <c r="A312" t="s">
        <v>929</v>
      </c>
      <c r="B312">
        <v>45859</v>
      </c>
      <c r="C312" t="s">
        <v>93</v>
      </c>
      <c r="D312" t="s">
        <v>111</v>
      </c>
      <c r="E312" t="s">
        <v>122</v>
      </c>
      <c r="F312">
        <v>4000</v>
      </c>
      <c r="G312" t="s">
        <v>25</v>
      </c>
      <c r="H312" t="s">
        <v>930</v>
      </c>
      <c r="I312" t="s">
        <v>71</v>
      </c>
      <c r="J312">
        <v>46800</v>
      </c>
      <c r="K312" t="s">
        <v>3</v>
      </c>
      <c r="L312" t="s">
        <v>931</v>
      </c>
      <c r="M312" t="s">
        <v>3</v>
      </c>
      <c r="N312" t="s">
        <v>70</v>
      </c>
      <c r="O312" s="25" t="s">
        <v>3824</v>
      </c>
      <c r="P312" s="25">
        <v>1</v>
      </c>
      <c r="Q312" s="25">
        <v>46800</v>
      </c>
      <c r="R312" s="25" t="s">
        <v>26</v>
      </c>
      <c r="S312" s="25" t="s">
        <v>26</v>
      </c>
      <c r="T312" s="25">
        <f t="shared" si="4"/>
        <v>46800</v>
      </c>
    </row>
    <row r="313" spans="1:20">
      <c r="A313" t="s">
        <v>932</v>
      </c>
      <c r="B313">
        <v>45859</v>
      </c>
      <c r="C313" t="s">
        <v>126</v>
      </c>
      <c r="D313" t="s">
        <v>88</v>
      </c>
      <c r="E313" t="s">
        <v>127</v>
      </c>
      <c r="F313">
        <v>4020</v>
      </c>
      <c r="G313" t="s">
        <v>30</v>
      </c>
      <c r="H313" t="s">
        <v>933</v>
      </c>
      <c r="I313" t="s">
        <v>72</v>
      </c>
      <c r="J313">
        <v>26.6</v>
      </c>
      <c r="K313" t="s">
        <v>129</v>
      </c>
      <c r="L313" t="s">
        <v>934</v>
      </c>
      <c r="M313" t="s">
        <v>3</v>
      </c>
      <c r="N313" t="s">
        <v>70</v>
      </c>
      <c r="O313" s="25" t="s">
        <v>3825</v>
      </c>
      <c r="P313" s="25">
        <v>1530</v>
      </c>
      <c r="Q313" s="25">
        <v>40698</v>
      </c>
      <c r="R313" s="25" t="s">
        <v>26</v>
      </c>
      <c r="S313" s="25" t="s">
        <v>26</v>
      </c>
      <c r="T313" s="25">
        <f t="shared" si="4"/>
        <v>40698</v>
      </c>
    </row>
    <row r="314" spans="1:20">
      <c r="A314" t="s">
        <v>935</v>
      </c>
      <c r="B314">
        <v>45859</v>
      </c>
      <c r="C314" t="s">
        <v>126</v>
      </c>
      <c r="D314" t="s">
        <v>88</v>
      </c>
      <c r="E314" t="s">
        <v>132</v>
      </c>
      <c r="F314">
        <v>4020</v>
      </c>
      <c r="G314" t="s">
        <v>30</v>
      </c>
      <c r="H314" t="s">
        <v>936</v>
      </c>
      <c r="I314" t="s">
        <v>72</v>
      </c>
      <c r="J314">
        <v>31.83</v>
      </c>
      <c r="K314" t="s">
        <v>134</v>
      </c>
      <c r="L314" t="s">
        <v>934</v>
      </c>
      <c r="M314" t="s">
        <v>3</v>
      </c>
      <c r="N314" t="s">
        <v>70</v>
      </c>
      <c r="O314" s="25" t="s">
        <v>3825</v>
      </c>
      <c r="P314" s="25">
        <v>1530</v>
      </c>
      <c r="Q314" s="25">
        <v>48699.899999999994</v>
      </c>
      <c r="R314" s="25" t="s">
        <v>26</v>
      </c>
      <c r="S314" s="25" t="s">
        <v>26</v>
      </c>
      <c r="T314" s="25">
        <f t="shared" si="4"/>
        <v>48699.899999999994</v>
      </c>
    </row>
    <row r="315" spans="1:20">
      <c r="A315" t="s">
        <v>937</v>
      </c>
      <c r="B315">
        <v>45859</v>
      </c>
      <c r="C315" t="s">
        <v>126</v>
      </c>
      <c r="D315" t="s">
        <v>88</v>
      </c>
      <c r="E315" t="s">
        <v>136</v>
      </c>
      <c r="F315">
        <v>4020</v>
      </c>
      <c r="G315" t="s">
        <v>30</v>
      </c>
      <c r="H315" t="s">
        <v>938</v>
      </c>
      <c r="I315" t="s">
        <v>72</v>
      </c>
      <c r="J315">
        <v>26.34</v>
      </c>
      <c r="K315" t="s">
        <v>138</v>
      </c>
      <c r="L315" t="s">
        <v>934</v>
      </c>
      <c r="M315" t="s">
        <v>3</v>
      </c>
      <c r="N315" t="s">
        <v>70</v>
      </c>
      <c r="O315" s="25" t="s">
        <v>3825</v>
      </c>
      <c r="P315" s="25">
        <v>1530</v>
      </c>
      <c r="Q315" s="25">
        <v>40300.199999999997</v>
      </c>
      <c r="R315" s="25" t="s">
        <v>26</v>
      </c>
      <c r="S315" s="25" t="s">
        <v>26</v>
      </c>
      <c r="T315" s="25">
        <f t="shared" si="4"/>
        <v>40300.199999999997</v>
      </c>
    </row>
    <row r="316" spans="1:20">
      <c r="A316" t="s">
        <v>939</v>
      </c>
      <c r="B316">
        <v>45859</v>
      </c>
      <c r="C316" t="s">
        <v>126</v>
      </c>
      <c r="D316" t="s">
        <v>88</v>
      </c>
      <c r="E316" t="s">
        <v>140</v>
      </c>
      <c r="F316">
        <v>4020</v>
      </c>
      <c r="G316" t="s">
        <v>30</v>
      </c>
      <c r="H316" t="s">
        <v>940</v>
      </c>
      <c r="I316" t="s">
        <v>71</v>
      </c>
      <c r="J316">
        <v>47700</v>
      </c>
      <c r="K316" t="s">
        <v>3</v>
      </c>
      <c r="L316" t="s">
        <v>941</v>
      </c>
      <c r="M316" t="s">
        <v>3</v>
      </c>
      <c r="N316" t="s">
        <v>70</v>
      </c>
      <c r="O316" s="25" t="s">
        <v>3824</v>
      </c>
      <c r="P316" s="25">
        <v>1</v>
      </c>
      <c r="Q316" s="25">
        <v>47700</v>
      </c>
      <c r="R316" s="25" t="s">
        <v>26</v>
      </c>
      <c r="S316" s="25" t="s">
        <v>26</v>
      </c>
      <c r="T316" s="25">
        <f t="shared" si="4"/>
        <v>47700</v>
      </c>
    </row>
    <row r="317" spans="1:20">
      <c r="A317" t="s">
        <v>942</v>
      </c>
      <c r="B317">
        <v>45859</v>
      </c>
      <c r="C317" t="s">
        <v>93</v>
      </c>
      <c r="D317" t="s">
        <v>111</v>
      </c>
      <c r="E317" t="s">
        <v>112</v>
      </c>
      <c r="F317">
        <v>4900</v>
      </c>
      <c r="G317" t="s">
        <v>32</v>
      </c>
      <c r="H317" t="s">
        <v>943</v>
      </c>
      <c r="I317" t="s">
        <v>71</v>
      </c>
      <c r="J317">
        <v>-152867</v>
      </c>
      <c r="K317" t="s">
        <v>3</v>
      </c>
      <c r="L317" t="s">
        <v>944</v>
      </c>
      <c r="M317" t="s">
        <v>3</v>
      </c>
      <c r="N317" t="s">
        <v>70</v>
      </c>
      <c r="O317" s="25" t="s">
        <v>3824</v>
      </c>
      <c r="P317" s="25">
        <v>1</v>
      </c>
      <c r="Q317" s="25">
        <v>-152867</v>
      </c>
      <c r="R317" s="25" t="s">
        <v>26</v>
      </c>
      <c r="S317" s="25" t="s">
        <v>26</v>
      </c>
      <c r="T317" s="25">
        <f t="shared" si="4"/>
        <v>-152867</v>
      </c>
    </row>
    <row r="318" spans="1:20">
      <c r="A318" t="s">
        <v>945</v>
      </c>
      <c r="B318">
        <v>45859</v>
      </c>
      <c r="C318" t="s">
        <v>87</v>
      </c>
      <c r="D318" t="s">
        <v>94</v>
      </c>
      <c r="E318" t="s">
        <v>3</v>
      </c>
      <c r="F318">
        <v>5000</v>
      </c>
      <c r="G318" t="s">
        <v>34</v>
      </c>
      <c r="H318" t="s">
        <v>315</v>
      </c>
      <c r="I318" t="s">
        <v>71</v>
      </c>
      <c r="J318">
        <v>-528000</v>
      </c>
      <c r="K318" t="s">
        <v>316</v>
      </c>
      <c r="L318" t="s">
        <v>946</v>
      </c>
      <c r="M318" t="s">
        <v>3</v>
      </c>
      <c r="N318" t="s">
        <v>70</v>
      </c>
      <c r="O318" s="25" t="s">
        <v>3824</v>
      </c>
      <c r="P318" s="25">
        <v>1</v>
      </c>
      <c r="Q318" s="25">
        <v>-528000</v>
      </c>
      <c r="R318" s="25" t="s">
        <v>35</v>
      </c>
      <c r="S318" s="25" t="s">
        <v>35</v>
      </c>
      <c r="T318" s="25">
        <f t="shared" si="4"/>
        <v>-528000</v>
      </c>
    </row>
    <row r="319" spans="1:20">
      <c r="A319" t="s">
        <v>947</v>
      </c>
      <c r="B319">
        <v>45859</v>
      </c>
      <c r="C319" t="s">
        <v>87</v>
      </c>
      <c r="D319" t="s">
        <v>94</v>
      </c>
      <c r="E319" t="s">
        <v>3</v>
      </c>
      <c r="F319">
        <v>5020</v>
      </c>
      <c r="G319" t="s">
        <v>39</v>
      </c>
      <c r="H319" t="s">
        <v>275</v>
      </c>
      <c r="I319" t="s">
        <v>71</v>
      </c>
      <c r="J319">
        <v>-108000</v>
      </c>
      <c r="K319" t="s">
        <v>276</v>
      </c>
      <c r="L319" t="s">
        <v>948</v>
      </c>
      <c r="M319" t="s">
        <v>3</v>
      </c>
      <c r="N319" t="s">
        <v>70</v>
      </c>
      <c r="O319" s="25" t="s">
        <v>3824</v>
      </c>
      <c r="P319" s="25">
        <v>1</v>
      </c>
      <c r="Q319" s="25">
        <v>-108000</v>
      </c>
      <c r="R319" s="25" t="s">
        <v>35</v>
      </c>
      <c r="S319" s="25" t="s">
        <v>35</v>
      </c>
      <c r="T319" s="25">
        <f t="shared" si="4"/>
        <v>-108000</v>
      </c>
    </row>
    <row r="320" spans="1:20">
      <c r="A320" t="s">
        <v>949</v>
      </c>
      <c r="B320">
        <v>45859</v>
      </c>
      <c r="C320" t="s">
        <v>87</v>
      </c>
      <c r="D320" t="s">
        <v>88</v>
      </c>
      <c r="E320" t="s">
        <v>3</v>
      </c>
      <c r="F320">
        <v>5030</v>
      </c>
      <c r="G320" t="s">
        <v>41</v>
      </c>
      <c r="H320" t="s">
        <v>148</v>
      </c>
      <c r="I320" t="s">
        <v>71</v>
      </c>
      <c r="J320">
        <v>-554000</v>
      </c>
      <c r="K320" t="s">
        <v>90</v>
      </c>
      <c r="L320" t="s">
        <v>950</v>
      </c>
      <c r="M320" t="s">
        <v>3</v>
      </c>
      <c r="N320" t="s">
        <v>70</v>
      </c>
      <c r="O320" s="25" t="s">
        <v>3824</v>
      </c>
      <c r="P320" s="25">
        <v>1</v>
      </c>
      <c r="Q320" s="25">
        <v>-554000</v>
      </c>
      <c r="R320" s="25" t="s">
        <v>35</v>
      </c>
      <c r="S320" s="25" t="s">
        <v>35</v>
      </c>
      <c r="T320" s="25">
        <f t="shared" si="4"/>
        <v>-554000</v>
      </c>
    </row>
    <row r="321" spans="1:20">
      <c r="A321" t="s">
        <v>951</v>
      </c>
      <c r="B321">
        <v>45860</v>
      </c>
      <c r="C321" t="s">
        <v>93</v>
      </c>
      <c r="D321" t="s">
        <v>94</v>
      </c>
      <c r="E321" t="s">
        <v>95</v>
      </c>
      <c r="F321">
        <v>4000</v>
      </c>
      <c r="G321" t="s">
        <v>25</v>
      </c>
      <c r="H321" t="s">
        <v>952</v>
      </c>
      <c r="I321" t="s">
        <v>71</v>
      </c>
      <c r="J321">
        <v>27100</v>
      </c>
      <c r="K321" t="s">
        <v>3</v>
      </c>
      <c r="L321" t="s">
        <v>953</v>
      </c>
      <c r="M321" t="s">
        <v>3</v>
      </c>
      <c r="N321" t="s">
        <v>70</v>
      </c>
      <c r="O321" s="25" t="s">
        <v>3824</v>
      </c>
      <c r="P321" s="25">
        <v>1</v>
      </c>
      <c r="Q321" s="25">
        <v>27100</v>
      </c>
      <c r="R321" s="25" t="s">
        <v>26</v>
      </c>
      <c r="S321" s="25" t="s">
        <v>26</v>
      </c>
      <c r="T321" s="25">
        <f t="shared" si="4"/>
        <v>27100</v>
      </c>
    </row>
    <row r="322" spans="1:20">
      <c r="A322" t="s">
        <v>954</v>
      </c>
      <c r="B322">
        <v>45860</v>
      </c>
      <c r="C322" t="s">
        <v>93</v>
      </c>
      <c r="D322" t="s">
        <v>94</v>
      </c>
      <c r="E322" t="s">
        <v>99</v>
      </c>
      <c r="F322">
        <v>4000</v>
      </c>
      <c r="G322" t="s">
        <v>25</v>
      </c>
      <c r="H322" t="s">
        <v>955</v>
      </c>
      <c r="I322" t="s">
        <v>71</v>
      </c>
      <c r="J322">
        <v>28600</v>
      </c>
      <c r="K322" t="s">
        <v>3</v>
      </c>
      <c r="L322" t="s">
        <v>956</v>
      </c>
      <c r="M322" t="s">
        <v>3</v>
      </c>
      <c r="N322" t="s">
        <v>70</v>
      </c>
      <c r="O322" s="25" t="s">
        <v>3824</v>
      </c>
      <c r="P322" s="25">
        <v>1</v>
      </c>
      <c r="Q322" s="25">
        <v>28600</v>
      </c>
      <c r="R322" s="25" t="s">
        <v>26</v>
      </c>
      <c r="S322" s="25" t="s">
        <v>26</v>
      </c>
      <c r="T322" s="25">
        <f t="shared" ref="T322:T385" si="5">IF(AND(S322="Revenue",G322&lt;&gt;"Refunds &amp; Chargebacks"),ABS(Q322),-ABS(Q322))</f>
        <v>28600</v>
      </c>
    </row>
    <row r="323" spans="1:20">
      <c r="A323" t="s">
        <v>957</v>
      </c>
      <c r="B323">
        <v>45860</v>
      </c>
      <c r="C323" t="s">
        <v>93</v>
      </c>
      <c r="D323" t="s">
        <v>94</v>
      </c>
      <c r="E323" t="s">
        <v>103</v>
      </c>
      <c r="F323">
        <v>4000</v>
      </c>
      <c r="G323" t="s">
        <v>25</v>
      </c>
      <c r="H323" t="s">
        <v>958</v>
      </c>
      <c r="I323" t="s">
        <v>71</v>
      </c>
      <c r="J323">
        <v>31500</v>
      </c>
      <c r="K323" t="s">
        <v>3</v>
      </c>
      <c r="L323" t="s">
        <v>959</v>
      </c>
      <c r="M323" t="s">
        <v>3</v>
      </c>
      <c r="N323" t="s">
        <v>70</v>
      </c>
      <c r="O323" s="25" t="s">
        <v>3824</v>
      </c>
      <c r="P323" s="25">
        <v>1</v>
      </c>
      <c r="Q323" s="25">
        <v>31500</v>
      </c>
      <c r="R323" s="25" t="s">
        <v>26</v>
      </c>
      <c r="S323" s="25" t="s">
        <v>26</v>
      </c>
      <c r="T323" s="25">
        <f t="shared" si="5"/>
        <v>31500</v>
      </c>
    </row>
    <row r="324" spans="1:20">
      <c r="A324" t="s">
        <v>960</v>
      </c>
      <c r="B324">
        <v>45860</v>
      </c>
      <c r="C324" t="s">
        <v>93</v>
      </c>
      <c r="D324" t="s">
        <v>94</v>
      </c>
      <c r="E324" t="s">
        <v>160</v>
      </c>
      <c r="F324">
        <v>4000</v>
      </c>
      <c r="G324" t="s">
        <v>25</v>
      </c>
      <c r="H324" t="s">
        <v>961</v>
      </c>
      <c r="I324" t="s">
        <v>71</v>
      </c>
      <c r="J324">
        <v>31200</v>
      </c>
      <c r="K324" t="s">
        <v>3</v>
      </c>
      <c r="L324" t="s">
        <v>959</v>
      </c>
      <c r="M324" t="s">
        <v>3</v>
      </c>
      <c r="N324" t="s">
        <v>70</v>
      </c>
      <c r="O324" s="25" t="s">
        <v>3824</v>
      </c>
      <c r="P324" s="25">
        <v>1</v>
      </c>
      <c r="Q324" s="25">
        <v>31200</v>
      </c>
      <c r="R324" s="25" t="s">
        <v>26</v>
      </c>
      <c r="S324" s="25" t="s">
        <v>26</v>
      </c>
      <c r="T324" s="25">
        <f t="shared" si="5"/>
        <v>31200</v>
      </c>
    </row>
    <row r="325" spans="1:20">
      <c r="A325" t="s">
        <v>962</v>
      </c>
      <c r="B325">
        <v>45860</v>
      </c>
      <c r="C325" t="s">
        <v>93</v>
      </c>
      <c r="D325" t="s">
        <v>94</v>
      </c>
      <c r="E325" t="s">
        <v>107</v>
      </c>
      <c r="F325">
        <v>4000</v>
      </c>
      <c r="G325" t="s">
        <v>25</v>
      </c>
      <c r="H325" t="s">
        <v>963</v>
      </c>
      <c r="I325" t="s">
        <v>71</v>
      </c>
      <c r="J325">
        <v>26500</v>
      </c>
      <c r="K325" t="s">
        <v>3</v>
      </c>
      <c r="L325" t="s">
        <v>964</v>
      </c>
      <c r="M325" t="s">
        <v>3</v>
      </c>
      <c r="N325" t="s">
        <v>70</v>
      </c>
      <c r="O325" s="25" t="s">
        <v>3824</v>
      </c>
      <c r="P325" s="25">
        <v>1</v>
      </c>
      <c r="Q325" s="25">
        <v>26500</v>
      </c>
      <c r="R325" s="25" t="s">
        <v>26</v>
      </c>
      <c r="S325" s="25" t="s">
        <v>26</v>
      </c>
      <c r="T325" s="25">
        <f t="shared" si="5"/>
        <v>26500</v>
      </c>
    </row>
    <row r="326" spans="1:20">
      <c r="A326" t="s">
        <v>965</v>
      </c>
      <c r="B326">
        <v>45860</v>
      </c>
      <c r="C326" t="s">
        <v>93</v>
      </c>
      <c r="D326" t="s">
        <v>111</v>
      </c>
      <c r="E326" t="s">
        <v>116</v>
      </c>
      <c r="F326">
        <v>4000</v>
      </c>
      <c r="G326" t="s">
        <v>25</v>
      </c>
      <c r="H326" t="s">
        <v>966</v>
      </c>
      <c r="I326" t="s">
        <v>71</v>
      </c>
      <c r="J326">
        <v>48400</v>
      </c>
      <c r="K326" t="s">
        <v>3</v>
      </c>
      <c r="L326" t="s">
        <v>967</v>
      </c>
      <c r="M326" t="s">
        <v>3</v>
      </c>
      <c r="N326" t="s">
        <v>70</v>
      </c>
      <c r="O326" s="25" t="s">
        <v>3824</v>
      </c>
      <c r="P326" s="25">
        <v>1</v>
      </c>
      <c r="Q326" s="25">
        <v>48400</v>
      </c>
      <c r="R326" s="25" t="s">
        <v>26</v>
      </c>
      <c r="S326" s="25" t="s">
        <v>26</v>
      </c>
      <c r="T326" s="25">
        <f t="shared" si="5"/>
        <v>48400</v>
      </c>
    </row>
    <row r="327" spans="1:20">
      <c r="A327" t="s">
        <v>968</v>
      </c>
      <c r="B327">
        <v>45860</v>
      </c>
      <c r="C327" t="s">
        <v>93</v>
      </c>
      <c r="D327" t="s">
        <v>111</v>
      </c>
      <c r="E327" t="s">
        <v>119</v>
      </c>
      <c r="F327">
        <v>4000</v>
      </c>
      <c r="G327" t="s">
        <v>25</v>
      </c>
      <c r="H327" t="s">
        <v>969</v>
      </c>
      <c r="I327" t="s">
        <v>71</v>
      </c>
      <c r="J327">
        <v>49600</v>
      </c>
      <c r="K327" t="s">
        <v>3</v>
      </c>
      <c r="L327" t="s">
        <v>967</v>
      </c>
      <c r="M327" t="s">
        <v>3</v>
      </c>
      <c r="N327" t="s">
        <v>70</v>
      </c>
      <c r="O327" s="25" t="s">
        <v>3824</v>
      </c>
      <c r="P327" s="25">
        <v>1</v>
      </c>
      <c r="Q327" s="25">
        <v>49600</v>
      </c>
      <c r="R327" s="25" t="s">
        <v>26</v>
      </c>
      <c r="S327" s="25" t="s">
        <v>26</v>
      </c>
      <c r="T327" s="25">
        <f t="shared" si="5"/>
        <v>49600</v>
      </c>
    </row>
    <row r="328" spans="1:20">
      <c r="A328" t="s">
        <v>970</v>
      </c>
      <c r="B328">
        <v>45860</v>
      </c>
      <c r="C328" t="s">
        <v>93</v>
      </c>
      <c r="D328" t="s">
        <v>111</v>
      </c>
      <c r="E328" t="s">
        <v>170</v>
      </c>
      <c r="F328">
        <v>4000</v>
      </c>
      <c r="G328" t="s">
        <v>25</v>
      </c>
      <c r="H328" t="s">
        <v>971</v>
      </c>
      <c r="I328" t="s">
        <v>71</v>
      </c>
      <c r="J328">
        <v>47800</v>
      </c>
      <c r="K328" t="s">
        <v>3</v>
      </c>
      <c r="L328" t="s">
        <v>967</v>
      </c>
      <c r="M328" t="s">
        <v>3</v>
      </c>
      <c r="N328" t="s">
        <v>70</v>
      </c>
      <c r="O328" s="25" t="s">
        <v>3824</v>
      </c>
      <c r="P328" s="25">
        <v>1</v>
      </c>
      <c r="Q328" s="25">
        <v>47800</v>
      </c>
      <c r="R328" s="25" t="s">
        <v>26</v>
      </c>
      <c r="S328" s="25" t="s">
        <v>26</v>
      </c>
      <c r="T328" s="25">
        <f t="shared" si="5"/>
        <v>47800</v>
      </c>
    </row>
    <row r="329" spans="1:20">
      <c r="A329" t="s">
        <v>972</v>
      </c>
      <c r="B329">
        <v>45860</v>
      </c>
      <c r="C329" t="s">
        <v>93</v>
      </c>
      <c r="D329" t="s">
        <v>111</v>
      </c>
      <c r="E329" t="s">
        <v>122</v>
      </c>
      <c r="F329">
        <v>4000</v>
      </c>
      <c r="G329" t="s">
        <v>25</v>
      </c>
      <c r="H329" t="s">
        <v>973</v>
      </c>
      <c r="I329" t="s">
        <v>71</v>
      </c>
      <c r="J329">
        <v>45600</v>
      </c>
      <c r="K329" t="s">
        <v>3</v>
      </c>
      <c r="L329" t="s">
        <v>974</v>
      </c>
      <c r="M329" t="s">
        <v>3</v>
      </c>
      <c r="N329" t="s">
        <v>70</v>
      </c>
      <c r="O329" s="25" t="s">
        <v>3824</v>
      </c>
      <c r="P329" s="25">
        <v>1</v>
      </c>
      <c r="Q329" s="25">
        <v>45600</v>
      </c>
      <c r="R329" s="25" t="s">
        <v>26</v>
      </c>
      <c r="S329" s="25" t="s">
        <v>26</v>
      </c>
      <c r="T329" s="25">
        <f t="shared" si="5"/>
        <v>45600</v>
      </c>
    </row>
    <row r="330" spans="1:20">
      <c r="A330" t="s">
        <v>975</v>
      </c>
      <c r="B330">
        <v>45860</v>
      </c>
      <c r="C330" t="s">
        <v>126</v>
      </c>
      <c r="D330" t="s">
        <v>88</v>
      </c>
      <c r="E330" t="s">
        <v>127</v>
      </c>
      <c r="F330">
        <v>4020</v>
      </c>
      <c r="G330" t="s">
        <v>30</v>
      </c>
      <c r="H330" t="s">
        <v>976</v>
      </c>
      <c r="I330" t="s">
        <v>72</v>
      </c>
      <c r="J330">
        <v>26.08</v>
      </c>
      <c r="K330" t="s">
        <v>129</v>
      </c>
      <c r="L330" t="s">
        <v>977</v>
      </c>
      <c r="M330" t="s">
        <v>3</v>
      </c>
      <c r="N330" t="s">
        <v>70</v>
      </c>
      <c r="O330" s="25" t="s">
        <v>3825</v>
      </c>
      <c r="P330" s="25">
        <v>1530</v>
      </c>
      <c r="Q330" s="25">
        <v>39902.399999999994</v>
      </c>
      <c r="R330" s="25" t="s">
        <v>26</v>
      </c>
      <c r="S330" s="25" t="s">
        <v>26</v>
      </c>
      <c r="T330" s="25">
        <f t="shared" si="5"/>
        <v>39902.399999999994</v>
      </c>
    </row>
    <row r="331" spans="1:20">
      <c r="A331" t="s">
        <v>978</v>
      </c>
      <c r="B331">
        <v>45860</v>
      </c>
      <c r="C331" t="s">
        <v>126</v>
      </c>
      <c r="D331" t="s">
        <v>88</v>
      </c>
      <c r="E331" t="s">
        <v>132</v>
      </c>
      <c r="F331">
        <v>4020</v>
      </c>
      <c r="G331" t="s">
        <v>30</v>
      </c>
      <c r="H331" t="s">
        <v>979</v>
      </c>
      <c r="I331" t="s">
        <v>71</v>
      </c>
      <c r="J331">
        <v>42900</v>
      </c>
      <c r="K331" t="s">
        <v>134</v>
      </c>
      <c r="L331" t="s">
        <v>977</v>
      </c>
      <c r="M331" t="s">
        <v>3</v>
      </c>
      <c r="N331" t="s">
        <v>70</v>
      </c>
      <c r="O331" s="25" t="s">
        <v>3824</v>
      </c>
      <c r="P331" s="25">
        <v>1</v>
      </c>
      <c r="Q331" s="25">
        <v>42900</v>
      </c>
      <c r="R331" s="25" t="s">
        <v>26</v>
      </c>
      <c r="S331" s="25" t="s">
        <v>26</v>
      </c>
      <c r="T331" s="25">
        <f t="shared" si="5"/>
        <v>42900</v>
      </c>
    </row>
    <row r="332" spans="1:20">
      <c r="A332" t="s">
        <v>980</v>
      </c>
      <c r="B332">
        <v>45860</v>
      </c>
      <c r="C332" t="s">
        <v>126</v>
      </c>
      <c r="D332" t="s">
        <v>88</v>
      </c>
      <c r="E332" t="s">
        <v>136</v>
      </c>
      <c r="F332">
        <v>4020</v>
      </c>
      <c r="G332" t="s">
        <v>30</v>
      </c>
      <c r="H332" t="s">
        <v>981</v>
      </c>
      <c r="I332" t="s">
        <v>72</v>
      </c>
      <c r="J332">
        <v>28.63</v>
      </c>
      <c r="K332" t="s">
        <v>138</v>
      </c>
      <c r="L332" t="s">
        <v>977</v>
      </c>
      <c r="M332" t="s">
        <v>3</v>
      </c>
      <c r="N332" t="s">
        <v>70</v>
      </c>
      <c r="O332" s="25" t="s">
        <v>3825</v>
      </c>
      <c r="P332" s="25">
        <v>1530</v>
      </c>
      <c r="Q332" s="25">
        <v>43803.9</v>
      </c>
      <c r="R332" s="25" t="s">
        <v>26</v>
      </c>
      <c r="S332" s="25" t="s">
        <v>26</v>
      </c>
      <c r="T332" s="25">
        <f t="shared" si="5"/>
        <v>43803.9</v>
      </c>
    </row>
    <row r="333" spans="1:20">
      <c r="A333" t="s">
        <v>982</v>
      </c>
      <c r="B333">
        <v>45860</v>
      </c>
      <c r="C333" t="s">
        <v>126</v>
      </c>
      <c r="D333" t="s">
        <v>88</v>
      </c>
      <c r="E333" t="s">
        <v>140</v>
      </c>
      <c r="F333">
        <v>4020</v>
      </c>
      <c r="G333" t="s">
        <v>30</v>
      </c>
      <c r="H333" t="s">
        <v>983</v>
      </c>
      <c r="I333" t="s">
        <v>71</v>
      </c>
      <c r="J333">
        <v>43800</v>
      </c>
      <c r="K333" t="s">
        <v>3</v>
      </c>
      <c r="L333" t="s">
        <v>984</v>
      </c>
      <c r="M333" t="s">
        <v>3</v>
      </c>
      <c r="N333" t="s">
        <v>70</v>
      </c>
      <c r="O333" s="25" t="s">
        <v>3824</v>
      </c>
      <c r="P333" s="25">
        <v>1</v>
      </c>
      <c r="Q333" s="25">
        <v>43800</v>
      </c>
      <c r="R333" s="25" t="s">
        <v>26</v>
      </c>
      <c r="S333" s="25" t="s">
        <v>26</v>
      </c>
      <c r="T333" s="25">
        <f t="shared" si="5"/>
        <v>43800</v>
      </c>
    </row>
    <row r="334" spans="1:20">
      <c r="A334" t="s">
        <v>985</v>
      </c>
      <c r="B334">
        <v>45860</v>
      </c>
      <c r="C334" t="s">
        <v>87</v>
      </c>
      <c r="D334" t="s">
        <v>111</v>
      </c>
      <c r="E334" t="s">
        <v>3</v>
      </c>
      <c r="F334">
        <v>5010</v>
      </c>
      <c r="G334" t="s">
        <v>37</v>
      </c>
      <c r="H334" t="s">
        <v>986</v>
      </c>
      <c r="I334" t="s">
        <v>71</v>
      </c>
      <c r="J334">
        <v>-1058000</v>
      </c>
      <c r="K334" t="s">
        <v>987</v>
      </c>
      <c r="L334" t="s">
        <v>988</v>
      </c>
      <c r="M334" t="s">
        <v>3</v>
      </c>
      <c r="N334" t="s">
        <v>70</v>
      </c>
      <c r="O334" s="25" t="s">
        <v>3824</v>
      </c>
      <c r="P334" s="25">
        <v>1</v>
      </c>
      <c r="Q334" s="25">
        <v>-1058000</v>
      </c>
      <c r="R334" s="25" t="s">
        <v>35</v>
      </c>
      <c r="S334" s="25" t="s">
        <v>35</v>
      </c>
      <c r="T334" s="25">
        <f t="shared" si="5"/>
        <v>-1058000</v>
      </c>
    </row>
    <row r="335" spans="1:20">
      <c r="A335" t="s">
        <v>989</v>
      </c>
      <c r="B335">
        <v>45860</v>
      </c>
      <c r="C335" t="s">
        <v>87</v>
      </c>
      <c r="D335" t="s">
        <v>88</v>
      </c>
      <c r="E335" t="s">
        <v>3</v>
      </c>
      <c r="F335">
        <v>5040</v>
      </c>
      <c r="G335" t="s">
        <v>43</v>
      </c>
      <c r="H335" t="s">
        <v>397</v>
      </c>
      <c r="I335" t="s">
        <v>71</v>
      </c>
      <c r="J335">
        <v>-677000</v>
      </c>
      <c r="K335" t="s">
        <v>398</v>
      </c>
      <c r="L335" t="s">
        <v>990</v>
      </c>
      <c r="M335" t="s">
        <v>3</v>
      </c>
      <c r="N335" t="s">
        <v>70</v>
      </c>
      <c r="O335" s="25" t="s">
        <v>3824</v>
      </c>
      <c r="P335" s="25">
        <v>1</v>
      </c>
      <c r="Q335" s="25">
        <v>-677000</v>
      </c>
      <c r="R335" s="25" t="s">
        <v>35</v>
      </c>
      <c r="S335" s="25" t="s">
        <v>35</v>
      </c>
      <c r="T335" s="25">
        <f t="shared" si="5"/>
        <v>-677000</v>
      </c>
    </row>
    <row r="336" spans="1:20">
      <c r="A336" t="s">
        <v>991</v>
      </c>
      <c r="B336">
        <v>45860</v>
      </c>
      <c r="C336" t="s">
        <v>87</v>
      </c>
      <c r="D336" t="s">
        <v>88</v>
      </c>
      <c r="E336" t="s">
        <v>3</v>
      </c>
      <c r="F336">
        <v>5040</v>
      </c>
      <c r="G336" t="s">
        <v>43</v>
      </c>
      <c r="H336" t="s">
        <v>397</v>
      </c>
      <c r="I336" t="s">
        <v>71</v>
      </c>
      <c r="J336">
        <v>-674000</v>
      </c>
      <c r="K336" t="s">
        <v>398</v>
      </c>
      <c r="L336" t="s">
        <v>992</v>
      </c>
      <c r="M336" t="s">
        <v>3</v>
      </c>
      <c r="N336" t="s">
        <v>70</v>
      </c>
      <c r="O336" s="25" t="s">
        <v>3824</v>
      </c>
      <c r="P336" s="25">
        <v>1</v>
      </c>
      <c r="Q336" s="25">
        <v>-674000</v>
      </c>
      <c r="R336" s="25" t="s">
        <v>35</v>
      </c>
      <c r="S336" s="25" t="s">
        <v>35</v>
      </c>
      <c r="T336" s="25">
        <f t="shared" si="5"/>
        <v>-674000</v>
      </c>
    </row>
    <row r="337" spans="1:20">
      <c r="A337" t="s">
        <v>993</v>
      </c>
      <c r="B337">
        <v>45861</v>
      </c>
      <c r="C337" t="s">
        <v>93</v>
      </c>
      <c r="D337" t="s">
        <v>94</v>
      </c>
      <c r="E337" t="s">
        <v>95</v>
      </c>
      <c r="F337">
        <v>4000</v>
      </c>
      <c r="G337" t="s">
        <v>25</v>
      </c>
      <c r="H337" t="s">
        <v>994</v>
      </c>
      <c r="I337" t="s">
        <v>71</v>
      </c>
      <c r="J337">
        <v>27300</v>
      </c>
      <c r="K337" t="s">
        <v>3</v>
      </c>
      <c r="L337" t="s">
        <v>995</v>
      </c>
      <c r="M337" t="s">
        <v>3</v>
      </c>
      <c r="N337" t="s">
        <v>70</v>
      </c>
      <c r="O337" s="25" t="s">
        <v>3824</v>
      </c>
      <c r="P337" s="25">
        <v>1</v>
      </c>
      <c r="Q337" s="25">
        <v>27300</v>
      </c>
      <c r="R337" s="25" t="s">
        <v>26</v>
      </c>
      <c r="S337" s="25" t="s">
        <v>26</v>
      </c>
      <c r="T337" s="25">
        <f t="shared" si="5"/>
        <v>27300</v>
      </c>
    </row>
    <row r="338" spans="1:20">
      <c r="A338" t="s">
        <v>996</v>
      </c>
      <c r="B338">
        <v>45861</v>
      </c>
      <c r="C338" t="s">
        <v>93</v>
      </c>
      <c r="D338" t="s">
        <v>94</v>
      </c>
      <c r="E338" t="s">
        <v>99</v>
      </c>
      <c r="F338">
        <v>4000</v>
      </c>
      <c r="G338" t="s">
        <v>25</v>
      </c>
      <c r="H338" t="s">
        <v>997</v>
      </c>
      <c r="I338" t="s">
        <v>71</v>
      </c>
      <c r="J338">
        <v>26900</v>
      </c>
      <c r="K338" t="s">
        <v>3</v>
      </c>
      <c r="L338" t="s">
        <v>998</v>
      </c>
      <c r="M338" t="s">
        <v>3</v>
      </c>
      <c r="N338" t="s">
        <v>70</v>
      </c>
      <c r="O338" s="25" t="s">
        <v>3824</v>
      </c>
      <c r="P338" s="25">
        <v>1</v>
      </c>
      <c r="Q338" s="25">
        <v>26900</v>
      </c>
      <c r="R338" s="25" t="s">
        <v>26</v>
      </c>
      <c r="S338" s="25" t="s">
        <v>26</v>
      </c>
      <c r="T338" s="25">
        <f t="shared" si="5"/>
        <v>26900</v>
      </c>
    </row>
    <row r="339" spans="1:20">
      <c r="A339" t="s">
        <v>999</v>
      </c>
      <c r="B339">
        <v>45861</v>
      </c>
      <c r="C339" t="s">
        <v>93</v>
      </c>
      <c r="D339" t="s">
        <v>94</v>
      </c>
      <c r="E339" t="s">
        <v>103</v>
      </c>
      <c r="F339">
        <v>4000</v>
      </c>
      <c r="G339" t="s">
        <v>25</v>
      </c>
      <c r="H339" t="s">
        <v>1000</v>
      </c>
      <c r="I339" t="s">
        <v>71</v>
      </c>
      <c r="J339">
        <v>27600</v>
      </c>
      <c r="K339" t="s">
        <v>3</v>
      </c>
      <c r="L339" t="s">
        <v>1001</v>
      </c>
      <c r="M339" t="s">
        <v>3</v>
      </c>
      <c r="N339" t="s">
        <v>70</v>
      </c>
      <c r="O339" s="25" t="s">
        <v>3824</v>
      </c>
      <c r="P339" s="25">
        <v>1</v>
      </c>
      <c r="Q339" s="25">
        <v>27600</v>
      </c>
      <c r="R339" s="25" t="s">
        <v>26</v>
      </c>
      <c r="S339" s="25" t="s">
        <v>26</v>
      </c>
      <c r="T339" s="25">
        <f t="shared" si="5"/>
        <v>27600</v>
      </c>
    </row>
    <row r="340" spans="1:20">
      <c r="A340" t="s">
        <v>1002</v>
      </c>
      <c r="B340">
        <v>45861</v>
      </c>
      <c r="C340" t="s">
        <v>93</v>
      </c>
      <c r="D340" t="s">
        <v>94</v>
      </c>
      <c r="E340" t="s">
        <v>160</v>
      </c>
      <c r="F340">
        <v>4000</v>
      </c>
      <c r="G340" t="s">
        <v>25</v>
      </c>
      <c r="H340" t="s">
        <v>1003</v>
      </c>
      <c r="I340" t="s">
        <v>71</v>
      </c>
      <c r="J340">
        <v>27100</v>
      </c>
      <c r="K340" t="s">
        <v>3</v>
      </c>
      <c r="L340" t="s">
        <v>1001</v>
      </c>
      <c r="M340" t="s">
        <v>3</v>
      </c>
      <c r="N340" t="s">
        <v>70</v>
      </c>
      <c r="O340" s="25" t="s">
        <v>3824</v>
      </c>
      <c r="P340" s="25">
        <v>1</v>
      </c>
      <c r="Q340" s="25">
        <v>27100</v>
      </c>
      <c r="R340" s="25" t="s">
        <v>26</v>
      </c>
      <c r="S340" s="25" t="s">
        <v>26</v>
      </c>
      <c r="T340" s="25">
        <f t="shared" si="5"/>
        <v>27100</v>
      </c>
    </row>
    <row r="341" spans="1:20">
      <c r="A341" t="s">
        <v>1004</v>
      </c>
      <c r="B341">
        <v>45861</v>
      </c>
      <c r="C341" t="s">
        <v>93</v>
      </c>
      <c r="D341" t="s">
        <v>94</v>
      </c>
      <c r="E341" t="s">
        <v>107</v>
      </c>
      <c r="F341">
        <v>4000</v>
      </c>
      <c r="G341" t="s">
        <v>25</v>
      </c>
      <c r="H341" t="s">
        <v>1005</v>
      </c>
      <c r="I341" t="s">
        <v>71</v>
      </c>
      <c r="J341">
        <v>30100</v>
      </c>
      <c r="K341" t="s">
        <v>3</v>
      </c>
      <c r="L341" t="s">
        <v>1006</v>
      </c>
      <c r="M341" t="s">
        <v>3</v>
      </c>
      <c r="N341" t="s">
        <v>70</v>
      </c>
      <c r="O341" s="25" t="s">
        <v>3824</v>
      </c>
      <c r="P341" s="25">
        <v>1</v>
      </c>
      <c r="Q341" s="25">
        <v>30100</v>
      </c>
      <c r="R341" s="25" t="s">
        <v>26</v>
      </c>
      <c r="S341" s="25" t="s">
        <v>26</v>
      </c>
      <c r="T341" s="25">
        <f t="shared" si="5"/>
        <v>30100</v>
      </c>
    </row>
    <row r="342" spans="1:20">
      <c r="A342" t="s">
        <v>1007</v>
      </c>
      <c r="B342">
        <v>45861</v>
      </c>
      <c r="C342" t="s">
        <v>93</v>
      </c>
      <c r="D342" t="s">
        <v>111</v>
      </c>
      <c r="E342" t="s">
        <v>112</v>
      </c>
      <c r="F342">
        <v>4000</v>
      </c>
      <c r="G342" t="s">
        <v>25</v>
      </c>
      <c r="H342" t="s">
        <v>1008</v>
      </c>
      <c r="I342" t="s">
        <v>71</v>
      </c>
      <c r="J342">
        <v>47000</v>
      </c>
      <c r="K342" t="s">
        <v>3</v>
      </c>
      <c r="L342" t="s">
        <v>1009</v>
      </c>
      <c r="M342" t="s">
        <v>3</v>
      </c>
      <c r="N342" t="s">
        <v>70</v>
      </c>
      <c r="O342" s="25" t="s">
        <v>3824</v>
      </c>
      <c r="P342" s="25">
        <v>1</v>
      </c>
      <c r="Q342" s="25">
        <v>47000</v>
      </c>
      <c r="R342" s="25" t="s">
        <v>26</v>
      </c>
      <c r="S342" s="25" t="s">
        <v>26</v>
      </c>
      <c r="T342" s="25">
        <f t="shared" si="5"/>
        <v>47000</v>
      </c>
    </row>
    <row r="343" spans="1:20">
      <c r="A343" t="s">
        <v>1010</v>
      </c>
      <c r="B343">
        <v>45861</v>
      </c>
      <c r="C343" t="s">
        <v>93</v>
      </c>
      <c r="D343" t="s">
        <v>111</v>
      </c>
      <c r="E343" t="s">
        <v>116</v>
      </c>
      <c r="F343">
        <v>4000</v>
      </c>
      <c r="G343" t="s">
        <v>25</v>
      </c>
      <c r="H343" t="s">
        <v>1011</v>
      </c>
      <c r="I343" t="s">
        <v>71</v>
      </c>
      <c r="J343">
        <v>46400</v>
      </c>
      <c r="K343" t="s">
        <v>3</v>
      </c>
      <c r="L343" t="s">
        <v>1009</v>
      </c>
      <c r="M343" t="s">
        <v>3</v>
      </c>
      <c r="N343" t="s">
        <v>70</v>
      </c>
      <c r="O343" s="25" t="s">
        <v>3824</v>
      </c>
      <c r="P343" s="25">
        <v>1</v>
      </c>
      <c r="Q343" s="25">
        <v>46400</v>
      </c>
      <c r="R343" s="25" t="s">
        <v>26</v>
      </c>
      <c r="S343" s="25" t="s">
        <v>26</v>
      </c>
      <c r="T343" s="25">
        <f t="shared" si="5"/>
        <v>46400</v>
      </c>
    </row>
    <row r="344" spans="1:20">
      <c r="A344" t="s">
        <v>1012</v>
      </c>
      <c r="B344">
        <v>45861</v>
      </c>
      <c r="C344" t="s">
        <v>93</v>
      </c>
      <c r="D344" t="s">
        <v>111</v>
      </c>
      <c r="E344" t="s">
        <v>119</v>
      </c>
      <c r="F344">
        <v>4000</v>
      </c>
      <c r="G344" t="s">
        <v>25</v>
      </c>
      <c r="H344" t="s">
        <v>1013</v>
      </c>
      <c r="I344" t="s">
        <v>71</v>
      </c>
      <c r="J344">
        <v>48800</v>
      </c>
      <c r="K344" t="s">
        <v>3</v>
      </c>
      <c r="L344" t="s">
        <v>1009</v>
      </c>
      <c r="M344" t="s">
        <v>3</v>
      </c>
      <c r="N344" t="s">
        <v>70</v>
      </c>
      <c r="O344" s="25" t="s">
        <v>3824</v>
      </c>
      <c r="P344" s="25">
        <v>1</v>
      </c>
      <c r="Q344" s="25">
        <v>48800</v>
      </c>
      <c r="R344" s="25" t="s">
        <v>26</v>
      </c>
      <c r="S344" s="25" t="s">
        <v>26</v>
      </c>
      <c r="T344" s="25">
        <f t="shared" si="5"/>
        <v>48800</v>
      </c>
    </row>
    <row r="345" spans="1:20">
      <c r="A345" t="s">
        <v>1014</v>
      </c>
      <c r="B345">
        <v>45861</v>
      </c>
      <c r="C345" t="s">
        <v>93</v>
      </c>
      <c r="D345" t="s">
        <v>111</v>
      </c>
      <c r="E345" t="s">
        <v>170</v>
      </c>
      <c r="F345">
        <v>4000</v>
      </c>
      <c r="G345" t="s">
        <v>25</v>
      </c>
      <c r="H345" t="s">
        <v>1015</v>
      </c>
      <c r="I345" t="s">
        <v>71</v>
      </c>
      <c r="J345">
        <v>45800</v>
      </c>
      <c r="K345" t="s">
        <v>3</v>
      </c>
      <c r="L345" t="s">
        <v>1009</v>
      </c>
      <c r="M345" t="s">
        <v>3</v>
      </c>
      <c r="N345" t="s">
        <v>70</v>
      </c>
      <c r="O345" s="25" t="s">
        <v>3824</v>
      </c>
      <c r="P345" s="25">
        <v>1</v>
      </c>
      <c r="Q345" s="25">
        <v>45800</v>
      </c>
      <c r="R345" s="25" t="s">
        <v>26</v>
      </c>
      <c r="S345" s="25" t="s">
        <v>26</v>
      </c>
      <c r="T345" s="25">
        <f t="shared" si="5"/>
        <v>45800</v>
      </c>
    </row>
    <row r="346" spans="1:20">
      <c r="A346" t="s">
        <v>1016</v>
      </c>
      <c r="B346">
        <v>45861</v>
      </c>
      <c r="C346" t="s">
        <v>93</v>
      </c>
      <c r="D346" t="s">
        <v>111</v>
      </c>
      <c r="E346" t="s">
        <v>122</v>
      </c>
      <c r="F346">
        <v>4000</v>
      </c>
      <c r="G346" t="s">
        <v>25</v>
      </c>
      <c r="H346" t="s">
        <v>1017</v>
      </c>
      <c r="I346" t="s">
        <v>71</v>
      </c>
      <c r="J346">
        <v>47600</v>
      </c>
      <c r="K346" t="s">
        <v>3</v>
      </c>
      <c r="L346" t="s">
        <v>1018</v>
      </c>
      <c r="M346" t="s">
        <v>3</v>
      </c>
      <c r="N346" t="s">
        <v>70</v>
      </c>
      <c r="O346" s="25" t="s">
        <v>3824</v>
      </c>
      <c r="P346" s="25">
        <v>1</v>
      </c>
      <c r="Q346" s="25">
        <v>47600</v>
      </c>
      <c r="R346" s="25" t="s">
        <v>26</v>
      </c>
      <c r="S346" s="25" t="s">
        <v>26</v>
      </c>
      <c r="T346" s="25">
        <f t="shared" si="5"/>
        <v>47600</v>
      </c>
    </row>
    <row r="347" spans="1:20">
      <c r="A347" t="s">
        <v>1019</v>
      </c>
      <c r="B347">
        <v>45861</v>
      </c>
      <c r="C347" t="s">
        <v>126</v>
      </c>
      <c r="D347" t="s">
        <v>88</v>
      </c>
      <c r="E347" t="s">
        <v>127</v>
      </c>
      <c r="F347">
        <v>4020</v>
      </c>
      <c r="G347" t="s">
        <v>30</v>
      </c>
      <c r="H347" t="s">
        <v>1020</v>
      </c>
      <c r="I347" t="s">
        <v>71</v>
      </c>
      <c r="J347">
        <v>44500</v>
      </c>
      <c r="K347" t="s">
        <v>129</v>
      </c>
      <c r="L347" t="s">
        <v>1021</v>
      </c>
      <c r="M347" t="s">
        <v>3</v>
      </c>
      <c r="N347" t="s">
        <v>70</v>
      </c>
      <c r="O347" s="25" t="s">
        <v>3824</v>
      </c>
      <c r="P347" s="25">
        <v>1</v>
      </c>
      <c r="Q347" s="25">
        <v>44500</v>
      </c>
      <c r="R347" s="25" t="s">
        <v>26</v>
      </c>
      <c r="S347" s="25" t="s">
        <v>26</v>
      </c>
      <c r="T347" s="25">
        <f t="shared" si="5"/>
        <v>44500</v>
      </c>
    </row>
    <row r="348" spans="1:20">
      <c r="A348" t="s">
        <v>1022</v>
      </c>
      <c r="B348">
        <v>45861</v>
      </c>
      <c r="C348" t="s">
        <v>126</v>
      </c>
      <c r="D348" t="s">
        <v>88</v>
      </c>
      <c r="E348" t="s">
        <v>132</v>
      </c>
      <c r="F348">
        <v>4020</v>
      </c>
      <c r="G348" t="s">
        <v>30</v>
      </c>
      <c r="H348" t="s">
        <v>1023</v>
      </c>
      <c r="I348" t="s">
        <v>71</v>
      </c>
      <c r="J348">
        <v>50500</v>
      </c>
      <c r="K348" t="s">
        <v>134</v>
      </c>
      <c r="L348" t="s">
        <v>1021</v>
      </c>
      <c r="M348" t="s">
        <v>3</v>
      </c>
      <c r="N348" t="s">
        <v>70</v>
      </c>
      <c r="O348" s="25" t="s">
        <v>3824</v>
      </c>
      <c r="P348" s="25">
        <v>1</v>
      </c>
      <c r="Q348" s="25">
        <v>50500</v>
      </c>
      <c r="R348" s="25" t="s">
        <v>26</v>
      </c>
      <c r="S348" s="25" t="s">
        <v>26</v>
      </c>
      <c r="T348" s="25">
        <f t="shared" si="5"/>
        <v>50500</v>
      </c>
    </row>
    <row r="349" spans="1:20">
      <c r="A349" t="s">
        <v>1024</v>
      </c>
      <c r="B349">
        <v>45861</v>
      </c>
      <c r="C349" t="s">
        <v>126</v>
      </c>
      <c r="D349" t="s">
        <v>88</v>
      </c>
      <c r="E349" t="s">
        <v>136</v>
      </c>
      <c r="F349">
        <v>4020</v>
      </c>
      <c r="G349" t="s">
        <v>30</v>
      </c>
      <c r="H349" t="s">
        <v>1025</v>
      </c>
      <c r="I349" t="s">
        <v>71</v>
      </c>
      <c r="J349">
        <v>42600</v>
      </c>
      <c r="K349" t="s">
        <v>138</v>
      </c>
      <c r="L349" t="s">
        <v>1021</v>
      </c>
      <c r="M349" t="s">
        <v>3</v>
      </c>
      <c r="N349" t="s">
        <v>70</v>
      </c>
      <c r="O349" s="25" t="s">
        <v>3824</v>
      </c>
      <c r="P349" s="25">
        <v>1</v>
      </c>
      <c r="Q349" s="25">
        <v>42600</v>
      </c>
      <c r="R349" s="25" t="s">
        <v>26</v>
      </c>
      <c r="S349" s="25" t="s">
        <v>26</v>
      </c>
      <c r="T349" s="25">
        <f t="shared" si="5"/>
        <v>42600</v>
      </c>
    </row>
    <row r="350" spans="1:20">
      <c r="A350" t="s">
        <v>1026</v>
      </c>
      <c r="B350">
        <v>45861</v>
      </c>
      <c r="C350" t="s">
        <v>126</v>
      </c>
      <c r="D350" t="s">
        <v>88</v>
      </c>
      <c r="E350" t="s">
        <v>140</v>
      </c>
      <c r="F350">
        <v>4020</v>
      </c>
      <c r="G350" t="s">
        <v>30</v>
      </c>
      <c r="H350" t="s">
        <v>1027</v>
      </c>
      <c r="I350" t="s">
        <v>71</v>
      </c>
      <c r="J350">
        <v>42400</v>
      </c>
      <c r="K350" t="s">
        <v>3</v>
      </c>
      <c r="L350" t="s">
        <v>1028</v>
      </c>
      <c r="M350" t="s">
        <v>3</v>
      </c>
      <c r="N350" t="s">
        <v>70</v>
      </c>
      <c r="O350" s="25" t="s">
        <v>3824</v>
      </c>
      <c r="P350" s="25">
        <v>1</v>
      </c>
      <c r="Q350" s="25">
        <v>42400</v>
      </c>
      <c r="R350" s="25" t="s">
        <v>26</v>
      </c>
      <c r="S350" s="25" t="s">
        <v>26</v>
      </c>
      <c r="T350" s="25">
        <f t="shared" si="5"/>
        <v>42400</v>
      </c>
    </row>
    <row r="351" spans="1:20">
      <c r="A351" t="s">
        <v>1029</v>
      </c>
      <c r="B351">
        <v>45861</v>
      </c>
      <c r="C351" t="s">
        <v>87</v>
      </c>
      <c r="D351" t="s">
        <v>94</v>
      </c>
      <c r="E351" t="s">
        <v>3</v>
      </c>
      <c r="F351">
        <v>5000</v>
      </c>
      <c r="G351" t="s">
        <v>34</v>
      </c>
      <c r="H351" t="s">
        <v>315</v>
      </c>
      <c r="I351" t="s">
        <v>71</v>
      </c>
      <c r="J351">
        <v>-557000</v>
      </c>
      <c r="K351" t="s">
        <v>316</v>
      </c>
      <c r="L351" t="s">
        <v>1030</v>
      </c>
      <c r="M351" t="s">
        <v>3</v>
      </c>
      <c r="N351" t="s">
        <v>70</v>
      </c>
      <c r="O351" s="25" t="s">
        <v>3824</v>
      </c>
      <c r="P351" s="25">
        <v>1</v>
      </c>
      <c r="Q351" s="25">
        <v>-557000</v>
      </c>
      <c r="R351" s="25" t="s">
        <v>35</v>
      </c>
      <c r="S351" s="25" t="s">
        <v>35</v>
      </c>
      <c r="T351" s="25">
        <f t="shared" si="5"/>
        <v>-557000</v>
      </c>
    </row>
    <row r="352" spans="1:20">
      <c r="A352" t="s">
        <v>1031</v>
      </c>
      <c r="B352">
        <v>45862</v>
      </c>
      <c r="C352" t="s">
        <v>93</v>
      </c>
      <c r="D352" t="s">
        <v>94</v>
      </c>
      <c r="E352" t="s">
        <v>99</v>
      </c>
      <c r="F352">
        <v>4000</v>
      </c>
      <c r="G352" t="s">
        <v>25</v>
      </c>
      <c r="H352" t="s">
        <v>1032</v>
      </c>
      <c r="I352" t="s">
        <v>71</v>
      </c>
      <c r="J352">
        <v>27800</v>
      </c>
      <c r="K352" t="s">
        <v>3</v>
      </c>
      <c r="L352" t="s">
        <v>1033</v>
      </c>
      <c r="M352" t="s">
        <v>3</v>
      </c>
      <c r="N352" t="s">
        <v>70</v>
      </c>
      <c r="O352" s="25" t="s">
        <v>3824</v>
      </c>
      <c r="P352" s="25">
        <v>1</v>
      </c>
      <c r="Q352" s="25">
        <v>27800</v>
      </c>
      <c r="R352" s="25" t="s">
        <v>26</v>
      </c>
      <c r="S352" s="25" t="s">
        <v>26</v>
      </c>
      <c r="T352" s="25">
        <f t="shared" si="5"/>
        <v>27800</v>
      </c>
    </row>
    <row r="353" spans="1:20">
      <c r="A353" t="s">
        <v>1034</v>
      </c>
      <c r="B353">
        <v>45862</v>
      </c>
      <c r="C353" t="s">
        <v>93</v>
      </c>
      <c r="D353" t="s">
        <v>94</v>
      </c>
      <c r="E353" t="s">
        <v>103</v>
      </c>
      <c r="F353">
        <v>4000</v>
      </c>
      <c r="G353" t="s">
        <v>25</v>
      </c>
      <c r="H353" t="s">
        <v>1035</v>
      </c>
      <c r="I353" t="s">
        <v>71</v>
      </c>
      <c r="J353">
        <v>26700</v>
      </c>
      <c r="K353" t="s">
        <v>3</v>
      </c>
      <c r="L353" t="s">
        <v>1036</v>
      </c>
      <c r="M353" t="s">
        <v>3</v>
      </c>
      <c r="N353" t="s">
        <v>70</v>
      </c>
      <c r="O353" s="25" t="s">
        <v>3824</v>
      </c>
      <c r="P353" s="25">
        <v>1</v>
      </c>
      <c r="Q353" s="25">
        <v>26700</v>
      </c>
      <c r="R353" s="25" t="s">
        <v>26</v>
      </c>
      <c r="S353" s="25" t="s">
        <v>26</v>
      </c>
      <c r="T353" s="25">
        <f t="shared" si="5"/>
        <v>26700</v>
      </c>
    </row>
    <row r="354" spans="1:20">
      <c r="A354" t="s">
        <v>1037</v>
      </c>
      <c r="B354">
        <v>45862</v>
      </c>
      <c r="C354" t="s">
        <v>93</v>
      </c>
      <c r="D354" t="s">
        <v>94</v>
      </c>
      <c r="E354" t="s">
        <v>107</v>
      </c>
      <c r="F354">
        <v>4000</v>
      </c>
      <c r="G354" t="s">
        <v>25</v>
      </c>
      <c r="H354" t="s">
        <v>1038</v>
      </c>
      <c r="I354" t="s">
        <v>71</v>
      </c>
      <c r="J354">
        <v>26500</v>
      </c>
      <c r="K354" t="s">
        <v>3</v>
      </c>
      <c r="L354" t="s">
        <v>1039</v>
      </c>
      <c r="M354" t="s">
        <v>3</v>
      </c>
      <c r="N354" t="s">
        <v>70</v>
      </c>
      <c r="O354" s="25" t="s">
        <v>3824</v>
      </c>
      <c r="P354" s="25">
        <v>1</v>
      </c>
      <c r="Q354" s="25">
        <v>26500</v>
      </c>
      <c r="R354" s="25" t="s">
        <v>26</v>
      </c>
      <c r="S354" s="25" t="s">
        <v>26</v>
      </c>
      <c r="T354" s="25">
        <f t="shared" si="5"/>
        <v>26500</v>
      </c>
    </row>
    <row r="355" spans="1:20">
      <c r="A355" t="s">
        <v>1040</v>
      </c>
      <c r="B355">
        <v>45862</v>
      </c>
      <c r="C355" t="s">
        <v>93</v>
      </c>
      <c r="D355" t="s">
        <v>111</v>
      </c>
      <c r="E355" t="s">
        <v>116</v>
      </c>
      <c r="F355">
        <v>4000</v>
      </c>
      <c r="G355" t="s">
        <v>25</v>
      </c>
      <c r="H355" t="s">
        <v>1041</v>
      </c>
      <c r="I355" t="s">
        <v>71</v>
      </c>
      <c r="J355">
        <v>49500</v>
      </c>
      <c r="K355" t="s">
        <v>3</v>
      </c>
      <c r="L355" t="s">
        <v>1042</v>
      </c>
      <c r="M355" t="s">
        <v>3</v>
      </c>
      <c r="N355" t="s">
        <v>70</v>
      </c>
      <c r="O355" s="25" t="s">
        <v>3824</v>
      </c>
      <c r="P355" s="25">
        <v>1</v>
      </c>
      <c r="Q355" s="25">
        <v>49500</v>
      </c>
      <c r="R355" s="25" t="s">
        <v>26</v>
      </c>
      <c r="S355" s="25" t="s">
        <v>26</v>
      </c>
      <c r="T355" s="25">
        <f t="shared" si="5"/>
        <v>49500</v>
      </c>
    </row>
    <row r="356" spans="1:20">
      <c r="A356" t="s">
        <v>1043</v>
      </c>
      <c r="B356">
        <v>45862</v>
      </c>
      <c r="C356" t="s">
        <v>93</v>
      </c>
      <c r="D356" t="s">
        <v>111</v>
      </c>
      <c r="E356" t="s">
        <v>119</v>
      </c>
      <c r="F356">
        <v>4000</v>
      </c>
      <c r="G356" t="s">
        <v>25</v>
      </c>
      <c r="H356" t="s">
        <v>1044</v>
      </c>
      <c r="I356" t="s">
        <v>71</v>
      </c>
      <c r="J356">
        <v>46400</v>
      </c>
      <c r="K356" t="s">
        <v>3</v>
      </c>
      <c r="L356" t="s">
        <v>1042</v>
      </c>
      <c r="M356" t="s">
        <v>3</v>
      </c>
      <c r="N356" t="s">
        <v>70</v>
      </c>
      <c r="O356" s="25" t="s">
        <v>3824</v>
      </c>
      <c r="P356" s="25">
        <v>1</v>
      </c>
      <c r="Q356" s="25">
        <v>46400</v>
      </c>
      <c r="R356" s="25" t="s">
        <v>26</v>
      </c>
      <c r="S356" s="25" t="s">
        <v>26</v>
      </c>
      <c r="T356" s="25">
        <f t="shared" si="5"/>
        <v>46400</v>
      </c>
    </row>
    <row r="357" spans="1:20">
      <c r="A357" t="s">
        <v>1045</v>
      </c>
      <c r="B357">
        <v>45862</v>
      </c>
      <c r="C357" t="s">
        <v>93</v>
      </c>
      <c r="D357" t="s">
        <v>111</v>
      </c>
      <c r="E357" t="s">
        <v>170</v>
      </c>
      <c r="F357">
        <v>4000</v>
      </c>
      <c r="G357" t="s">
        <v>25</v>
      </c>
      <c r="H357" t="s">
        <v>1046</v>
      </c>
      <c r="I357" t="s">
        <v>71</v>
      </c>
      <c r="J357">
        <v>47300</v>
      </c>
      <c r="K357" t="s">
        <v>3</v>
      </c>
      <c r="L357" t="s">
        <v>1042</v>
      </c>
      <c r="M357" t="s">
        <v>3</v>
      </c>
      <c r="N357" t="s">
        <v>70</v>
      </c>
      <c r="O357" s="25" t="s">
        <v>3824</v>
      </c>
      <c r="P357" s="25">
        <v>1</v>
      </c>
      <c r="Q357" s="25">
        <v>47300</v>
      </c>
      <c r="R357" s="25" t="s">
        <v>26</v>
      </c>
      <c r="S357" s="25" t="s">
        <v>26</v>
      </c>
      <c r="T357" s="25">
        <f t="shared" si="5"/>
        <v>47300</v>
      </c>
    </row>
    <row r="358" spans="1:20">
      <c r="A358" t="s">
        <v>1047</v>
      </c>
      <c r="B358">
        <v>45862</v>
      </c>
      <c r="C358" t="s">
        <v>93</v>
      </c>
      <c r="D358" t="s">
        <v>111</v>
      </c>
      <c r="E358" t="s">
        <v>122</v>
      </c>
      <c r="F358">
        <v>4000</v>
      </c>
      <c r="G358" t="s">
        <v>25</v>
      </c>
      <c r="H358" t="s">
        <v>1048</v>
      </c>
      <c r="I358" t="s">
        <v>71</v>
      </c>
      <c r="J358">
        <v>45100</v>
      </c>
      <c r="K358" t="s">
        <v>3</v>
      </c>
      <c r="L358" t="s">
        <v>1049</v>
      </c>
      <c r="M358" t="s">
        <v>3</v>
      </c>
      <c r="N358" t="s">
        <v>70</v>
      </c>
      <c r="O358" s="25" t="s">
        <v>3824</v>
      </c>
      <c r="P358" s="25">
        <v>1</v>
      </c>
      <c r="Q358" s="25">
        <v>45100</v>
      </c>
      <c r="R358" s="25" t="s">
        <v>26</v>
      </c>
      <c r="S358" s="25" t="s">
        <v>26</v>
      </c>
      <c r="T358" s="25">
        <f t="shared" si="5"/>
        <v>45100</v>
      </c>
    </row>
    <row r="359" spans="1:20">
      <c r="A359" t="s">
        <v>1050</v>
      </c>
      <c r="B359">
        <v>45862</v>
      </c>
      <c r="C359" t="s">
        <v>126</v>
      </c>
      <c r="D359" t="s">
        <v>88</v>
      </c>
      <c r="E359" t="s">
        <v>127</v>
      </c>
      <c r="F359">
        <v>4020</v>
      </c>
      <c r="G359" t="s">
        <v>30</v>
      </c>
      <c r="H359" t="s">
        <v>1051</v>
      </c>
      <c r="I359" t="s">
        <v>72</v>
      </c>
      <c r="J359">
        <v>29.41</v>
      </c>
      <c r="K359" t="s">
        <v>129</v>
      </c>
      <c r="L359" t="s">
        <v>1052</v>
      </c>
      <c r="M359" t="s">
        <v>3</v>
      </c>
      <c r="N359" t="s">
        <v>70</v>
      </c>
      <c r="O359" s="25" t="s">
        <v>3825</v>
      </c>
      <c r="P359" s="25">
        <v>1530</v>
      </c>
      <c r="Q359" s="25">
        <v>44997.3</v>
      </c>
      <c r="R359" s="25" t="s">
        <v>26</v>
      </c>
      <c r="S359" s="25" t="s">
        <v>26</v>
      </c>
      <c r="T359" s="25">
        <f t="shared" si="5"/>
        <v>44997.3</v>
      </c>
    </row>
    <row r="360" spans="1:20">
      <c r="A360" t="s">
        <v>1053</v>
      </c>
      <c r="B360">
        <v>45862</v>
      </c>
      <c r="C360" t="s">
        <v>126</v>
      </c>
      <c r="D360" t="s">
        <v>88</v>
      </c>
      <c r="E360" t="s">
        <v>132</v>
      </c>
      <c r="F360">
        <v>4020</v>
      </c>
      <c r="G360" t="s">
        <v>30</v>
      </c>
      <c r="H360" t="s">
        <v>1054</v>
      </c>
      <c r="I360" t="s">
        <v>72</v>
      </c>
      <c r="J360">
        <v>26.99</v>
      </c>
      <c r="K360" t="s">
        <v>134</v>
      </c>
      <c r="L360" t="s">
        <v>1052</v>
      </c>
      <c r="M360" t="s">
        <v>3</v>
      </c>
      <c r="N360" t="s">
        <v>70</v>
      </c>
      <c r="O360" s="25" t="s">
        <v>3825</v>
      </c>
      <c r="P360" s="25">
        <v>1530</v>
      </c>
      <c r="Q360" s="25">
        <v>41294.699999999997</v>
      </c>
      <c r="R360" s="25" t="s">
        <v>26</v>
      </c>
      <c r="S360" s="25" t="s">
        <v>26</v>
      </c>
      <c r="T360" s="25">
        <f t="shared" si="5"/>
        <v>41294.699999999997</v>
      </c>
    </row>
    <row r="361" spans="1:20">
      <c r="A361" t="s">
        <v>1055</v>
      </c>
      <c r="B361">
        <v>45862</v>
      </c>
      <c r="C361" t="s">
        <v>126</v>
      </c>
      <c r="D361" t="s">
        <v>88</v>
      </c>
      <c r="E361" t="s">
        <v>136</v>
      </c>
      <c r="F361">
        <v>4020</v>
      </c>
      <c r="G361" t="s">
        <v>30</v>
      </c>
      <c r="H361" t="s">
        <v>1056</v>
      </c>
      <c r="I361" t="s">
        <v>71</v>
      </c>
      <c r="J361">
        <v>49200</v>
      </c>
      <c r="K361" t="s">
        <v>138</v>
      </c>
      <c r="L361" t="s">
        <v>1052</v>
      </c>
      <c r="M361" t="s">
        <v>3</v>
      </c>
      <c r="N361" t="s">
        <v>70</v>
      </c>
      <c r="O361" s="25" t="s">
        <v>3824</v>
      </c>
      <c r="P361" s="25">
        <v>1</v>
      </c>
      <c r="Q361" s="25">
        <v>49200</v>
      </c>
      <c r="R361" s="25" t="s">
        <v>26</v>
      </c>
      <c r="S361" s="25" t="s">
        <v>26</v>
      </c>
      <c r="T361" s="25">
        <f t="shared" si="5"/>
        <v>49200</v>
      </c>
    </row>
    <row r="362" spans="1:20">
      <c r="A362" t="s">
        <v>1057</v>
      </c>
      <c r="B362">
        <v>45862</v>
      </c>
      <c r="C362" t="s">
        <v>126</v>
      </c>
      <c r="D362" t="s">
        <v>88</v>
      </c>
      <c r="E362" t="s">
        <v>140</v>
      </c>
      <c r="F362">
        <v>4020</v>
      </c>
      <c r="G362" t="s">
        <v>30</v>
      </c>
      <c r="H362" t="s">
        <v>1058</v>
      </c>
      <c r="I362" t="s">
        <v>71</v>
      </c>
      <c r="J362">
        <v>45300</v>
      </c>
      <c r="K362" t="s">
        <v>3</v>
      </c>
      <c r="L362" t="s">
        <v>1059</v>
      </c>
      <c r="M362" t="s">
        <v>3</v>
      </c>
      <c r="N362" t="s">
        <v>70</v>
      </c>
      <c r="O362" s="25" t="s">
        <v>3824</v>
      </c>
      <c r="P362" s="25">
        <v>1</v>
      </c>
      <c r="Q362" s="25">
        <v>45300</v>
      </c>
      <c r="R362" s="25" t="s">
        <v>26</v>
      </c>
      <c r="S362" s="25" t="s">
        <v>26</v>
      </c>
      <c r="T362" s="25">
        <f t="shared" si="5"/>
        <v>45300</v>
      </c>
    </row>
    <row r="363" spans="1:20">
      <c r="A363" t="s">
        <v>1060</v>
      </c>
      <c r="B363">
        <v>45862</v>
      </c>
      <c r="C363" t="s">
        <v>87</v>
      </c>
      <c r="D363" t="s">
        <v>94</v>
      </c>
      <c r="E363" t="s">
        <v>3</v>
      </c>
      <c r="F363">
        <v>5000</v>
      </c>
      <c r="G363" t="s">
        <v>34</v>
      </c>
      <c r="H363" t="s">
        <v>315</v>
      </c>
      <c r="I363" t="s">
        <v>71</v>
      </c>
      <c r="J363">
        <v>-627000</v>
      </c>
      <c r="K363" t="s">
        <v>316</v>
      </c>
      <c r="L363" t="s">
        <v>1061</v>
      </c>
      <c r="M363" t="s">
        <v>3</v>
      </c>
      <c r="N363" t="s">
        <v>70</v>
      </c>
      <c r="O363" s="25" t="s">
        <v>3824</v>
      </c>
      <c r="P363" s="25">
        <v>1</v>
      </c>
      <c r="Q363" s="25">
        <v>-627000</v>
      </c>
      <c r="R363" s="25" t="s">
        <v>35</v>
      </c>
      <c r="S363" s="25" t="s">
        <v>35</v>
      </c>
      <c r="T363" s="25">
        <f t="shared" si="5"/>
        <v>-627000</v>
      </c>
    </row>
    <row r="364" spans="1:20">
      <c r="A364" t="s">
        <v>1062</v>
      </c>
      <c r="B364">
        <v>45862</v>
      </c>
      <c r="C364" t="s">
        <v>87</v>
      </c>
      <c r="D364" t="s">
        <v>111</v>
      </c>
      <c r="E364" t="s">
        <v>3</v>
      </c>
      <c r="F364">
        <v>5010</v>
      </c>
      <c r="G364" t="s">
        <v>37</v>
      </c>
      <c r="H364" t="s">
        <v>144</v>
      </c>
      <c r="I364" t="s">
        <v>71</v>
      </c>
      <c r="J364">
        <v>-2367000</v>
      </c>
      <c r="K364" t="s">
        <v>145</v>
      </c>
      <c r="L364" t="s">
        <v>1063</v>
      </c>
      <c r="M364" t="s">
        <v>3</v>
      </c>
      <c r="N364" t="s">
        <v>70</v>
      </c>
      <c r="O364" s="25" t="s">
        <v>3824</v>
      </c>
      <c r="P364" s="25">
        <v>1</v>
      </c>
      <c r="Q364" s="25">
        <v>-2367000</v>
      </c>
      <c r="R364" s="25" t="s">
        <v>35</v>
      </c>
      <c r="S364" s="25" t="s">
        <v>35</v>
      </c>
      <c r="T364" s="25">
        <f t="shared" si="5"/>
        <v>-2367000</v>
      </c>
    </row>
    <row r="365" spans="1:20">
      <c r="A365" t="s">
        <v>1064</v>
      </c>
      <c r="B365">
        <v>45862</v>
      </c>
      <c r="C365" t="s">
        <v>87</v>
      </c>
      <c r="D365" t="s">
        <v>111</v>
      </c>
      <c r="E365" t="s">
        <v>3</v>
      </c>
      <c r="F365">
        <v>5010</v>
      </c>
      <c r="G365" t="s">
        <v>37</v>
      </c>
      <c r="H365" t="s">
        <v>986</v>
      </c>
      <c r="I365" t="s">
        <v>71</v>
      </c>
      <c r="J365">
        <v>-926000</v>
      </c>
      <c r="K365" t="s">
        <v>987</v>
      </c>
      <c r="L365" t="s">
        <v>1065</v>
      </c>
      <c r="M365" t="s">
        <v>3</v>
      </c>
      <c r="N365" t="s">
        <v>70</v>
      </c>
      <c r="O365" s="25" t="s">
        <v>3824</v>
      </c>
      <c r="P365" s="25">
        <v>1</v>
      </c>
      <c r="Q365" s="25">
        <v>-926000</v>
      </c>
      <c r="R365" s="25" t="s">
        <v>35</v>
      </c>
      <c r="S365" s="25" t="s">
        <v>35</v>
      </c>
      <c r="T365" s="25">
        <f t="shared" si="5"/>
        <v>-926000</v>
      </c>
    </row>
    <row r="366" spans="1:20">
      <c r="A366" t="s">
        <v>1066</v>
      </c>
      <c r="B366">
        <v>45862</v>
      </c>
      <c r="C366" t="s">
        <v>87</v>
      </c>
      <c r="D366" t="s">
        <v>88</v>
      </c>
      <c r="E366" t="s">
        <v>3</v>
      </c>
      <c r="F366">
        <v>5030</v>
      </c>
      <c r="G366" t="s">
        <v>41</v>
      </c>
      <c r="H366" t="s">
        <v>148</v>
      </c>
      <c r="I366" t="s">
        <v>71</v>
      </c>
      <c r="J366">
        <v>-542000</v>
      </c>
      <c r="K366" t="s">
        <v>90</v>
      </c>
      <c r="L366" t="s">
        <v>1067</v>
      </c>
      <c r="M366" t="s">
        <v>3</v>
      </c>
      <c r="N366" t="s">
        <v>70</v>
      </c>
      <c r="O366" s="25" t="s">
        <v>3824</v>
      </c>
      <c r="P366" s="25">
        <v>1</v>
      </c>
      <c r="Q366" s="25">
        <v>-542000</v>
      </c>
      <c r="R366" s="25" t="s">
        <v>35</v>
      </c>
      <c r="S366" s="25" t="s">
        <v>35</v>
      </c>
      <c r="T366" s="25">
        <f t="shared" si="5"/>
        <v>-542000</v>
      </c>
    </row>
    <row r="367" spans="1:20">
      <c r="A367" t="s">
        <v>1068</v>
      </c>
      <c r="B367">
        <v>45863</v>
      </c>
      <c r="C367" t="s">
        <v>93</v>
      </c>
      <c r="D367" t="s">
        <v>94</v>
      </c>
      <c r="E367" t="s">
        <v>95</v>
      </c>
      <c r="F367">
        <v>4000</v>
      </c>
      <c r="G367" t="s">
        <v>25</v>
      </c>
      <c r="H367" t="s">
        <v>1069</v>
      </c>
      <c r="I367" t="s">
        <v>71</v>
      </c>
      <c r="J367">
        <v>28900</v>
      </c>
      <c r="K367" t="s">
        <v>3</v>
      </c>
      <c r="L367" t="s">
        <v>1070</v>
      </c>
      <c r="M367" t="s">
        <v>3</v>
      </c>
      <c r="N367" t="s">
        <v>70</v>
      </c>
      <c r="O367" s="25" t="s">
        <v>3824</v>
      </c>
      <c r="P367" s="25">
        <v>1</v>
      </c>
      <c r="Q367" s="25">
        <v>28900</v>
      </c>
      <c r="R367" s="25" t="s">
        <v>26</v>
      </c>
      <c r="S367" s="25" t="s">
        <v>26</v>
      </c>
      <c r="T367" s="25">
        <f t="shared" si="5"/>
        <v>28900</v>
      </c>
    </row>
    <row r="368" spans="1:20">
      <c r="A368" t="s">
        <v>1071</v>
      </c>
      <c r="B368">
        <v>45863</v>
      </c>
      <c r="C368" t="s">
        <v>93</v>
      </c>
      <c r="D368" t="s">
        <v>94</v>
      </c>
      <c r="E368" t="s">
        <v>99</v>
      </c>
      <c r="F368">
        <v>4000</v>
      </c>
      <c r="G368" t="s">
        <v>25</v>
      </c>
      <c r="H368" t="s">
        <v>1072</v>
      </c>
      <c r="I368" t="s">
        <v>71</v>
      </c>
      <c r="J368">
        <v>27000</v>
      </c>
      <c r="K368" t="s">
        <v>3</v>
      </c>
      <c r="L368" t="s">
        <v>1073</v>
      </c>
      <c r="M368" t="s">
        <v>3</v>
      </c>
      <c r="N368" t="s">
        <v>70</v>
      </c>
      <c r="O368" s="25" t="s">
        <v>3824</v>
      </c>
      <c r="P368" s="25">
        <v>1</v>
      </c>
      <c r="Q368" s="25">
        <v>27000</v>
      </c>
      <c r="R368" s="25" t="s">
        <v>26</v>
      </c>
      <c r="S368" s="25" t="s">
        <v>26</v>
      </c>
      <c r="T368" s="25">
        <f t="shared" si="5"/>
        <v>27000</v>
      </c>
    </row>
    <row r="369" spans="1:20">
      <c r="A369" t="s">
        <v>1074</v>
      </c>
      <c r="B369">
        <v>45863</v>
      </c>
      <c r="C369" t="s">
        <v>93</v>
      </c>
      <c r="D369" t="s">
        <v>94</v>
      </c>
      <c r="E369" t="s">
        <v>103</v>
      </c>
      <c r="F369">
        <v>4000</v>
      </c>
      <c r="G369" t="s">
        <v>25</v>
      </c>
      <c r="H369" t="s">
        <v>1075</v>
      </c>
      <c r="I369" t="s">
        <v>71</v>
      </c>
      <c r="J369">
        <v>30900</v>
      </c>
      <c r="K369" t="s">
        <v>3</v>
      </c>
      <c r="L369" t="s">
        <v>1076</v>
      </c>
      <c r="M369" t="s">
        <v>3</v>
      </c>
      <c r="N369" t="s">
        <v>70</v>
      </c>
      <c r="O369" s="25" t="s">
        <v>3824</v>
      </c>
      <c r="P369" s="25">
        <v>1</v>
      </c>
      <c r="Q369" s="25">
        <v>30900</v>
      </c>
      <c r="R369" s="25" t="s">
        <v>26</v>
      </c>
      <c r="S369" s="25" t="s">
        <v>26</v>
      </c>
      <c r="T369" s="25">
        <f t="shared" si="5"/>
        <v>30900</v>
      </c>
    </row>
    <row r="370" spans="1:20">
      <c r="A370" t="s">
        <v>1077</v>
      </c>
      <c r="B370">
        <v>45863</v>
      </c>
      <c r="C370" t="s">
        <v>93</v>
      </c>
      <c r="D370" t="s">
        <v>94</v>
      </c>
      <c r="E370" t="s">
        <v>160</v>
      </c>
      <c r="F370">
        <v>4000</v>
      </c>
      <c r="G370" t="s">
        <v>25</v>
      </c>
      <c r="H370" t="s">
        <v>1078</v>
      </c>
      <c r="I370" t="s">
        <v>71</v>
      </c>
      <c r="J370">
        <v>31300</v>
      </c>
      <c r="K370" t="s">
        <v>3</v>
      </c>
      <c r="L370" t="s">
        <v>1076</v>
      </c>
      <c r="M370" t="s">
        <v>3</v>
      </c>
      <c r="N370" t="s">
        <v>70</v>
      </c>
      <c r="O370" s="25" t="s">
        <v>3824</v>
      </c>
      <c r="P370" s="25">
        <v>1</v>
      </c>
      <c r="Q370" s="25">
        <v>31300</v>
      </c>
      <c r="R370" s="25" t="s">
        <v>26</v>
      </c>
      <c r="S370" s="25" t="s">
        <v>26</v>
      </c>
      <c r="T370" s="25">
        <f t="shared" si="5"/>
        <v>31300</v>
      </c>
    </row>
    <row r="371" spans="1:20">
      <c r="A371" t="s">
        <v>1079</v>
      </c>
      <c r="B371">
        <v>45863</v>
      </c>
      <c r="C371" t="s">
        <v>93</v>
      </c>
      <c r="D371" t="s">
        <v>94</v>
      </c>
      <c r="E371" t="s">
        <v>107</v>
      </c>
      <c r="F371">
        <v>4000</v>
      </c>
      <c r="G371" t="s">
        <v>25</v>
      </c>
      <c r="H371" t="s">
        <v>1080</v>
      </c>
      <c r="I371" t="s">
        <v>71</v>
      </c>
      <c r="J371">
        <v>30300</v>
      </c>
      <c r="K371" t="s">
        <v>3</v>
      </c>
      <c r="L371" t="s">
        <v>1081</v>
      </c>
      <c r="M371" t="s">
        <v>3</v>
      </c>
      <c r="N371" t="s">
        <v>70</v>
      </c>
      <c r="O371" s="25" t="s">
        <v>3824</v>
      </c>
      <c r="P371" s="25">
        <v>1</v>
      </c>
      <c r="Q371" s="25">
        <v>30300</v>
      </c>
      <c r="R371" s="25" t="s">
        <v>26</v>
      </c>
      <c r="S371" s="25" t="s">
        <v>26</v>
      </c>
      <c r="T371" s="25">
        <f t="shared" si="5"/>
        <v>30300</v>
      </c>
    </row>
    <row r="372" spans="1:20">
      <c r="A372" t="s">
        <v>1082</v>
      </c>
      <c r="B372">
        <v>45863</v>
      </c>
      <c r="C372" t="s">
        <v>93</v>
      </c>
      <c r="D372" t="s">
        <v>111</v>
      </c>
      <c r="E372" t="s">
        <v>112</v>
      </c>
      <c r="F372">
        <v>4000</v>
      </c>
      <c r="G372" t="s">
        <v>25</v>
      </c>
      <c r="H372" t="s">
        <v>1083</v>
      </c>
      <c r="I372" t="s">
        <v>71</v>
      </c>
      <c r="J372">
        <v>48100</v>
      </c>
      <c r="K372" t="s">
        <v>3</v>
      </c>
      <c r="L372" t="s">
        <v>1084</v>
      </c>
      <c r="M372" t="s">
        <v>3</v>
      </c>
      <c r="N372" t="s">
        <v>70</v>
      </c>
      <c r="O372" s="25" t="s">
        <v>3824</v>
      </c>
      <c r="P372" s="25">
        <v>1</v>
      </c>
      <c r="Q372" s="25">
        <v>48100</v>
      </c>
      <c r="R372" s="25" t="s">
        <v>26</v>
      </c>
      <c r="S372" s="25" t="s">
        <v>26</v>
      </c>
      <c r="T372" s="25">
        <f t="shared" si="5"/>
        <v>48100</v>
      </c>
    </row>
    <row r="373" spans="1:20">
      <c r="A373" t="s">
        <v>1085</v>
      </c>
      <c r="B373">
        <v>45863</v>
      </c>
      <c r="C373" t="s">
        <v>93</v>
      </c>
      <c r="D373" t="s">
        <v>111</v>
      </c>
      <c r="E373" t="s">
        <v>116</v>
      </c>
      <c r="F373">
        <v>4000</v>
      </c>
      <c r="G373" t="s">
        <v>25</v>
      </c>
      <c r="H373" t="s">
        <v>1086</v>
      </c>
      <c r="I373" t="s">
        <v>71</v>
      </c>
      <c r="J373">
        <v>48600</v>
      </c>
      <c r="K373" t="s">
        <v>3</v>
      </c>
      <c r="L373" t="s">
        <v>1084</v>
      </c>
      <c r="M373" t="s">
        <v>3</v>
      </c>
      <c r="N373" t="s">
        <v>70</v>
      </c>
      <c r="O373" s="25" t="s">
        <v>3824</v>
      </c>
      <c r="P373" s="25">
        <v>1</v>
      </c>
      <c r="Q373" s="25">
        <v>48600</v>
      </c>
      <c r="R373" s="25" t="s">
        <v>26</v>
      </c>
      <c r="S373" s="25" t="s">
        <v>26</v>
      </c>
      <c r="T373" s="25">
        <f t="shared" si="5"/>
        <v>48600</v>
      </c>
    </row>
    <row r="374" spans="1:20">
      <c r="A374" t="s">
        <v>1087</v>
      </c>
      <c r="B374">
        <v>45863</v>
      </c>
      <c r="C374" t="s">
        <v>93</v>
      </c>
      <c r="D374" t="s">
        <v>111</v>
      </c>
      <c r="E374" t="s">
        <v>119</v>
      </c>
      <c r="F374">
        <v>4000</v>
      </c>
      <c r="G374" t="s">
        <v>25</v>
      </c>
      <c r="H374" t="s">
        <v>1088</v>
      </c>
      <c r="I374" t="s">
        <v>71</v>
      </c>
      <c r="J374">
        <v>46600</v>
      </c>
      <c r="K374" t="s">
        <v>3</v>
      </c>
      <c r="L374" t="s">
        <v>1084</v>
      </c>
      <c r="M374" t="s">
        <v>3</v>
      </c>
      <c r="N374" t="s">
        <v>70</v>
      </c>
      <c r="O374" s="25" t="s">
        <v>3824</v>
      </c>
      <c r="P374" s="25">
        <v>1</v>
      </c>
      <c r="Q374" s="25">
        <v>46600</v>
      </c>
      <c r="R374" s="25" t="s">
        <v>26</v>
      </c>
      <c r="S374" s="25" t="s">
        <v>26</v>
      </c>
      <c r="T374" s="25">
        <f t="shared" si="5"/>
        <v>46600</v>
      </c>
    </row>
    <row r="375" spans="1:20">
      <c r="A375" t="s">
        <v>1089</v>
      </c>
      <c r="B375">
        <v>45863</v>
      </c>
      <c r="C375" t="s">
        <v>93</v>
      </c>
      <c r="D375" t="s">
        <v>111</v>
      </c>
      <c r="E375" t="s">
        <v>170</v>
      </c>
      <c r="F375">
        <v>4000</v>
      </c>
      <c r="G375" t="s">
        <v>25</v>
      </c>
      <c r="H375" t="s">
        <v>1090</v>
      </c>
      <c r="I375" t="s">
        <v>71</v>
      </c>
      <c r="J375">
        <v>45300</v>
      </c>
      <c r="K375" t="s">
        <v>3</v>
      </c>
      <c r="L375" t="s">
        <v>1084</v>
      </c>
      <c r="M375" t="s">
        <v>3</v>
      </c>
      <c r="N375" t="s">
        <v>70</v>
      </c>
      <c r="O375" s="25" t="s">
        <v>3824</v>
      </c>
      <c r="P375" s="25">
        <v>1</v>
      </c>
      <c r="Q375" s="25">
        <v>45300</v>
      </c>
      <c r="R375" s="25" t="s">
        <v>26</v>
      </c>
      <c r="S375" s="25" t="s">
        <v>26</v>
      </c>
      <c r="T375" s="25">
        <f t="shared" si="5"/>
        <v>45300</v>
      </c>
    </row>
    <row r="376" spans="1:20">
      <c r="A376" t="s">
        <v>1091</v>
      </c>
      <c r="B376">
        <v>45863</v>
      </c>
      <c r="C376" t="s">
        <v>126</v>
      </c>
      <c r="D376" t="s">
        <v>88</v>
      </c>
      <c r="E376" t="s">
        <v>127</v>
      </c>
      <c r="F376">
        <v>4020</v>
      </c>
      <c r="G376" t="s">
        <v>30</v>
      </c>
      <c r="H376" t="s">
        <v>1092</v>
      </c>
      <c r="I376" t="s">
        <v>71</v>
      </c>
      <c r="J376">
        <v>42600</v>
      </c>
      <c r="K376" t="s">
        <v>129</v>
      </c>
      <c r="L376" t="s">
        <v>1093</v>
      </c>
      <c r="M376" t="s">
        <v>3</v>
      </c>
      <c r="N376" t="s">
        <v>70</v>
      </c>
      <c r="O376" s="25" t="s">
        <v>3824</v>
      </c>
      <c r="P376" s="25">
        <v>1</v>
      </c>
      <c r="Q376" s="25">
        <v>42600</v>
      </c>
      <c r="R376" s="25" t="s">
        <v>26</v>
      </c>
      <c r="S376" s="25" t="s">
        <v>26</v>
      </c>
      <c r="T376" s="25">
        <f t="shared" si="5"/>
        <v>42600</v>
      </c>
    </row>
    <row r="377" spans="1:20">
      <c r="A377" t="s">
        <v>1094</v>
      </c>
      <c r="B377">
        <v>45863</v>
      </c>
      <c r="C377" t="s">
        <v>126</v>
      </c>
      <c r="D377" t="s">
        <v>88</v>
      </c>
      <c r="E377" t="s">
        <v>132</v>
      </c>
      <c r="F377">
        <v>4020</v>
      </c>
      <c r="G377" t="s">
        <v>30</v>
      </c>
      <c r="H377" t="s">
        <v>1095</v>
      </c>
      <c r="I377" t="s">
        <v>72</v>
      </c>
      <c r="J377">
        <v>28.89</v>
      </c>
      <c r="K377" t="s">
        <v>134</v>
      </c>
      <c r="L377" t="s">
        <v>1093</v>
      </c>
      <c r="M377" t="s">
        <v>3</v>
      </c>
      <c r="N377" t="s">
        <v>70</v>
      </c>
      <c r="O377" s="25" t="s">
        <v>3825</v>
      </c>
      <c r="P377" s="25">
        <v>1530</v>
      </c>
      <c r="Q377" s="25">
        <v>44201.700000000004</v>
      </c>
      <c r="R377" s="25" t="s">
        <v>26</v>
      </c>
      <c r="S377" s="25" t="s">
        <v>26</v>
      </c>
      <c r="T377" s="25">
        <f t="shared" si="5"/>
        <v>44201.700000000004</v>
      </c>
    </row>
    <row r="378" spans="1:20">
      <c r="A378" t="s">
        <v>1096</v>
      </c>
      <c r="B378">
        <v>45863</v>
      </c>
      <c r="C378" t="s">
        <v>126</v>
      </c>
      <c r="D378" t="s">
        <v>88</v>
      </c>
      <c r="E378" t="s">
        <v>136</v>
      </c>
      <c r="F378">
        <v>4020</v>
      </c>
      <c r="G378" t="s">
        <v>30</v>
      </c>
      <c r="H378" t="s">
        <v>1097</v>
      </c>
      <c r="I378" t="s">
        <v>72</v>
      </c>
      <c r="J378">
        <v>27.06</v>
      </c>
      <c r="K378" t="s">
        <v>138</v>
      </c>
      <c r="L378" t="s">
        <v>1093</v>
      </c>
      <c r="M378" t="s">
        <v>3</v>
      </c>
      <c r="N378" t="s">
        <v>70</v>
      </c>
      <c r="O378" s="25" t="s">
        <v>3825</v>
      </c>
      <c r="P378" s="25">
        <v>1530</v>
      </c>
      <c r="Q378" s="25">
        <v>41401.799999999996</v>
      </c>
      <c r="R378" s="25" t="s">
        <v>26</v>
      </c>
      <c r="S378" s="25" t="s">
        <v>26</v>
      </c>
      <c r="T378" s="25">
        <f t="shared" si="5"/>
        <v>41401.799999999996</v>
      </c>
    </row>
    <row r="379" spans="1:20">
      <c r="A379" t="s">
        <v>1098</v>
      </c>
      <c r="B379">
        <v>45863</v>
      </c>
      <c r="C379" t="s">
        <v>126</v>
      </c>
      <c r="D379" t="s">
        <v>88</v>
      </c>
      <c r="E379" t="s">
        <v>140</v>
      </c>
      <c r="F379">
        <v>4020</v>
      </c>
      <c r="G379" t="s">
        <v>30</v>
      </c>
      <c r="H379" t="s">
        <v>1099</v>
      </c>
      <c r="I379" t="s">
        <v>71</v>
      </c>
      <c r="J379">
        <v>48300</v>
      </c>
      <c r="K379" t="s">
        <v>3</v>
      </c>
      <c r="L379" t="s">
        <v>1100</v>
      </c>
      <c r="M379" t="s">
        <v>3</v>
      </c>
      <c r="N379" t="s">
        <v>70</v>
      </c>
      <c r="O379" s="25" t="s">
        <v>3824</v>
      </c>
      <c r="P379" s="25">
        <v>1</v>
      </c>
      <c r="Q379" s="25">
        <v>48300</v>
      </c>
      <c r="R379" s="25" t="s">
        <v>26</v>
      </c>
      <c r="S379" s="25" t="s">
        <v>26</v>
      </c>
      <c r="T379" s="25">
        <f t="shared" si="5"/>
        <v>48300</v>
      </c>
    </row>
    <row r="380" spans="1:20">
      <c r="A380" t="s">
        <v>1101</v>
      </c>
      <c r="B380">
        <v>45863</v>
      </c>
      <c r="C380" t="s">
        <v>87</v>
      </c>
      <c r="D380" t="s">
        <v>94</v>
      </c>
      <c r="E380" t="s">
        <v>3</v>
      </c>
      <c r="F380">
        <v>5000</v>
      </c>
      <c r="G380" t="s">
        <v>34</v>
      </c>
      <c r="H380" t="s">
        <v>315</v>
      </c>
      <c r="I380" t="s">
        <v>71</v>
      </c>
      <c r="J380">
        <v>-676000</v>
      </c>
      <c r="K380" t="s">
        <v>316</v>
      </c>
      <c r="L380" t="s">
        <v>1102</v>
      </c>
      <c r="M380" t="s">
        <v>3</v>
      </c>
      <c r="N380" t="s">
        <v>70</v>
      </c>
      <c r="O380" s="25" t="s">
        <v>3824</v>
      </c>
      <c r="P380" s="25">
        <v>1</v>
      </c>
      <c r="Q380" s="25">
        <v>-676000</v>
      </c>
      <c r="R380" s="25" t="s">
        <v>35</v>
      </c>
      <c r="S380" s="25" t="s">
        <v>35</v>
      </c>
      <c r="T380" s="25">
        <f t="shared" si="5"/>
        <v>-676000</v>
      </c>
    </row>
    <row r="381" spans="1:20">
      <c r="A381" t="s">
        <v>1103</v>
      </c>
      <c r="B381">
        <v>45863</v>
      </c>
      <c r="C381" t="s">
        <v>87</v>
      </c>
      <c r="D381" t="s">
        <v>94</v>
      </c>
      <c r="E381" t="s">
        <v>3</v>
      </c>
      <c r="F381">
        <v>5050</v>
      </c>
      <c r="G381" t="s">
        <v>45</v>
      </c>
      <c r="H381" t="s">
        <v>190</v>
      </c>
      <c r="I381" t="s">
        <v>71</v>
      </c>
      <c r="J381">
        <v>-150000</v>
      </c>
      <c r="K381" t="s">
        <v>191</v>
      </c>
      <c r="L381" t="s">
        <v>1104</v>
      </c>
      <c r="M381" t="s">
        <v>3</v>
      </c>
      <c r="N381" t="s">
        <v>70</v>
      </c>
      <c r="O381" s="25" t="s">
        <v>3824</v>
      </c>
      <c r="P381" s="25">
        <v>1</v>
      </c>
      <c r="Q381" s="25">
        <v>-150000</v>
      </c>
      <c r="R381" s="25" t="s">
        <v>35</v>
      </c>
      <c r="S381" s="25" t="s">
        <v>35</v>
      </c>
      <c r="T381" s="25">
        <f t="shared" si="5"/>
        <v>-150000</v>
      </c>
    </row>
    <row r="382" spans="1:20">
      <c r="A382" t="s">
        <v>1105</v>
      </c>
      <c r="B382">
        <v>45863</v>
      </c>
      <c r="C382" t="s">
        <v>1106</v>
      </c>
      <c r="D382" t="s">
        <v>94</v>
      </c>
      <c r="E382" t="s">
        <v>3</v>
      </c>
      <c r="F382">
        <v>6000</v>
      </c>
      <c r="G382" t="s">
        <v>47</v>
      </c>
      <c r="H382" t="s">
        <v>1107</v>
      </c>
      <c r="I382" t="s">
        <v>71</v>
      </c>
      <c r="J382">
        <v>-3228228</v>
      </c>
      <c r="K382" t="s">
        <v>1108</v>
      </c>
      <c r="L382" t="s">
        <v>1109</v>
      </c>
      <c r="M382" t="s">
        <v>3</v>
      </c>
      <c r="N382" t="s">
        <v>70</v>
      </c>
      <c r="O382" s="25" t="s">
        <v>3824</v>
      </c>
      <c r="P382" s="25">
        <v>1</v>
      </c>
      <c r="Q382" s="25">
        <v>-3228228</v>
      </c>
      <c r="R382" s="25" t="s">
        <v>48</v>
      </c>
      <c r="S382" s="25" t="s">
        <v>48</v>
      </c>
      <c r="T382" s="25">
        <f t="shared" si="5"/>
        <v>-3228228</v>
      </c>
    </row>
    <row r="383" spans="1:20">
      <c r="A383" t="s">
        <v>1110</v>
      </c>
      <c r="B383">
        <v>45863</v>
      </c>
      <c r="C383" t="s">
        <v>1106</v>
      </c>
      <c r="D383" t="s">
        <v>111</v>
      </c>
      <c r="E383" t="s">
        <v>3</v>
      </c>
      <c r="F383">
        <v>6000</v>
      </c>
      <c r="G383" t="s">
        <v>47</v>
      </c>
      <c r="H383" t="s">
        <v>1107</v>
      </c>
      <c r="I383" t="s">
        <v>71</v>
      </c>
      <c r="J383">
        <v>-4136168</v>
      </c>
      <c r="K383" t="s">
        <v>1108</v>
      </c>
      <c r="L383" t="s">
        <v>1109</v>
      </c>
      <c r="M383" t="s">
        <v>3</v>
      </c>
      <c r="N383" t="s">
        <v>70</v>
      </c>
      <c r="O383" s="25" t="s">
        <v>3824</v>
      </c>
      <c r="P383" s="25">
        <v>1</v>
      </c>
      <c r="Q383" s="25">
        <v>-4136168</v>
      </c>
      <c r="R383" s="25" t="s">
        <v>48</v>
      </c>
      <c r="S383" s="25" t="s">
        <v>48</v>
      </c>
      <c r="T383" s="25">
        <f t="shared" si="5"/>
        <v>-4136168</v>
      </c>
    </row>
    <row r="384" spans="1:20">
      <c r="A384" t="s">
        <v>1111</v>
      </c>
      <c r="B384">
        <v>45863</v>
      </c>
      <c r="C384" t="s">
        <v>1106</v>
      </c>
      <c r="D384" t="s">
        <v>88</v>
      </c>
      <c r="E384" t="s">
        <v>3</v>
      </c>
      <c r="F384">
        <v>6000</v>
      </c>
      <c r="G384" t="s">
        <v>47</v>
      </c>
      <c r="H384" t="s">
        <v>1107</v>
      </c>
      <c r="I384" t="s">
        <v>71</v>
      </c>
      <c r="J384">
        <v>-2723818</v>
      </c>
      <c r="K384" t="s">
        <v>1108</v>
      </c>
      <c r="L384" t="s">
        <v>1109</v>
      </c>
      <c r="M384" t="s">
        <v>3</v>
      </c>
      <c r="N384" t="s">
        <v>70</v>
      </c>
      <c r="O384" s="25" t="s">
        <v>3824</v>
      </c>
      <c r="P384" s="25">
        <v>1</v>
      </c>
      <c r="Q384" s="25">
        <v>-2723818</v>
      </c>
      <c r="R384" s="25" t="s">
        <v>48</v>
      </c>
      <c r="S384" s="25" t="s">
        <v>48</v>
      </c>
      <c r="T384" s="25">
        <f t="shared" si="5"/>
        <v>-2723818</v>
      </c>
    </row>
    <row r="385" spans="1:20">
      <c r="A385" t="s">
        <v>1112</v>
      </c>
      <c r="B385">
        <v>45864</v>
      </c>
      <c r="C385" t="s">
        <v>93</v>
      </c>
      <c r="D385" t="s">
        <v>94</v>
      </c>
      <c r="E385" t="s">
        <v>95</v>
      </c>
      <c r="F385">
        <v>4000</v>
      </c>
      <c r="G385" t="s">
        <v>25</v>
      </c>
      <c r="H385" t="s">
        <v>1113</v>
      </c>
      <c r="I385" t="s">
        <v>71</v>
      </c>
      <c r="J385">
        <v>38700</v>
      </c>
      <c r="K385" t="s">
        <v>3</v>
      </c>
      <c r="L385" t="s">
        <v>1114</v>
      </c>
      <c r="M385" t="s">
        <v>3</v>
      </c>
      <c r="N385" t="s">
        <v>70</v>
      </c>
      <c r="O385" s="25" t="s">
        <v>3824</v>
      </c>
      <c r="P385" s="25">
        <v>1</v>
      </c>
      <c r="Q385" s="25">
        <v>38700</v>
      </c>
      <c r="R385" s="25" t="s">
        <v>26</v>
      </c>
      <c r="S385" s="25" t="s">
        <v>26</v>
      </c>
      <c r="T385" s="25">
        <f t="shared" si="5"/>
        <v>38700</v>
      </c>
    </row>
    <row r="386" spans="1:20">
      <c r="A386" t="s">
        <v>1115</v>
      </c>
      <c r="B386">
        <v>45864</v>
      </c>
      <c r="C386" t="s">
        <v>93</v>
      </c>
      <c r="D386" t="s">
        <v>94</v>
      </c>
      <c r="E386" t="s">
        <v>99</v>
      </c>
      <c r="F386">
        <v>4000</v>
      </c>
      <c r="G386" t="s">
        <v>25</v>
      </c>
      <c r="H386" t="s">
        <v>1116</v>
      </c>
      <c r="I386" t="s">
        <v>71</v>
      </c>
      <c r="J386">
        <v>36100</v>
      </c>
      <c r="K386" t="s">
        <v>3</v>
      </c>
      <c r="L386" t="s">
        <v>1117</v>
      </c>
      <c r="M386" t="s">
        <v>3</v>
      </c>
      <c r="N386" t="s">
        <v>70</v>
      </c>
      <c r="O386" s="25" t="s">
        <v>3824</v>
      </c>
      <c r="P386" s="25">
        <v>1</v>
      </c>
      <c r="Q386" s="25">
        <v>36100</v>
      </c>
      <c r="R386" s="25" t="s">
        <v>26</v>
      </c>
      <c r="S386" s="25" t="s">
        <v>26</v>
      </c>
      <c r="T386" s="25">
        <f t="shared" ref="T386:T449" si="6">IF(AND(S386="Revenue",G386&lt;&gt;"Refunds &amp; Chargebacks"),ABS(Q386),-ABS(Q386))</f>
        <v>36100</v>
      </c>
    </row>
    <row r="387" spans="1:20">
      <c r="A387" t="s">
        <v>1118</v>
      </c>
      <c r="B387">
        <v>45864</v>
      </c>
      <c r="C387" t="s">
        <v>93</v>
      </c>
      <c r="D387" t="s">
        <v>94</v>
      </c>
      <c r="E387" t="s">
        <v>103</v>
      </c>
      <c r="F387">
        <v>4000</v>
      </c>
      <c r="G387" t="s">
        <v>25</v>
      </c>
      <c r="H387" t="s">
        <v>1119</v>
      </c>
      <c r="I387" t="s">
        <v>71</v>
      </c>
      <c r="J387">
        <v>34700</v>
      </c>
      <c r="K387" t="s">
        <v>3</v>
      </c>
      <c r="L387" t="s">
        <v>1120</v>
      </c>
      <c r="M387" t="s">
        <v>3</v>
      </c>
      <c r="N387" t="s">
        <v>70</v>
      </c>
      <c r="O387" s="25" t="s">
        <v>3824</v>
      </c>
      <c r="P387" s="25">
        <v>1</v>
      </c>
      <c r="Q387" s="25">
        <v>34700</v>
      </c>
      <c r="R387" s="25" t="s">
        <v>26</v>
      </c>
      <c r="S387" s="25" t="s">
        <v>26</v>
      </c>
      <c r="T387" s="25">
        <f t="shared" si="6"/>
        <v>34700</v>
      </c>
    </row>
    <row r="388" spans="1:20">
      <c r="A388" t="s">
        <v>1121</v>
      </c>
      <c r="B388">
        <v>45864</v>
      </c>
      <c r="C388" t="s">
        <v>93</v>
      </c>
      <c r="D388" t="s">
        <v>94</v>
      </c>
      <c r="E388" t="s">
        <v>160</v>
      </c>
      <c r="F388">
        <v>4000</v>
      </c>
      <c r="G388" t="s">
        <v>25</v>
      </c>
      <c r="H388" t="s">
        <v>1122</v>
      </c>
      <c r="I388" t="s">
        <v>71</v>
      </c>
      <c r="J388">
        <v>36100</v>
      </c>
      <c r="K388" t="s">
        <v>3</v>
      </c>
      <c r="L388" t="s">
        <v>1120</v>
      </c>
      <c r="M388" t="s">
        <v>3</v>
      </c>
      <c r="N388" t="s">
        <v>70</v>
      </c>
      <c r="O388" s="25" t="s">
        <v>3824</v>
      </c>
      <c r="P388" s="25">
        <v>1</v>
      </c>
      <c r="Q388" s="25">
        <v>36100</v>
      </c>
      <c r="R388" s="25" t="s">
        <v>26</v>
      </c>
      <c r="S388" s="25" t="s">
        <v>26</v>
      </c>
      <c r="T388" s="25">
        <f t="shared" si="6"/>
        <v>36100</v>
      </c>
    </row>
    <row r="389" spans="1:20">
      <c r="A389" t="s">
        <v>1123</v>
      </c>
      <c r="B389">
        <v>45864</v>
      </c>
      <c r="C389" t="s">
        <v>93</v>
      </c>
      <c r="D389" t="s">
        <v>94</v>
      </c>
      <c r="E389" t="s">
        <v>107</v>
      </c>
      <c r="F389">
        <v>4000</v>
      </c>
      <c r="G389" t="s">
        <v>25</v>
      </c>
      <c r="H389" t="s">
        <v>1124</v>
      </c>
      <c r="I389" t="s">
        <v>71</v>
      </c>
      <c r="J389">
        <v>35900</v>
      </c>
      <c r="K389" t="s">
        <v>3</v>
      </c>
      <c r="L389" t="s">
        <v>1125</v>
      </c>
      <c r="M389" t="s">
        <v>3</v>
      </c>
      <c r="N389" t="s">
        <v>70</v>
      </c>
      <c r="O389" s="25" t="s">
        <v>3824</v>
      </c>
      <c r="P389" s="25">
        <v>1</v>
      </c>
      <c r="Q389" s="25">
        <v>35900</v>
      </c>
      <c r="R389" s="25" t="s">
        <v>26</v>
      </c>
      <c r="S389" s="25" t="s">
        <v>26</v>
      </c>
      <c r="T389" s="25">
        <f t="shared" si="6"/>
        <v>35900</v>
      </c>
    </row>
    <row r="390" spans="1:20">
      <c r="A390" t="s">
        <v>1126</v>
      </c>
      <c r="B390">
        <v>45864</v>
      </c>
      <c r="C390" t="s">
        <v>93</v>
      </c>
      <c r="D390" t="s">
        <v>111</v>
      </c>
      <c r="E390" t="s">
        <v>112</v>
      </c>
      <c r="F390">
        <v>4000</v>
      </c>
      <c r="G390" t="s">
        <v>25</v>
      </c>
      <c r="H390" t="s">
        <v>1127</v>
      </c>
      <c r="I390" t="s">
        <v>71</v>
      </c>
      <c r="J390">
        <v>56600</v>
      </c>
      <c r="K390" t="s">
        <v>3</v>
      </c>
      <c r="L390" t="s">
        <v>1128</v>
      </c>
      <c r="M390" t="s">
        <v>3</v>
      </c>
      <c r="N390" t="s">
        <v>70</v>
      </c>
      <c r="O390" s="25" t="s">
        <v>3824</v>
      </c>
      <c r="P390" s="25">
        <v>1</v>
      </c>
      <c r="Q390" s="25">
        <v>56600</v>
      </c>
      <c r="R390" s="25" t="s">
        <v>26</v>
      </c>
      <c r="S390" s="25" t="s">
        <v>26</v>
      </c>
      <c r="T390" s="25">
        <f t="shared" si="6"/>
        <v>56600</v>
      </c>
    </row>
    <row r="391" spans="1:20">
      <c r="A391" t="s">
        <v>1129</v>
      </c>
      <c r="B391">
        <v>45864</v>
      </c>
      <c r="C391" t="s">
        <v>93</v>
      </c>
      <c r="D391" t="s">
        <v>111</v>
      </c>
      <c r="E391" t="s">
        <v>116</v>
      </c>
      <c r="F391">
        <v>4000</v>
      </c>
      <c r="G391" t="s">
        <v>25</v>
      </c>
      <c r="H391" t="s">
        <v>1130</v>
      </c>
      <c r="I391" t="s">
        <v>71</v>
      </c>
      <c r="J391">
        <v>61300</v>
      </c>
      <c r="K391" t="s">
        <v>3</v>
      </c>
      <c r="L391" t="s">
        <v>1128</v>
      </c>
      <c r="M391" t="s">
        <v>3</v>
      </c>
      <c r="N391" t="s">
        <v>70</v>
      </c>
      <c r="O391" s="25" t="s">
        <v>3824</v>
      </c>
      <c r="P391" s="25">
        <v>1</v>
      </c>
      <c r="Q391" s="25">
        <v>61300</v>
      </c>
      <c r="R391" s="25" t="s">
        <v>26</v>
      </c>
      <c r="S391" s="25" t="s">
        <v>26</v>
      </c>
      <c r="T391" s="25">
        <f t="shared" si="6"/>
        <v>61300</v>
      </c>
    </row>
    <row r="392" spans="1:20">
      <c r="A392" t="s">
        <v>1131</v>
      </c>
      <c r="B392">
        <v>45864</v>
      </c>
      <c r="C392" t="s">
        <v>93</v>
      </c>
      <c r="D392" t="s">
        <v>111</v>
      </c>
      <c r="E392" t="s">
        <v>119</v>
      </c>
      <c r="F392">
        <v>4000</v>
      </c>
      <c r="G392" t="s">
        <v>25</v>
      </c>
      <c r="H392" t="s">
        <v>1132</v>
      </c>
      <c r="I392" t="s">
        <v>71</v>
      </c>
      <c r="J392">
        <v>57100</v>
      </c>
      <c r="K392" t="s">
        <v>3</v>
      </c>
      <c r="L392" t="s">
        <v>1128</v>
      </c>
      <c r="M392" t="s">
        <v>3</v>
      </c>
      <c r="N392" t="s">
        <v>70</v>
      </c>
      <c r="O392" s="25" t="s">
        <v>3824</v>
      </c>
      <c r="P392" s="25">
        <v>1</v>
      </c>
      <c r="Q392" s="25">
        <v>57100</v>
      </c>
      <c r="R392" s="25" t="s">
        <v>26</v>
      </c>
      <c r="S392" s="25" t="s">
        <v>26</v>
      </c>
      <c r="T392" s="25">
        <f t="shared" si="6"/>
        <v>57100</v>
      </c>
    </row>
    <row r="393" spans="1:20">
      <c r="A393" t="s">
        <v>1133</v>
      </c>
      <c r="B393">
        <v>45864</v>
      </c>
      <c r="C393" t="s">
        <v>93</v>
      </c>
      <c r="D393" t="s">
        <v>111</v>
      </c>
      <c r="E393" t="s">
        <v>170</v>
      </c>
      <c r="F393">
        <v>4000</v>
      </c>
      <c r="G393" t="s">
        <v>25</v>
      </c>
      <c r="H393" t="s">
        <v>1134</v>
      </c>
      <c r="I393" t="s">
        <v>71</v>
      </c>
      <c r="J393">
        <v>58100</v>
      </c>
      <c r="K393" t="s">
        <v>3</v>
      </c>
      <c r="L393" t="s">
        <v>1128</v>
      </c>
      <c r="M393" t="s">
        <v>3</v>
      </c>
      <c r="N393" t="s">
        <v>70</v>
      </c>
      <c r="O393" s="25" t="s">
        <v>3824</v>
      </c>
      <c r="P393" s="25">
        <v>1</v>
      </c>
      <c r="Q393" s="25">
        <v>58100</v>
      </c>
      <c r="R393" s="25" t="s">
        <v>26</v>
      </c>
      <c r="S393" s="25" t="s">
        <v>26</v>
      </c>
      <c r="T393" s="25">
        <f t="shared" si="6"/>
        <v>58100</v>
      </c>
    </row>
    <row r="394" spans="1:20">
      <c r="A394" t="s">
        <v>1135</v>
      </c>
      <c r="B394">
        <v>45864</v>
      </c>
      <c r="C394" t="s">
        <v>93</v>
      </c>
      <c r="D394" t="s">
        <v>111</v>
      </c>
      <c r="E394" t="s">
        <v>122</v>
      </c>
      <c r="F394">
        <v>4000</v>
      </c>
      <c r="G394" t="s">
        <v>25</v>
      </c>
      <c r="H394" t="s">
        <v>1136</v>
      </c>
      <c r="I394" t="s">
        <v>71</v>
      </c>
      <c r="J394">
        <v>58800</v>
      </c>
      <c r="K394" t="s">
        <v>3</v>
      </c>
      <c r="L394" t="s">
        <v>1137</v>
      </c>
      <c r="M394" t="s">
        <v>3</v>
      </c>
      <c r="N394" t="s">
        <v>70</v>
      </c>
      <c r="O394" s="25" t="s">
        <v>3824</v>
      </c>
      <c r="P394" s="25">
        <v>1</v>
      </c>
      <c r="Q394" s="25">
        <v>58800</v>
      </c>
      <c r="R394" s="25" t="s">
        <v>26</v>
      </c>
      <c r="S394" s="25" t="s">
        <v>26</v>
      </c>
      <c r="T394" s="25">
        <f t="shared" si="6"/>
        <v>58800</v>
      </c>
    </row>
    <row r="395" spans="1:20">
      <c r="A395" t="s">
        <v>1138</v>
      </c>
      <c r="B395">
        <v>45864</v>
      </c>
      <c r="C395" t="s">
        <v>126</v>
      </c>
      <c r="D395" t="s">
        <v>88</v>
      </c>
      <c r="E395" t="s">
        <v>127</v>
      </c>
      <c r="F395">
        <v>4020</v>
      </c>
      <c r="G395" t="s">
        <v>30</v>
      </c>
      <c r="H395" t="s">
        <v>1139</v>
      </c>
      <c r="I395" t="s">
        <v>71</v>
      </c>
      <c r="J395">
        <v>50400</v>
      </c>
      <c r="K395" t="s">
        <v>129</v>
      </c>
      <c r="L395" t="s">
        <v>1140</v>
      </c>
      <c r="M395" t="s">
        <v>3</v>
      </c>
      <c r="N395" t="s">
        <v>70</v>
      </c>
      <c r="O395" s="25" t="s">
        <v>3824</v>
      </c>
      <c r="P395" s="25">
        <v>1</v>
      </c>
      <c r="Q395" s="25">
        <v>50400</v>
      </c>
      <c r="R395" s="25" t="s">
        <v>26</v>
      </c>
      <c r="S395" s="25" t="s">
        <v>26</v>
      </c>
      <c r="T395" s="25">
        <f t="shared" si="6"/>
        <v>50400</v>
      </c>
    </row>
    <row r="396" spans="1:20">
      <c r="A396" t="s">
        <v>1141</v>
      </c>
      <c r="B396">
        <v>45864</v>
      </c>
      <c r="C396" t="s">
        <v>126</v>
      </c>
      <c r="D396" t="s">
        <v>88</v>
      </c>
      <c r="E396" t="s">
        <v>132</v>
      </c>
      <c r="F396">
        <v>4020</v>
      </c>
      <c r="G396" t="s">
        <v>30</v>
      </c>
      <c r="H396" t="s">
        <v>1142</v>
      </c>
      <c r="I396" t="s">
        <v>71</v>
      </c>
      <c r="J396">
        <v>47900</v>
      </c>
      <c r="K396" t="s">
        <v>134</v>
      </c>
      <c r="L396" t="s">
        <v>1140</v>
      </c>
      <c r="M396" t="s">
        <v>3</v>
      </c>
      <c r="N396" t="s">
        <v>70</v>
      </c>
      <c r="O396" s="25" t="s">
        <v>3824</v>
      </c>
      <c r="P396" s="25">
        <v>1</v>
      </c>
      <c r="Q396" s="25">
        <v>47900</v>
      </c>
      <c r="R396" s="25" t="s">
        <v>26</v>
      </c>
      <c r="S396" s="25" t="s">
        <v>26</v>
      </c>
      <c r="T396" s="25">
        <f t="shared" si="6"/>
        <v>47900</v>
      </c>
    </row>
    <row r="397" spans="1:20">
      <c r="A397" t="s">
        <v>1143</v>
      </c>
      <c r="B397">
        <v>45864</v>
      </c>
      <c r="C397" t="s">
        <v>126</v>
      </c>
      <c r="D397" t="s">
        <v>88</v>
      </c>
      <c r="E397" t="s">
        <v>136</v>
      </c>
      <c r="F397">
        <v>4020</v>
      </c>
      <c r="G397" t="s">
        <v>30</v>
      </c>
      <c r="H397" t="s">
        <v>1144</v>
      </c>
      <c r="I397" t="s">
        <v>72</v>
      </c>
      <c r="J397">
        <v>26.34</v>
      </c>
      <c r="K397" t="s">
        <v>138</v>
      </c>
      <c r="L397" t="s">
        <v>1140</v>
      </c>
      <c r="M397" t="s">
        <v>3</v>
      </c>
      <c r="N397" t="s">
        <v>70</v>
      </c>
      <c r="O397" s="25" t="s">
        <v>3825</v>
      </c>
      <c r="P397" s="25">
        <v>1530</v>
      </c>
      <c r="Q397" s="25">
        <v>40300.199999999997</v>
      </c>
      <c r="R397" s="25" t="s">
        <v>26</v>
      </c>
      <c r="S397" s="25" t="s">
        <v>26</v>
      </c>
      <c r="T397" s="25">
        <f t="shared" si="6"/>
        <v>40300.199999999997</v>
      </c>
    </row>
    <row r="398" spans="1:20">
      <c r="A398" t="s">
        <v>1145</v>
      </c>
      <c r="B398">
        <v>45864</v>
      </c>
      <c r="C398" t="s">
        <v>126</v>
      </c>
      <c r="D398" t="s">
        <v>88</v>
      </c>
      <c r="E398" t="s">
        <v>140</v>
      </c>
      <c r="F398">
        <v>4020</v>
      </c>
      <c r="G398" t="s">
        <v>30</v>
      </c>
      <c r="H398" t="s">
        <v>1146</v>
      </c>
      <c r="I398" t="s">
        <v>71</v>
      </c>
      <c r="J398">
        <v>41000</v>
      </c>
      <c r="K398" t="s">
        <v>3</v>
      </c>
      <c r="L398" t="s">
        <v>1147</v>
      </c>
      <c r="M398" t="s">
        <v>3</v>
      </c>
      <c r="N398" t="s">
        <v>70</v>
      </c>
      <c r="O398" s="25" t="s">
        <v>3824</v>
      </c>
      <c r="P398" s="25">
        <v>1</v>
      </c>
      <c r="Q398" s="25">
        <v>41000</v>
      </c>
      <c r="R398" s="25" t="s">
        <v>26</v>
      </c>
      <c r="S398" s="25" t="s">
        <v>26</v>
      </c>
      <c r="T398" s="25">
        <f t="shared" si="6"/>
        <v>41000</v>
      </c>
    </row>
    <row r="399" spans="1:20">
      <c r="A399" t="s">
        <v>1148</v>
      </c>
      <c r="B399">
        <v>45864</v>
      </c>
      <c r="C399" t="s">
        <v>93</v>
      </c>
      <c r="D399" t="s">
        <v>94</v>
      </c>
      <c r="E399" t="s">
        <v>95</v>
      </c>
      <c r="F399">
        <v>4900</v>
      </c>
      <c r="G399" t="s">
        <v>32</v>
      </c>
      <c r="H399" t="s">
        <v>1149</v>
      </c>
      <c r="I399" t="s">
        <v>71</v>
      </c>
      <c r="J399">
        <v>-181629</v>
      </c>
      <c r="K399" t="s">
        <v>3</v>
      </c>
      <c r="L399" t="s">
        <v>1150</v>
      </c>
      <c r="M399" t="s">
        <v>3</v>
      </c>
      <c r="N399" t="s">
        <v>70</v>
      </c>
      <c r="O399" s="25" t="s">
        <v>3824</v>
      </c>
      <c r="P399" s="25">
        <v>1</v>
      </c>
      <c r="Q399" s="25">
        <v>-181629</v>
      </c>
      <c r="R399" s="25" t="s">
        <v>26</v>
      </c>
      <c r="S399" s="25" t="s">
        <v>26</v>
      </c>
      <c r="T399" s="25">
        <f t="shared" si="6"/>
        <v>-181629</v>
      </c>
    </row>
    <row r="400" spans="1:20">
      <c r="A400" t="s">
        <v>1151</v>
      </c>
      <c r="B400">
        <v>45864</v>
      </c>
      <c r="C400" t="s">
        <v>87</v>
      </c>
      <c r="D400" t="s">
        <v>94</v>
      </c>
      <c r="E400" t="s">
        <v>3</v>
      </c>
      <c r="F400">
        <v>5000</v>
      </c>
      <c r="G400" t="s">
        <v>34</v>
      </c>
      <c r="H400" t="s">
        <v>315</v>
      </c>
      <c r="I400" t="s">
        <v>71</v>
      </c>
      <c r="J400">
        <v>-394000</v>
      </c>
      <c r="K400" t="s">
        <v>316</v>
      </c>
      <c r="L400" t="s">
        <v>1152</v>
      </c>
      <c r="M400" t="s">
        <v>3</v>
      </c>
      <c r="N400" t="s">
        <v>70</v>
      </c>
      <c r="O400" s="25" t="s">
        <v>3824</v>
      </c>
      <c r="P400" s="25">
        <v>1</v>
      </c>
      <c r="Q400" s="25">
        <v>-394000</v>
      </c>
      <c r="R400" s="25" t="s">
        <v>35</v>
      </c>
      <c r="S400" s="25" t="s">
        <v>35</v>
      </c>
      <c r="T400" s="25">
        <f t="shared" si="6"/>
        <v>-394000</v>
      </c>
    </row>
    <row r="401" spans="1:20">
      <c r="A401" t="s">
        <v>1153</v>
      </c>
      <c r="B401">
        <v>45864</v>
      </c>
      <c r="C401" t="s">
        <v>87</v>
      </c>
      <c r="D401" t="s">
        <v>94</v>
      </c>
      <c r="E401" t="s">
        <v>3</v>
      </c>
      <c r="F401">
        <v>5050</v>
      </c>
      <c r="G401" t="s">
        <v>45</v>
      </c>
      <c r="H401" t="s">
        <v>667</v>
      </c>
      <c r="I401" t="s">
        <v>71</v>
      </c>
      <c r="J401">
        <v>-292000</v>
      </c>
      <c r="K401" t="s">
        <v>668</v>
      </c>
      <c r="L401" t="s">
        <v>1154</v>
      </c>
      <c r="M401" t="s">
        <v>3</v>
      </c>
      <c r="N401" t="s">
        <v>70</v>
      </c>
      <c r="O401" s="25" t="s">
        <v>3824</v>
      </c>
      <c r="P401" s="25">
        <v>1</v>
      </c>
      <c r="Q401" s="25">
        <v>-292000</v>
      </c>
      <c r="R401" s="25" t="s">
        <v>35</v>
      </c>
      <c r="S401" s="25" t="s">
        <v>35</v>
      </c>
      <c r="T401" s="25">
        <f t="shared" si="6"/>
        <v>-292000</v>
      </c>
    </row>
    <row r="402" spans="1:20">
      <c r="A402" t="s">
        <v>1155</v>
      </c>
      <c r="B402">
        <v>45864</v>
      </c>
      <c r="C402" t="s">
        <v>87</v>
      </c>
      <c r="D402" t="s">
        <v>111</v>
      </c>
      <c r="E402" t="s">
        <v>3</v>
      </c>
      <c r="F402">
        <v>5010</v>
      </c>
      <c r="G402" t="s">
        <v>37</v>
      </c>
      <c r="H402" t="s">
        <v>194</v>
      </c>
      <c r="I402" t="s">
        <v>71</v>
      </c>
      <c r="J402">
        <v>-1079000</v>
      </c>
      <c r="K402" t="s">
        <v>195</v>
      </c>
      <c r="L402" t="s">
        <v>1156</v>
      </c>
      <c r="M402" t="s">
        <v>3</v>
      </c>
      <c r="N402" t="s">
        <v>70</v>
      </c>
      <c r="O402" s="25" t="s">
        <v>3824</v>
      </c>
      <c r="P402" s="25">
        <v>1</v>
      </c>
      <c r="Q402" s="25">
        <v>-1079000</v>
      </c>
      <c r="R402" s="25" t="s">
        <v>35</v>
      </c>
      <c r="S402" s="25" t="s">
        <v>35</v>
      </c>
      <c r="T402" s="25">
        <f t="shared" si="6"/>
        <v>-1079000</v>
      </c>
    </row>
    <row r="403" spans="1:20">
      <c r="A403" t="s">
        <v>1157</v>
      </c>
      <c r="B403">
        <v>45864</v>
      </c>
      <c r="C403" t="s">
        <v>87</v>
      </c>
      <c r="D403" t="s">
        <v>88</v>
      </c>
      <c r="E403" t="s">
        <v>3</v>
      </c>
      <c r="F403">
        <v>5030</v>
      </c>
      <c r="G403" t="s">
        <v>41</v>
      </c>
      <c r="H403" t="s">
        <v>279</v>
      </c>
      <c r="I403" t="s">
        <v>71</v>
      </c>
      <c r="J403">
        <v>-329000</v>
      </c>
      <c r="K403" t="s">
        <v>280</v>
      </c>
      <c r="L403" t="s">
        <v>1158</v>
      </c>
      <c r="M403" t="s">
        <v>3</v>
      </c>
      <c r="N403" t="s">
        <v>70</v>
      </c>
      <c r="O403" s="25" t="s">
        <v>3824</v>
      </c>
      <c r="P403" s="25">
        <v>1</v>
      </c>
      <c r="Q403" s="25">
        <v>-329000</v>
      </c>
      <c r="R403" s="25" t="s">
        <v>35</v>
      </c>
      <c r="S403" s="25" t="s">
        <v>35</v>
      </c>
      <c r="T403" s="25">
        <f t="shared" si="6"/>
        <v>-329000</v>
      </c>
    </row>
    <row r="404" spans="1:20">
      <c r="A404" t="s">
        <v>1159</v>
      </c>
      <c r="B404">
        <v>45865</v>
      </c>
      <c r="C404" t="s">
        <v>93</v>
      </c>
      <c r="D404" t="s">
        <v>94</v>
      </c>
      <c r="E404" t="s">
        <v>95</v>
      </c>
      <c r="F404">
        <v>4000</v>
      </c>
      <c r="G404" t="s">
        <v>25</v>
      </c>
      <c r="H404" t="s">
        <v>1160</v>
      </c>
      <c r="I404" t="s">
        <v>71</v>
      </c>
      <c r="J404">
        <v>37500</v>
      </c>
      <c r="K404" t="s">
        <v>3</v>
      </c>
      <c r="L404" t="s">
        <v>1161</v>
      </c>
      <c r="M404" t="s">
        <v>3</v>
      </c>
      <c r="N404" t="s">
        <v>70</v>
      </c>
      <c r="O404" s="25" t="s">
        <v>3824</v>
      </c>
      <c r="P404" s="25">
        <v>1</v>
      </c>
      <c r="Q404" s="25">
        <v>37500</v>
      </c>
      <c r="R404" s="25" t="s">
        <v>26</v>
      </c>
      <c r="S404" s="25" t="s">
        <v>26</v>
      </c>
      <c r="T404" s="25">
        <f t="shared" si="6"/>
        <v>37500</v>
      </c>
    </row>
    <row r="405" spans="1:20">
      <c r="A405" t="s">
        <v>1162</v>
      </c>
      <c r="B405">
        <v>45865</v>
      </c>
      <c r="C405" t="s">
        <v>93</v>
      </c>
      <c r="D405" t="s">
        <v>94</v>
      </c>
      <c r="E405" t="s">
        <v>99</v>
      </c>
      <c r="F405">
        <v>4000</v>
      </c>
      <c r="G405" t="s">
        <v>25</v>
      </c>
      <c r="H405" t="s">
        <v>1163</v>
      </c>
      <c r="I405" t="s">
        <v>71</v>
      </c>
      <c r="J405">
        <v>38400</v>
      </c>
      <c r="K405" t="s">
        <v>3</v>
      </c>
      <c r="L405" t="s">
        <v>1164</v>
      </c>
      <c r="M405" t="s">
        <v>3</v>
      </c>
      <c r="N405" t="s">
        <v>70</v>
      </c>
      <c r="O405" s="25" t="s">
        <v>3824</v>
      </c>
      <c r="P405" s="25">
        <v>1</v>
      </c>
      <c r="Q405" s="25">
        <v>38400</v>
      </c>
      <c r="R405" s="25" t="s">
        <v>26</v>
      </c>
      <c r="S405" s="25" t="s">
        <v>26</v>
      </c>
      <c r="T405" s="25">
        <f t="shared" si="6"/>
        <v>38400</v>
      </c>
    </row>
    <row r="406" spans="1:20">
      <c r="A406" t="s">
        <v>1165</v>
      </c>
      <c r="B406">
        <v>45865</v>
      </c>
      <c r="C406" t="s">
        <v>93</v>
      </c>
      <c r="D406" t="s">
        <v>94</v>
      </c>
      <c r="E406" t="s">
        <v>160</v>
      </c>
      <c r="F406">
        <v>4000</v>
      </c>
      <c r="G406" t="s">
        <v>25</v>
      </c>
      <c r="H406" t="s">
        <v>1166</v>
      </c>
      <c r="I406" t="s">
        <v>71</v>
      </c>
      <c r="J406">
        <v>33300</v>
      </c>
      <c r="K406" t="s">
        <v>3</v>
      </c>
      <c r="L406" t="s">
        <v>1167</v>
      </c>
      <c r="M406" t="s">
        <v>3</v>
      </c>
      <c r="N406" t="s">
        <v>70</v>
      </c>
      <c r="O406" s="25" t="s">
        <v>3824</v>
      </c>
      <c r="P406" s="25">
        <v>1</v>
      </c>
      <c r="Q406" s="25">
        <v>33300</v>
      </c>
      <c r="R406" s="25" t="s">
        <v>26</v>
      </c>
      <c r="S406" s="25" t="s">
        <v>26</v>
      </c>
      <c r="T406" s="25">
        <f t="shared" si="6"/>
        <v>33300</v>
      </c>
    </row>
    <row r="407" spans="1:20">
      <c r="A407" t="s">
        <v>1168</v>
      </c>
      <c r="B407">
        <v>45865</v>
      </c>
      <c r="C407" t="s">
        <v>93</v>
      </c>
      <c r="D407" t="s">
        <v>94</v>
      </c>
      <c r="E407" t="s">
        <v>107</v>
      </c>
      <c r="F407">
        <v>4000</v>
      </c>
      <c r="G407" t="s">
        <v>25</v>
      </c>
      <c r="H407" t="s">
        <v>1169</v>
      </c>
      <c r="I407" t="s">
        <v>71</v>
      </c>
      <c r="J407">
        <v>37500</v>
      </c>
      <c r="K407" t="s">
        <v>3</v>
      </c>
      <c r="L407" t="s">
        <v>1170</v>
      </c>
      <c r="M407" t="s">
        <v>3</v>
      </c>
      <c r="N407" t="s">
        <v>70</v>
      </c>
      <c r="O407" s="25" t="s">
        <v>3824</v>
      </c>
      <c r="P407" s="25">
        <v>1</v>
      </c>
      <c r="Q407" s="25">
        <v>37500</v>
      </c>
      <c r="R407" s="25" t="s">
        <v>26</v>
      </c>
      <c r="S407" s="25" t="s">
        <v>26</v>
      </c>
      <c r="T407" s="25">
        <f t="shared" si="6"/>
        <v>37500</v>
      </c>
    </row>
    <row r="408" spans="1:20">
      <c r="A408" t="s">
        <v>1171</v>
      </c>
      <c r="B408">
        <v>45865</v>
      </c>
      <c r="C408" t="s">
        <v>93</v>
      </c>
      <c r="D408" t="s">
        <v>111</v>
      </c>
      <c r="E408" t="s">
        <v>116</v>
      </c>
      <c r="F408">
        <v>4000</v>
      </c>
      <c r="G408" t="s">
        <v>25</v>
      </c>
      <c r="H408" t="s">
        <v>1172</v>
      </c>
      <c r="I408" t="s">
        <v>71</v>
      </c>
      <c r="J408">
        <v>63600</v>
      </c>
      <c r="K408" t="s">
        <v>3</v>
      </c>
      <c r="L408" t="s">
        <v>1173</v>
      </c>
      <c r="M408" t="s">
        <v>3</v>
      </c>
      <c r="N408" t="s">
        <v>70</v>
      </c>
      <c r="O408" s="25" t="s">
        <v>3824</v>
      </c>
      <c r="P408" s="25">
        <v>1</v>
      </c>
      <c r="Q408" s="25">
        <v>63600</v>
      </c>
      <c r="R408" s="25" t="s">
        <v>26</v>
      </c>
      <c r="S408" s="25" t="s">
        <v>26</v>
      </c>
      <c r="T408" s="25">
        <f t="shared" si="6"/>
        <v>63600</v>
      </c>
    </row>
    <row r="409" spans="1:20">
      <c r="A409" t="s">
        <v>1174</v>
      </c>
      <c r="B409">
        <v>45865</v>
      </c>
      <c r="C409" t="s">
        <v>93</v>
      </c>
      <c r="D409" t="s">
        <v>111</v>
      </c>
      <c r="E409" t="s">
        <v>119</v>
      </c>
      <c r="F409">
        <v>4000</v>
      </c>
      <c r="G409" t="s">
        <v>25</v>
      </c>
      <c r="H409" t="s">
        <v>1175</v>
      </c>
      <c r="I409" t="s">
        <v>71</v>
      </c>
      <c r="J409">
        <v>60200</v>
      </c>
      <c r="K409" t="s">
        <v>3</v>
      </c>
      <c r="L409" t="s">
        <v>1173</v>
      </c>
      <c r="M409" t="s">
        <v>3</v>
      </c>
      <c r="N409" t="s">
        <v>70</v>
      </c>
      <c r="O409" s="25" t="s">
        <v>3824</v>
      </c>
      <c r="P409" s="25">
        <v>1</v>
      </c>
      <c r="Q409" s="25">
        <v>60200</v>
      </c>
      <c r="R409" s="25" t="s">
        <v>26</v>
      </c>
      <c r="S409" s="25" t="s">
        <v>26</v>
      </c>
      <c r="T409" s="25">
        <f t="shared" si="6"/>
        <v>60200</v>
      </c>
    </row>
    <row r="410" spans="1:20">
      <c r="A410" t="s">
        <v>1176</v>
      </c>
      <c r="B410">
        <v>45865</v>
      </c>
      <c r="C410" t="s">
        <v>93</v>
      </c>
      <c r="D410" t="s">
        <v>111</v>
      </c>
      <c r="E410" t="s">
        <v>170</v>
      </c>
      <c r="F410">
        <v>4000</v>
      </c>
      <c r="G410" t="s">
        <v>25</v>
      </c>
      <c r="H410" t="s">
        <v>1177</v>
      </c>
      <c r="I410" t="s">
        <v>71</v>
      </c>
      <c r="J410">
        <v>63400</v>
      </c>
      <c r="K410" t="s">
        <v>3</v>
      </c>
      <c r="L410" t="s">
        <v>1173</v>
      </c>
      <c r="M410" t="s">
        <v>3</v>
      </c>
      <c r="N410" t="s">
        <v>70</v>
      </c>
      <c r="O410" s="25" t="s">
        <v>3824</v>
      </c>
      <c r="P410" s="25">
        <v>1</v>
      </c>
      <c r="Q410" s="25">
        <v>63400</v>
      </c>
      <c r="R410" s="25" t="s">
        <v>26</v>
      </c>
      <c r="S410" s="25" t="s">
        <v>26</v>
      </c>
      <c r="T410" s="25">
        <f t="shared" si="6"/>
        <v>63400</v>
      </c>
    </row>
    <row r="411" spans="1:20">
      <c r="A411" t="s">
        <v>1178</v>
      </c>
      <c r="B411">
        <v>45865</v>
      </c>
      <c r="C411" t="s">
        <v>93</v>
      </c>
      <c r="D411" t="s">
        <v>111</v>
      </c>
      <c r="E411" t="s">
        <v>122</v>
      </c>
      <c r="F411">
        <v>4000</v>
      </c>
      <c r="G411" t="s">
        <v>25</v>
      </c>
      <c r="H411" t="s">
        <v>1179</v>
      </c>
      <c r="I411" t="s">
        <v>71</v>
      </c>
      <c r="J411">
        <v>61500</v>
      </c>
      <c r="K411" t="s">
        <v>3</v>
      </c>
      <c r="L411" t="s">
        <v>1180</v>
      </c>
      <c r="M411" t="s">
        <v>3</v>
      </c>
      <c r="N411" t="s">
        <v>70</v>
      </c>
      <c r="O411" s="25" t="s">
        <v>3824</v>
      </c>
      <c r="P411" s="25">
        <v>1</v>
      </c>
      <c r="Q411" s="25">
        <v>61500</v>
      </c>
      <c r="R411" s="25" t="s">
        <v>26</v>
      </c>
      <c r="S411" s="25" t="s">
        <v>26</v>
      </c>
      <c r="T411" s="25">
        <f t="shared" si="6"/>
        <v>61500</v>
      </c>
    </row>
    <row r="412" spans="1:20">
      <c r="A412" t="s">
        <v>1181</v>
      </c>
      <c r="B412">
        <v>45865</v>
      </c>
      <c r="C412" t="s">
        <v>126</v>
      </c>
      <c r="D412" t="s">
        <v>88</v>
      </c>
      <c r="E412" t="s">
        <v>127</v>
      </c>
      <c r="F412">
        <v>4020</v>
      </c>
      <c r="G412" t="s">
        <v>30</v>
      </c>
      <c r="H412" t="s">
        <v>1182</v>
      </c>
      <c r="I412" t="s">
        <v>72</v>
      </c>
      <c r="J412">
        <v>25.75</v>
      </c>
      <c r="K412" t="s">
        <v>129</v>
      </c>
      <c r="L412" t="s">
        <v>1183</v>
      </c>
      <c r="M412" t="s">
        <v>3</v>
      </c>
      <c r="N412" t="s">
        <v>70</v>
      </c>
      <c r="O412" s="25" t="s">
        <v>3825</v>
      </c>
      <c r="P412" s="25">
        <v>1530</v>
      </c>
      <c r="Q412" s="25">
        <v>39397.5</v>
      </c>
      <c r="R412" s="25" t="s">
        <v>26</v>
      </c>
      <c r="S412" s="25" t="s">
        <v>26</v>
      </c>
      <c r="T412" s="25">
        <f t="shared" si="6"/>
        <v>39397.5</v>
      </c>
    </row>
    <row r="413" spans="1:20">
      <c r="A413" t="s">
        <v>1184</v>
      </c>
      <c r="B413">
        <v>45865</v>
      </c>
      <c r="C413" t="s">
        <v>126</v>
      </c>
      <c r="D413" t="s">
        <v>88</v>
      </c>
      <c r="E413" t="s">
        <v>132</v>
      </c>
      <c r="F413">
        <v>4020</v>
      </c>
      <c r="G413" t="s">
        <v>30</v>
      </c>
      <c r="H413" t="s">
        <v>1185</v>
      </c>
      <c r="I413" t="s">
        <v>72</v>
      </c>
      <c r="J413">
        <v>29.15</v>
      </c>
      <c r="K413" t="s">
        <v>134</v>
      </c>
      <c r="L413" t="s">
        <v>1183</v>
      </c>
      <c r="M413" t="s">
        <v>3</v>
      </c>
      <c r="N413" t="s">
        <v>70</v>
      </c>
      <c r="O413" s="25" t="s">
        <v>3825</v>
      </c>
      <c r="P413" s="25">
        <v>1530</v>
      </c>
      <c r="Q413" s="25">
        <v>44599.5</v>
      </c>
      <c r="R413" s="25" t="s">
        <v>26</v>
      </c>
      <c r="S413" s="25" t="s">
        <v>26</v>
      </c>
      <c r="T413" s="25">
        <f t="shared" si="6"/>
        <v>44599.5</v>
      </c>
    </row>
    <row r="414" spans="1:20">
      <c r="A414" t="s">
        <v>1186</v>
      </c>
      <c r="B414">
        <v>45865</v>
      </c>
      <c r="C414" t="s">
        <v>126</v>
      </c>
      <c r="D414" t="s">
        <v>88</v>
      </c>
      <c r="E414" t="s">
        <v>140</v>
      </c>
      <c r="F414">
        <v>4020</v>
      </c>
      <c r="G414" t="s">
        <v>30</v>
      </c>
      <c r="H414" t="s">
        <v>1187</v>
      </c>
      <c r="I414" t="s">
        <v>71</v>
      </c>
      <c r="J414">
        <v>44700</v>
      </c>
      <c r="K414" t="s">
        <v>3</v>
      </c>
      <c r="L414" t="s">
        <v>1188</v>
      </c>
      <c r="M414" t="s">
        <v>3</v>
      </c>
      <c r="N414" t="s">
        <v>70</v>
      </c>
      <c r="O414" s="25" t="s">
        <v>3824</v>
      </c>
      <c r="P414" s="25">
        <v>1</v>
      </c>
      <c r="Q414" s="25">
        <v>44700</v>
      </c>
      <c r="R414" s="25" t="s">
        <v>26</v>
      </c>
      <c r="S414" s="25" t="s">
        <v>26</v>
      </c>
      <c r="T414" s="25">
        <f t="shared" si="6"/>
        <v>44700</v>
      </c>
    </row>
    <row r="415" spans="1:20">
      <c r="A415" t="s">
        <v>1189</v>
      </c>
      <c r="B415">
        <v>45865</v>
      </c>
      <c r="C415" t="s">
        <v>87</v>
      </c>
      <c r="D415" t="s">
        <v>88</v>
      </c>
      <c r="E415" t="s">
        <v>3</v>
      </c>
      <c r="F415">
        <v>5030</v>
      </c>
      <c r="G415" t="s">
        <v>41</v>
      </c>
      <c r="H415" t="s">
        <v>148</v>
      </c>
      <c r="I415" t="s">
        <v>71</v>
      </c>
      <c r="J415">
        <v>-478000</v>
      </c>
      <c r="K415" t="s">
        <v>90</v>
      </c>
      <c r="L415" t="s">
        <v>1190</v>
      </c>
      <c r="M415" t="s">
        <v>3</v>
      </c>
      <c r="N415" t="s">
        <v>70</v>
      </c>
      <c r="O415" s="25" t="s">
        <v>3824</v>
      </c>
      <c r="P415" s="25">
        <v>1</v>
      </c>
      <c r="Q415" s="25">
        <v>-478000</v>
      </c>
      <c r="R415" s="25" t="s">
        <v>35</v>
      </c>
      <c r="S415" s="25" t="s">
        <v>35</v>
      </c>
      <c r="T415" s="25">
        <f t="shared" si="6"/>
        <v>-478000</v>
      </c>
    </row>
    <row r="416" spans="1:20">
      <c r="A416" t="s">
        <v>1191</v>
      </c>
      <c r="B416">
        <v>45866</v>
      </c>
      <c r="C416" t="s">
        <v>93</v>
      </c>
      <c r="D416" t="s">
        <v>94</v>
      </c>
      <c r="E416" t="s">
        <v>95</v>
      </c>
      <c r="F416">
        <v>4000</v>
      </c>
      <c r="G416" t="s">
        <v>25</v>
      </c>
      <c r="H416" t="s">
        <v>1192</v>
      </c>
      <c r="I416" t="s">
        <v>71</v>
      </c>
      <c r="J416">
        <v>31600</v>
      </c>
      <c r="K416" t="s">
        <v>3</v>
      </c>
      <c r="L416" t="s">
        <v>1193</v>
      </c>
      <c r="M416" t="s">
        <v>3</v>
      </c>
      <c r="N416" t="s">
        <v>70</v>
      </c>
      <c r="O416" s="25" t="s">
        <v>3824</v>
      </c>
      <c r="P416" s="25">
        <v>1</v>
      </c>
      <c r="Q416" s="25">
        <v>31600</v>
      </c>
      <c r="R416" s="25" t="s">
        <v>26</v>
      </c>
      <c r="S416" s="25" t="s">
        <v>26</v>
      </c>
      <c r="T416" s="25">
        <f t="shared" si="6"/>
        <v>31600</v>
      </c>
    </row>
    <row r="417" spans="1:20">
      <c r="A417" t="s">
        <v>1194</v>
      </c>
      <c r="B417">
        <v>45866</v>
      </c>
      <c r="C417" t="s">
        <v>93</v>
      </c>
      <c r="D417" t="s">
        <v>94</v>
      </c>
      <c r="E417" t="s">
        <v>99</v>
      </c>
      <c r="F417">
        <v>4000</v>
      </c>
      <c r="G417" t="s">
        <v>25</v>
      </c>
      <c r="H417" t="s">
        <v>1195</v>
      </c>
      <c r="I417" t="s">
        <v>71</v>
      </c>
      <c r="J417">
        <v>27200</v>
      </c>
      <c r="K417" t="s">
        <v>3</v>
      </c>
      <c r="L417" t="s">
        <v>1196</v>
      </c>
      <c r="M417" t="s">
        <v>3</v>
      </c>
      <c r="N417" t="s">
        <v>70</v>
      </c>
      <c r="O417" s="25" t="s">
        <v>3824</v>
      </c>
      <c r="P417" s="25">
        <v>1</v>
      </c>
      <c r="Q417" s="25">
        <v>27200</v>
      </c>
      <c r="R417" s="25" t="s">
        <v>26</v>
      </c>
      <c r="S417" s="25" t="s">
        <v>26</v>
      </c>
      <c r="T417" s="25">
        <f t="shared" si="6"/>
        <v>27200</v>
      </c>
    </row>
    <row r="418" spans="1:20">
      <c r="A418" t="s">
        <v>1197</v>
      </c>
      <c r="B418">
        <v>45866</v>
      </c>
      <c r="C418" t="s">
        <v>93</v>
      </c>
      <c r="D418" t="s">
        <v>94</v>
      </c>
      <c r="E418" t="s">
        <v>103</v>
      </c>
      <c r="F418">
        <v>4000</v>
      </c>
      <c r="G418" t="s">
        <v>25</v>
      </c>
      <c r="H418" t="s">
        <v>1198</v>
      </c>
      <c r="I418" t="s">
        <v>71</v>
      </c>
      <c r="J418">
        <v>29400</v>
      </c>
      <c r="K418" t="s">
        <v>3</v>
      </c>
      <c r="L418" t="s">
        <v>1199</v>
      </c>
      <c r="M418" t="s">
        <v>3</v>
      </c>
      <c r="N418" t="s">
        <v>70</v>
      </c>
      <c r="O418" s="25" t="s">
        <v>3824</v>
      </c>
      <c r="P418" s="25">
        <v>1</v>
      </c>
      <c r="Q418" s="25">
        <v>29400</v>
      </c>
      <c r="R418" s="25" t="s">
        <v>26</v>
      </c>
      <c r="S418" s="25" t="s">
        <v>26</v>
      </c>
      <c r="T418" s="25">
        <f t="shared" si="6"/>
        <v>29400</v>
      </c>
    </row>
    <row r="419" spans="1:20">
      <c r="A419" t="s">
        <v>1200</v>
      </c>
      <c r="B419">
        <v>45866</v>
      </c>
      <c r="C419" t="s">
        <v>93</v>
      </c>
      <c r="D419" t="s">
        <v>94</v>
      </c>
      <c r="E419" t="s">
        <v>160</v>
      </c>
      <c r="F419">
        <v>4000</v>
      </c>
      <c r="G419" t="s">
        <v>25</v>
      </c>
      <c r="H419" t="s">
        <v>1201</v>
      </c>
      <c r="I419" t="s">
        <v>71</v>
      </c>
      <c r="J419">
        <v>30900</v>
      </c>
      <c r="K419" t="s">
        <v>3</v>
      </c>
      <c r="L419" t="s">
        <v>1199</v>
      </c>
      <c r="M419" t="s">
        <v>3</v>
      </c>
      <c r="N419" t="s">
        <v>70</v>
      </c>
      <c r="O419" s="25" t="s">
        <v>3824</v>
      </c>
      <c r="P419" s="25">
        <v>1</v>
      </c>
      <c r="Q419" s="25">
        <v>30900</v>
      </c>
      <c r="R419" s="25" t="s">
        <v>26</v>
      </c>
      <c r="S419" s="25" t="s">
        <v>26</v>
      </c>
      <c r="T419" s="25">
        <f t="shared" si="6"/>
        <v>30900</v>
      </c>
    </row>
    <row r="420" spans="1:20">
      <c r="A420" t="s">
        <v>1202</v>
      </c>
      <c r="B420">
        <v>45866</v>
      </c>
      <c r="C420" t="s">
        <v>93</v>
      </c>
      <c r="D420" t="s">
        <v>94</v>
      </c>
      <c r="E420" t="s">
        <v>107</v>
      </c>
      <c r="F420">
        <v>4000</v>
      </c>
      <c r="G420" t="s">
        <v>25</v>
      </c>
      <c r="H420" t="s">
        <v>1203</v>
      </c>
      <c r="I420" t="s">
        <v>71</v>
      </c>
      <c r="J420">
        <v>30400</v>
      </c>
      <c r="K420" t="s">
        <v>3</v>
      </c>
      <c r="L420" t="s">
        <v>1204</v>
      </c>
      <c r="M420" t="s">
        <v>3</v>
      </c>
      <c r="N420" t="s">
        <v>70</v>
      </c>
      <c r="O420" s="25" t="s">
        <v>3824</v>
      </c>
      <c r="P420" s="25">
        <v>1</v>
      </c>
      <c r="Q420" s="25">
        <v>30400</v>
      </c>
      <c r="R420" s="25" t="s">
        <v>26</v>
      </c>
      <c r="S420" s="25" t="s">
        <v>26</v>
      </c>
      <c r="T420" s="25">
        <f t="shared" si="6"/>
        <v>30400</v>
      </c>
    </row>
    <row r="421" spans="1:20">
      <c r="A421" t="s">
        <v>1205</v>
      </c>
      <c r="B421">
        <v>45866</v>
      </c>
      <c r="C421" t="s">
        <v>93</v>
      </c>
      <c r="D421" t="s">
        <v>111</v>
      </c>
      <c r="E421" t="s">
        <v>112</v>
      </c>
      <c r="F421">
        <v>4000</v>
      </c>
      <c r="G421" t="s">
        <v>25</v>
      </c>
      <c r="H421" t="s">
        <v>1206</v>
      </c>
      <c r="I421" t="s">
        <v>71</v>
      </c>
      <c r="J421">
        <v>46700</v>
      </c>
      <c r="K421" t="s">
        <v>3</v>
      </c>
      <c r="L421" t="s">
        <v>1207</v>
      </c>
      <c r="M421" t="s">
        <v>3</v>
      </c>
      <c r="N421" t="s">
        <v>70</v>
      </c>
      <c r="O421" s="25" t="s">
        <v>3824</v>
      </c>
      <c r="P421" s="25">
        <v>1</v>
      </c>
      <c r="Q421" s="25">
        <v>46700</v>
      </c>
      <c r="R421" s="25" t="s">
        <v>26</v>
      </c>
      <c r="S421" s="25" t="s">
        <v>26</v>
      </c>
      <c r="T421" s="25">
        <f t="shared" si="6"/>
        <v>46700</v>
      </c>
    </row>
    <row r="422" spans="1:20">
      <c r="A422" t="s">
        <v>1208</v>
      </c>
      <c r="B422">
        <v>45866</v>
      </c>
      <c r="C422" t="s">
        <v>93</v>
      </c>
      <c r="D422" t="s">
        <v>111</v>
      </c>
      <c r="E422" t="s">
        <v>116</v>
      </c>
      <c r="F422">
        <v>4000</v>
      </c>
      <c r="G422" t="s">
        <v>25</v>
      </c>
      <c r="H422" t="s">
        <v>1209</v>
      </c>
      <c r="I422" t="s">
        <v>71</v>
      </c>
      <c r="J422">
        <v>45900</v>
      </c>
      <c r="K422" t="s">
        <v>3</v>
      </c>
      <c r="L422" t="s">
        <v>1207</v>
      </c>
      <c r="M422" t="s">
        <v>3</v>
      </c>
      <c r="N422" t="s">
        <v>70</v>
      </c>
      <c r="O422" s="25" t="s">
        <v>3824</v>
      </c>
      <c r="P422" s="25">
        <v>1</v>
      </c>
      <c r="Q422" s="25">
        <v>45900</v>
      </c>
      <c r="R422" s="25" t="s">
        <v>26</v>
      </c>
      <c r="S422" s="25" t="s">
        <v>26</v>
      </c>
      <c r="T422" s="25">
        <f t="shared" si="6"/>
        <v>45900</v>
      </c>
    </row>
    <row r="423" spans="1:20">
      <c r="A423" t="s">
        <v>1210</v>
      </c>
      <c r="B423">
        <v>45866</v>
      </c>
      <c r="C423" t="s">
        <v>93</v>
      </c>
      <c r="D423" t="s">
        <v>111</v>
      </c>
      <c r="E423" t="s">
        <v>119</v>
      </c>
      <c r="F423">
        <v>4000</v>
      </c>
      <c r="G423" t="s">
        <v>25</v>
      </c>
      <c r="H423" t="s">
        <v>1211</v>
      </c>
      <c r="I423" t="s">
        <v>71</v>
      </c>
      <c r="J423">
        <v>46300</v>
      </c>
      <c r="K423" t="s">
        <v>3</v>
      </c>
      <c r="L423" t="s">
        <v>1207</v>
      </c>
      <c r="M423" t="s">
        <v>3</v>
      </c>
      <c r="N423" t="s">
        <v>70</v>
      </c>
      <c r="O423" s="25" t="s">
        <v>3824</v>
      </c>
      <c r="P423" s="25">
        <v>1</v>
      </c>
      <c r="Q423" s="25">
        <v>46300</v>
      </c>
      <c r="R423" s="25" t="s">
        <v>26</v>
      </c>
      <c r="S423" s="25" t="s">
        <v>26</v>
      </c>
      <c r="T423" s="25">
        <f t="shared" si="6"/>
        <v>46300</v>
      </c>
    </row>
    <row r="424" spans="1:20">
      <c r="A424" t="s">
        <v>1212</v>
      </c>
      <c r="B424">
        <v>45866</v>
      </c>
      <c r="C424" t="s">
        <v>93</v>
      </c>
      <c r="D424" t="s">
        <v>111</v>
      </c>
      <c r="E424" t="s">
        <v>170</v>
      </c>
      <c r="F424">
        <v>4000</v>
      </c>
      <c r="G424" t="s">
        <v>25</v>
      </c>
      <c r="H424" t="s">
        <v>1213</v>
      </c>
      <c r="I424" t="s">
        <v>71</v>
      </c>
      <c r="J424">
        <v>48900</v>
      </c>
      <c r="K424" t="s">
        <v>3</v>
      </c>
      <c r="L424" t="s">
        <v>1207</v>
      </c>
      <c r="M424" t="s">
        <v>3</v>
      </c>
      <c r="N424" t="s">
        <v>70</v>
      </c>
      <c r="O424" s="25" t="s">
        <v>3824</v>
      </c>
      <c r="P424" s="25">
        <v>1</v>
      </c>
      <c r="Q424" s="25">
        <v>48900</v>
      </c>
      <c r="R424" s="25" t="s">
        <v>26</v>
      </c>
      <c r="S424" s="25" t="s">
        <v>26</v>
      </c>
      <c r="T424" s="25">
        <f t="shared" si="6"/>
        <v>48900</v>
      </c>
    </row>
    <row r="425" spans="1:20">
      <c r="A425" t="s">
        <v>1214</v>
      </c>
      <c r="B425">
        <v>45866</v>
      </c>
      <c r="C425" t="s">
        <v>93</v>
      </c>
      <c r="D425" t="s">
        <v>111</v>
      </c>
      <c r="E425" t="s">
        <v>122</v>
      </c>
      <c r="F425">
        <v>4000</v>
      </c>
      <c r="G425" t="s">
        <v>25</v>
      </c>
      <c r="H425" t="s">
        <v>1215</v>
      </c>
      <c r="I425" t="s">
        <v>71</v>
      </c>
      <c r="J425">
        <v>47300</v>
      </c>
      <c r="K425" t="s">
        <v>3</v>
      </c>
      <c r="L425" t="s">
        <v>1216</v>
      </c>
      <c r="M425" t="s">
        <v>3</v>
      </c>
      <c r="N425" t="s">
        <v>70</v>
      </c>
      <c r="O425" s="25" t="s">
        <v>3824</v>
      </c>
      <c r="P425" s="25">
        <v>1</v>
      </c>
      <c r="Q425" s="25">
        <v>47300</v>
      </c>
      <c r="R425" s="25" t="s">
        <v>26</v>
      </c>
      <c r="S425" s="25" t="s">
        <v>26</v>
      </c>
      <c r="T425" s="25">
        <f t="shared" si="6"/>
        <v>47300</v>
      </c>
    </row>
    <row r="426" spans="1:20">
      <c r="A426" t="s">
        <v>1217</v>
      </c>
      <c r="B426">
        <v>45866</v>
      </c>
      <c r="C426" t="s">
        <v>126</v>
      </c>
      <c r="D426" t="s">
        <v>88</v>
      </c>
      <c r="E426" t="s">
        <v>127</v>
      </c>
      <c r="F426">
        <v>4020</v>
      </c>
      <c r="G426" t="s">
        <v>30</v>
      </c>
      <c r="H426" t="s">
        <v>1218</v>
      </c>
      <c r="I426" t="s">
        <v>71</v>
      </c>
      <c r="J426">
        <v>46500</v>
      </c>
      <c r="K426" t="s">
        <v>129</v>
      </c>
      <c r="L426" t="s">
        <v>1219</v>
      </c>
      <c r="M426" t="s">
        <v>3</v>
      </c>
      <c r="N426" t="s">
        <v>70</v>
      </c>
      <c r="O426" s="25" t="s">
        <v>3824</v>
      </c>
      <c r="P426" s="25">
        <v>1</v>
      </c>
      <c r="Q426" s="25">
        <v>46500</v>
      </c>
      <c r="R426" s="25" t="s">
        <v>26</v>
      </c>
      <c r="S426" s="25" t="s">
        <v>26</v>
      </c>
      <c r="T426" s="25">
        <f t="shared" si="6"/>
        <v>46500</v>
      </c>
    </row>
    <row r="427" spans="1:20">
      <c r="A427" t="s">
        <v>1220</v>
      </c>
      <c r="B427">
        <v>45866</v>
      </c>
      <c r="C427" t="s">
        <v>126</v>
      </c>
      <c r="D427" t="s">
        <v>88</v>
      </c>
      <c r="E427" t="s">
        <v>132</v>
      </c>
      <c r="F427">
        <v>4020</v>
      </c>
      <c r="G427" t="s">
        <v>30</v>
      </c>
      <c r="H427" t="s">
        <v>1221</v>
      </c>
      <c r="I427" t="s">
        <v>71</v>
      </c>
      <c r="J427">
        <v>50400</v>
      </c>
      <c r="K427" t="s">
        <v>134</v>
      </c>
      <c r="L427" t="s">
        <v>1219</v>
      </c>
      <c r="M427" t="s">
        <v>3</v>
      </c>
      <c r="N427" t="s">
        <v>70</v>
      </c>
      <c r="O427" s="25" t="s">
        <v>3824</v>
      </c>
      <c r="P427" s="25">
        <v>1</v>
      </c>
      <c r="Q427" s="25">
        <v>50400</v>
      </c>
      <c r="R427" s="25" t="s">
        <v>26</v>
      </c>
      <c r="S427" s="25" t="s">
        <v>26</v>
      </c>
      <c r="T427" s="25">
        <f t="shared" si="6"/>
        <v>50400</v>
      </c>
    </row>
    <row r="428" spans="1:20">
      <c r="A428" t="s">
        <v>1222</v>
      </c>
      <c r="B428">
        <v>45866</v>
      </c>
      <c r="C428" t="s">
        <v>126</v>
      </c>
      <c r="D428" t="s">
        <v>88</v>
      </c>
      <c r="E428" t="s">
        <v>136</v>
      </c>
      <c r="F428">
        <v>4020</v>
      </c>
      <c r="G428" t="s">
        <v>30</v>
      </c>
      <c r="H428" t="s">
        <v>1223</v>
      </c>
      <c r="I428" t="s">
        <v>72</v>
      </c>
      <c r="J428">
        <v>27.84</v>
      </c>
      <c r="K428" t="s">
        <v>138</v>
      </c>
      <c r="L428" t="s">
        <v>1219</v>
      </c>
      <c r="M428" t="s">
        <v>3</v>
      </c>
      <c r="N428" t="s">
        <v>70</v>
      </c>
      <c r="O428" s="25" t="s">
        <v>3825</v>
      </c>
      <c r="P428" s="25">
        <v>1530</v>
      </c>
      <c r="Q428" s="25">
        <v>42595.199999999997</v>
      </c>
      <c r="R428" s="25" t="s">
        <v>26</v>
      </c>
      <c r="S428" s="25" t="s">
        <v>26</v>
      </c>
      <c r="T428" s="25">
        <f t="shared" si="6"/>
        <v>42595.199999999997</v>
      </c>
    </row>
    <row r="429" spans="1:20">
      <c r="A429" t="s">
        <v>1224</v>
      </c>
      <c r="B429">
        <v>45866</v>
      </c>
      <c r="C429" t="s">
        <v>126</v>
      </c>
      <c r="D429" t="s">
        <v>88</v>
      </c>
      <c r="E429" t="s">
        <v>140</v>
      </c>
      <c r="F429">
        <v>4020</v>
      </c>
      <c r="G429" t="s">
        <v>30</v>
      </c>
      <c r="H429" t="s">
        <v>1225</v>
      </c>
      <c r="I429" t="s">
        <v>71</v>
      </c>
      <c r="J429">
        <v>40400</v>
      </c>
      <c r="K429" t="s">
        <v>3</v>
      </c>
      <c r="L429" t="s">
        <v>1226</v>
      </c>
      <c r="M429" t="s">
        <v>3</v>
      </c>
      <c r="N429" t="s">
        <v>70</v>
      </c>
      <c r="O429" s="25" t="s">
        <v>3824</v>
      </c>
      <c r="P429" s="25">
        <v>1</v>
      </c>
      <c r="Q429" s="25">
        <v>40400</v>
      </c>
      <c r="R429" s="25" t="s">
        <v>26</v>
      </c>
      <c r="S429" s="25" t="s">
        <v>26</v>
      </c>
      <c r="T429" s="25">
        <f t="shared" si="6"/>
        <v>40400</v>
      </c>
    </row>
    <row r="430" spans="1:20">
      <c r="A430" t="s">
        <v>1227</v>
      </c>
      <c r="B430">
        <v>45866</v>
      </c>
      <c r="C430" t="s">
        <v>87</v>
      </c>
      <c r="D430" t="s">
        <v>94</v>
      </c>
      <c r="E430" t="s">
        <v>3</v>
      </c>
      <c r="F430">
        <v>5020</v>
      </c>
      <c r="G430" t="s">
        <v>39</v>
      </c>
      <c r="H430" t="s">
        <v>275</v>
      </c>
      <c r="I430" t="s">
        <v>71</v>
      </c>
      <c r="J430">
        <v>-98000</v>
      </c>
      <c r="K430" t="s">
        <v>276</v>
      </c>
      <c r="L430" t="s">
        <v>1228</v>
      </c>
      <c r="M430" t="s">
        <v>3</v>
      </c>
      <c r="N430" t="s">
        <v>70</v>
      </c>
      <c r="O430" s="25" t="s">
        <v>3824</v>
      </c>
      <c r="P430" s="25">
        <v>1</v>
      </c>
      <c r="Q430" s="25">
        <v>-98000</v>
      </c>
      <c r="R430" s="25" t="s">
        <v>35</v>
      </c>
      <c r="S430" s="25" t="s">
        <v>35</v>
      </c>
      <c r="T430" s="25">
        <f t="shared" si="6"/>
        <v>-98000</v>
      </c>
    </row>
    <row r="431" spans="1:20">
      <c r="A431" t="s">
        <v>1229</v>
      </c>
      <c r="B431">
        <v>45866</v>
      </c>
      <c r="C431" t="s">
        <v>87</v>
      </c>
      <c r="D431" t="s">
        <v>111</v>
      </c>
      <c r="E431" t="s">
        <v>3</v>
      </c>
      <c r="F431">
        <v>5010</v>
      </c>
      <c r="G431" t="s">
        <v>37</v>
      </c>
      <c r="H431" t="s">
        <v>144</v>
      </c>
      <c r="I431" t="s">
        <v>71</v>
      </c>
      <c r="J431">
        <v>-2067000</v>
      </c>
      <c r="K431" t="s">
        <v>145</v>
      </c>
      <c r="L431" t="s">
        <v>1230</v>
      </c>
      <c r="M431" t="s">
        <v>3</v>
      </c>
      <c r="N431" t="s">
        <v>70</v>
      </c>
      <c r="O431" s="25" t="s">
        <v>3824</v>
      </c>
      <c r="P431" s="25">
        <v>1</v>
      </c>
      <c r="Q431" s="25">
        <v>-2067000</v>
      </c>
      <c r="R431" s="25" t="s">
        <v>35</v>
      </c>
      <c r="S431" s="25" t="s">
        <v>35</v>
      </c>
      <c r="T431" s="25">
        <f t="shared" si="6"/>
        <v>-2067000</v>
      </c>
    </row>
    <row r="432" spans="1:20">
      <c r="A432" t="s">
        <v>1231</v>
      </c>
      <c r="B432">
        <v>45866</v>
      </c>
      <c r="C432" t="s">
        <v>87</v>
      </c>
      <c r="D432" t="s">
        <v>111</v>
      </c>
      <c r="E432" t="s">
        <v>3</v>
      </c>
      <c r="F432">
        <v>5010</v>
      </c>
      <c r="G432" t="s">
        <v>37</v>
      </c>
      <c r="H432" t="s">
        <v>986</v>
      </c>
      <c r="I432" t="s">
        <v>71</v>
      </c>
      <c r="J432">
        <v>-905000</v>
      </c>
      <c r="K432" t="s">
        <v>987</v>
      </c>
      <c r="L432" t="s">
        <v>1232</v>
      </c>
      <c r="M432" t="s">
        <v>3</v>
      </c>
      <c r="N432" t="s">
        <v>70</v>
      </c>
      <c r="O432" s="25" t="s">
        <v>3824</v>
      </c>
      <c r="P432" s="25">
        <v>1</v>
      </c>
      <c r="Q432" s="25">
        <v>-905000</v>
      </c>
      <c r="R432" s="25" t="s">
        <v>35</v>
      </c>
      <c r="S432" s="25" t="s">
        <v>35</v>
      </c>
      <c r="T432" s="25">
        <f t="shared" si="6"/>
        <v>-905000</v>
      </c>
    </row>
    <row r="433" spans="1:20">
      <c r="A433" t="s">
        <v>1233</v>
      </c>
      <c r="B433">
        <v>45867</v>
      </c>
      <c r="C433" t="s">
        <v>93</v>
      </c>
      <c r="D433" t="s">
        <v>94</v>
      </c>
      <c r="E433" t="s">
        <v>95</v>
      </c>
      <c r="F433">
        <v>4000</v>
      </c>
      <c r="G433" t="s">
        <v>25</v>
      </c>
      <c r="H433" t="s">
        <v>1234</v>
      </c>
      <c r="I433" t="s">
        <v>71</v>
      </c>
      <c r="J433">
        <v>27100</v>
      </c>
      <c r="K433" t="s">
        <v>3</v>
      </c>
      <c r="L433" t="s">
        <v>1235</v>
      </c>
      <c r="M433" t="s">
        <v>3</v>
      </c>
      <c r="N433" t="s">
        <v>70</v>
      </c>
      <c r="O433" s="25" t="s">
        <v>3824</v>
      </c>
      <c r="P433" s="25">
        <v>1</v>
      </c>
      <c r="Q433" s="25">
        <v>27100</v>
      </c>
      <c r="R433" s="25" t="s">
        <v>26</v>
      </c>
      <c r="S433" s="25" t="s">
        <v>26</v>
      </c>
      <c r="T433" s="25">
        <f t="shared" si="6"/>
        <v>27100</v>
      </c>
    </row>
    <row r="434" spans="1:20">
      <c r="A434" t="s">
        <v>1236</v>
      </c>
      <c r="B434">
        <v>45867</v>
      </c>
      <c r="C434" t="s">
        <v>93</v>
      </c>
      <c r="D434" t="s">
        <v>94</v>
      </c>
      <c r="E434" t="s">
        <v>99</v>
      </c>
      <c r="F434">
        <v>4000</v>
      </c>
      <c r="G434" t="s">
        <v>25</v>
      </c>
      <c r="H434" t="s">
        <v>1237</v>
      </c>
      <c r="I434" t="s">
        <v>71</v>
      </c>
      <c r="J434">
        <v>27100</v>
      </c>
      <c r="K434" t="s">
        <v>3</v>
      </c>
      <c r="L434" t="s">
        <v>1238</v>
      </c>
      <c r="M434" t="s">
        <v>3</v>
      </c>
      <c r="N434" t="s">
        <v>70</v>
      </c>
      <c r="O434" s="25" t="s">
        <v>3824</v>
      </c>
      <c r="P434" s="25">
        <v>1</v>
      </c>
      <c r="Q434" s="25">
        <v>27100</v>
      </c>
      <c r="R434" s="25" t="s">
        <v>26</v>
      </c>
      <c r="S434" s="25" t="s">
        <v>26</v>
      </c>
      <c r="T434" s="25">
        <f t="shared" si="6"/>
        <v>27100</v>
      </c>
    </row>
    <row r="435" spans="1:20">
      <c r="A435" t="s">
        <v>1239</v>
      </c>
      <c r="B435">
        <v>45867</v>
      </c>
      <c r="C435" t="s">
        <v>93</v>
      </c>
      <c r="D435" t="s">
        <v>94</v>
      </c>
      <c r="E435" t="s">
        <v>103</v>
      </c>
      <c r="F435">
        <v>4000</v>
      </c>
      <c r="G435" t="s">
        <v>25</v>
      </c>
      <c r="H435" t="s">
        <v>1240</v>
      </c>
      <c r="I435" t="s">
        <v>71</v>
      </c>
      <c r="J435">
        <v>28100</v>
      </c>
      <c r="K435" t="s">
        <v>3</v>
      </c>
      <c r="L435" t="s">
        <v>1241</v>
      </c>
      <c r="M435" t="s">
        <v>3</v>
      </c>
      <c r="N435" t="s">
        <v>70</v>
      </c>
      <c r="O435" s="25" t="s">
        <v>3824</v>
      </c>
      <c r="P435" s="25">
        <v>1</v>
      </c>
      <c r="Q435" s="25">
        <v>28100</v>
      </c>
      <c r="R435" s="25" t="s">
        <v>26</v>
      </c>
      <c r="S435" s="25" t="s">
        <v>26</v>
      </c>
      <c r="T435" s="25">
        <f t="shared" si="6"/>
        <v>28100</v>
      </c>
    </row>
    <row r="436" spans="1:20">
      <c r="A436" t="s">
        <v>1242</v>
      </c>
      <c r="B436">
        <v>45867</v>
      </c>
      <c r="C436" t="s">
        <v>93</v>
      </c>
      <c r="D436" t="s">
        <v>94</v>
      </c>
      <c r="E436" t="s">
        <v>160</v>
      </c>
      <c r="F436">
        <v>4000</v>
      </c>
      <c r="G436" t="s">
        <v>25</v>
      </c>
      <c r="H436" t="s">
        <v>1243</v>
      </c>
      <c r="I436" t="s">
        <v>71</v>
      </c>
      <c r="J436">
        <v>27700</v>
      </c>
      <c r="K436" t="s">
        <v>3</v>
      </c>
      <c r="L436" t="s">
        <v>1241</v>
      </c>
      <c r="M436" t="s">
        <v>3</v>
      </c>
      <c r="N436" t="s">
        <v>70</v>
      </c>
      <c r="O436" s="25" t="s">
        <v>3824</v>
      </c>
      <c r="P436" s="25">
        <v>1</v>
      </c>
      <c r="Q436" s="25">
        <v>27700</v>
      </c>
      <c r="R436" s="25" t="s">
        <v>26</v>
      </c>
      <c r="S436" s="25" t="s">
        <v>26</v>
      </c>
      <c r="T436" s="25">
        <f t="shared" si="6"/>
        <v>27700</v>
      </c>
    </row>
    <row r="437" spans="1:20">
      <c r="A437" t="s">
        <v>1244</v>
      </c>
      <c r="B437">
        <v>45867</v>
      </c>
      <c r="C437" t="s">
        <v>93</v>
      </c>
      <c r="D437" t="s">
        <v>94</v>
      </c>
      <c r="E437" t="s">
        <v>107</v>
      </c>
      <c r="F437">
        <v>4000</v>
      </c>
      <c r="G437" t="s">
        <v>25</v>
      </c>
      <c r="H437" t="s">
        <v>1245</v>
      </c>
      <c r="I437" t="s">
        <v>71</v>
      </c>
      <c r="J437">
        <v>29100</v>
      </c>
      <c r="K437" t="s">
        <v>3</v>
      </c>
      <c r="L437" t="s">
        <v>1246</v>
      </c>
      <c r="M437" t="s">
        <v>3</v>
      </c>
      <c r="N437" t="s">
        <v>70</v>
      </c>
      <c r="O437" s="25" t="s">
        <v>3824</v>
      </c>
      <c r="P437" s="25">
        <v>1</v>
      </c>
      <c r="Q437" s="25">
        <v>29100</v>
      </c>
      <c r="R437" s="25" t="s">
        <v>26</v>
      </c>
      <c r="S437" s="25" t="s">
        <v>26</v>
      </c>
      <c r="T437" s="25">
        <f t="shared" si="6"/>
        <v>29100</v>
      </c>
    </row>
    <row r="438" spans="1:20">
      <c r="A438" t="s">
        <v>1247</v>
      </c>
      <c r="B438">
        <v>45867</v>
      </c>
      <c r="C438" t="s">
        <v>93</v>
      </c>
      <c r="D438" t="s">
        <v>111</v>
      </c>
      <c r="E438" t="s">
        <v>112</v>
      </c>
      <c r="F438">
        <v>4000</v>
      </c>
      <c r="G438" t="s">
        <v>25</v>
      </c>
      <c r="H438" t="s">
        <v>1248</v>
      </c>
      <c r="I438" t="s">
        <v>71</v>
      </c>
      <c r="J438">
        <v>47100</v>
      </c>
      <c r="K438" t="s">
        <v>3</v>
      </c>
      <c r="L438" t="s">
        <v>1249</v>
      </c>
      <c r="M438" t="s">
        <v>3</v>
      </c>
      <c r="N438" t="s">
        <v>70</v>
      </c>
      <c r="O438" s="25" t="s">
        <v>3824</v>
      </c>
      <c r="P438" s="25">
        <v>1</v>
      </c>
      <c r="Q438" s="25">
        <v>47100</v>
      </c>
      <c r="R438" s="25" t="s">
        <v>26</v>
      </c>
      <c r="S438" s="25" t="s">
        <v>26</v>
      </c>
      <c r="T438" s="25">
        <f t="shared" si="6"/>
        <v>47100</v>
      </c>
    </row>
    <row r="439" spans="1:20">
      <c r="A439" t="s">
        <v>1250</v>
      </c>
      <c r="B439">
        <v>45867</v>
      </c>
      <c r="C439" t="s">
        <v>93</v>
      </c>
      <c r="D439" t="s">
        <v>111</v>
      </c>
      <c r="E439" t="s">
        <v>116</v>
      </c>
      <c r="F439">
        <v>4000</v>
      </c>
      <c r="G439" t="s">
        <v>25</v>
      </c>
      <c r="H439" t="s">
        <v>1251</v>
      </c>
      <c r="I439" t="s">
        <v>71</v>
      </c>
      <c r="J439">
        <v>47800</v>
      </c>
      <c r="K439" t="s">
        <v>3</v>
      </c>
      <c r="L439" t="s">
        <v>1249</v>
      </c>
      <c r="M439" t="s">
        <v>3</v>
      </c>
      <c r="N439" t="s">
        <v>70</v>
      </c>
      <c r="O439" s="25" t="s">
        <v>3824</v>
      </c>
      <c r="P439" s="25">
        <v>1</v>
      </c>
      <c r="Q439" s="25">
        <v>47800</v>
      </c>
      <c r="R439" s="25" t="s">
        <v>26</v>
      </c>
      <c r="S439" s="25" t="s">
        <v>26</v>
      </c>
      <c r="T439" s="25">
        <f t="shared" si="6"/>
        <v>47800</v>
      </c>
    </row>
    <row r="440" spans="1:20">
      <c r="A440" t="s">
        <v>1252</v>
      </c>
      <c r="B440">
        <v>45867</v>
      </c>
      <c r="C440" t="s">
        <v>93</v>
      </c>
      <c r="D440" t="s">
        <v>111</v>
      </c>
      <c r="E440" t="s">
        <v>119</v>
      </c>
      <c r="F440">
        <v>4000</v>
      </c>
      <c r="G440" t="s">
        <v>25</v>
      </c>
      <c r="H440" t="s">
        <v>1253</v>
      </c>
      <c r="I440" t="s">
        <v>71</v>
      </c>
      <c r="J440">
        <v>50800</v>
      </c>
      <c r="K440" t="s">
        <v>3</v>
      </c>
      <c r="L440" t="s">
        <v>1249</v>
      </c>
      <c r="M440" t="s">
        <v>3</v>
      </c>
      <c r="N440" t="s">
        <v>70</v>
      </c>
      <c r="O440" s="25" t="s">
        <v>3824</v>
      </c>
      <c r="P440" s="25">
        <v>1</v>
      </c>
      <c r="Q440" s="25">
        <v>50800</v>
      </c>
      <c r="R440" s="25" t="s">
        <v>26</v>
      </c>
      <c r="S440" s="25" t="s">
        <v>26</v>
      </c>
      <c r="T440" s="25">
        <f t="shared" si="6"/>
        <v>50800</v>
      </c>
    </row>
    <row r="441" spans="1:20">
      <c r="A441" t="s">
        <v>1254</v>
      </c>
      <c r="B441">
        <v>45867</v>
      </c>
      <c r="C441" t="s">
        <v>93</v>
      </c>
      <c r="D441" t="s">
        <v>111</v>
      </c>
      <c r="E441" t="s">
        <v>170</v>
      </c>
      <c r="F441">
        <v>4000</v>
      </c>
      <c r="G441" t="s">
        <v>25</v>
      </c>
      <c r="H441" t="s">
        <v>1255</v>
      </c>
      <c r="I441" t="s">
        <v>71</v>
      </c>
      <c r="J441">
        <v>50600</v>
      </c>
      <c r="K441" t="s">
        <v>3</v>
      </c>
      <c r="L441" t="s">
        <v>1249</v>
      </c>
      <c r="M441" t="s">
        <v>3</v>
      </c>
      <c r="N441" t="s">
        <v>70</v>
      </c>
      <c r="O441" s="25" t="s">
        <v>3824</v>
      </c>
      <c r="P441" s="25">
        <v>1</v>
      </c>
      <c r="Q441" s="25">
        <v>50600</v>
      </c>
      <c r="R441" s="25" t="s">
        <v>26</v>
      </c>
      <c r="S441" s="25" t="s">
        <v>26</v>
      </c>
      <c r="T441" s="25">
        <f t="shared" si="6"/>
        <v>50600</v>
      </c>
    </row>
    <row r="442" spans="1:20">
      <c r="A442" t="s">
        <v>1256</v>
      </c>
      <c r="B442">
        <v>45867</v>
      </c>
      <c r="C442" t="s">
        <v>93</v>
      </c>
      <c r="D442" t="s">
        <v>111</v>
      </c>
      <c r="E442" t="s">
        <v>122</v>
      </c>
      <c r="F442">
        <v>4000</v>
      </c>
      <c r="G442" t="s">
        <v>25</v>
      </c>
      <c r="H442" t="s">
        <v>1257</v>
      </c>
      <c r="I442" t="s">
        <v>71</v>
      </c>
      <c r="J442">
        <v>49000</v>
      </c>
      <c r="K442" t="s">
        <v>3</v>
      </c>
      <c r="L442" t="s">
        <v>1258</v>
      </c>
      <c r="M442" t="s">
        <v>3</v>
      </c>
      <c r="N442" t="s">
        <v>70</v>
      </c>
      <c r="O442" s="25" t="s">
        <v>3824</v>
      </c>
      <c r="P442" s="25">
        <v>1</v>
      </c>
      <c r="Q442" s="25">
        <v>49000</v>
      </c>
      <c r="R442" s="25" t="s">
        <v>26</v>
      </c>
      <c r="S442" s="25" t="s">
        <v>26</v>
      </c>
      <c r="T442" s="25">
        <f t="shared" si="6"/>
        <v>49000</v>
      </c>
    </row>
    <row r="443" spans="1:20">
      <c r="A443" t="s">
        <v>1259</v>
      </c>
      <c r="B443">
        <v>45867</v>
      </c>
      <c r="C443" t="s">
        <v>126</v>
      </c>
      <c r="D443" t="s">
        <v>88</v>
      </c>
      <c r="E443" t="s">
        <v>127</v>
      </c>
      <c r="F443">
        <v>4020</v>
      </c>
      <c r="G443" t="s">
        <v>30</v>
      </c>
      <c r="H443" t="s">
        <v>1260</v>
      </c>
      <c r="I443" t="s">
        <v>71</v>
      </c>
      <c r="J443">
        <v>44000</v>
      </c>
      <c r="K443" t="s">
        <v>129</v>
      </c>
      <c r="L443" t="s">
        <v>1261</v>
      </c>
      <c r="M443" t="s">
        <v>3</v>
      </c>
      <c r="N443" t="s">
        <v>70</v>
      </c>
      <c r="O443" s="25" t="s">
        <v>3824</v>
      </c>
      <c r="P443" s="25">
        <v>1</v>
      </c>
      <c r="Q443" s="25">
        <v>44000</v>
      </c>
      <c r="R443" s="25" t="s">
        <v>26</v>
      </c>
      <c r="S443" s="25" t="s">
        <v>26</v>
      </c>
      <c r="T443" s="25">
        <f t="shared" si="6"/>
        <v>44000</v>
      </c>
    </row>
    <row r="444" spans="1:20">
      <c r="A444" t="s">
        <v>1262</v>
      </c>
      <c r="B444">
        <v>45867</v>
      </c>
      <c r="C444" t="s">
        <v>126</v>
      </c>
      <c r="D444" t="s">
        <v>88</v>
      </c>
      <c r="E444" t="s">
        <v>136</v>
      </c>
      <c r="F444">
        <v>4020</v>
      </c>
      <c r="G444" t="s">
        <v>30</v>
      </c>
      <c r="H444" t="s">
        <v>1263</v>
      </c>
      <c r="I444" t="s">
        <v>71</v>
      </c>
      <c r="J444">
        <v>45400</v>
      </c>
      <c r="K444" t="s">
        <v>138</v>
      </c>
      <c r="L444" t="s">
        <v>1261</v>
      </c>
      <c r="M444" t="s">
        <v>3</v>
      </c>
      <c r="N444" t="s">
        <v>70</v>
      </c>
      <c r="O444" s="25" t="s">
        <v>3824</v>
      </c>
      <c r="P444" s="25">
        <v>1</v>
      </c>
      <c r="Q444" s="25">
        <v>45400</v>
      </c>
      <c r="R444" s="25" t="s">
        <v>26</v>
      </c>
      <c r="S444" s="25" t="s">
        <v>26</v>
      </c>
      <c r="T444" s="25">
        <f t="shared" si="6"/>
        <v>45400</v>
      </c>
    </row>
    <row r="445" spans="1:20">
      <c r="A445" t="s">
        <v>1264</v>
      </c>
      <c r="B445">
        <v>45867</v>
      </c>
      <c r="C445" t="s">
        <v>126</v>
      </c>
      <c r="D445" t="s">
        <v>88</v>
      </c>
      <c r="E445" t="s">
        <v>140</v>
      </c>
      <c r="F445">
        <v>4020</v>
      </c>
      <c r="G445" t="s">
        <v>30</v>
      </c>
      <c r="H445" t="s">
        <v>1265</v>
      </c>
      <c r="I445" t="s">
        <v>71</v>
      </c>
      <c r="J445">
        <v>46100</v>
      </c>
      <c r="K445" t="s">
        <v>3</v>
      </c>
      <c r="L445" t="s">
        <v>1266</v>
      </c>
      <c r="M445" t="s">
        <v>3</v>
      </c>
      <c r="N445" t="s">
        <v>70</v>
      </c>
      <c r="O445" s="25" t="s">
        <v>3824</v>
      </c>
      <c r="P445" s="25">
        <v>1</v>
      </c>
      <c r="Q445" s="25">
        <v>46100</v>
      </c>
      <c r="R445" s="25" t="s">
        <v>26</v>
      </c>
      <c r="S445" s="25" t="s">
        <v>26</v>
      </c>
      <c r="T445" s="25">
        <f t="shared" si="6"/>
        <v>46100</v>
      </c>
    </row>
    <row r="446" spans="1:20">
      <c r="A446" t="s">
        <v>1267</v>
      </c>
      <c r="B446">
        <v>45867</v>
      </c>
      <c r="C446" t="s">
        <v>87</v>
      </c>
      <c r="D446" t="s">
        <v>111</v>
      </c>
      <c r="E446" t="s">
        <v>3</v>
      </c>
      <c r="F446">
        <v>5010</v>
      </c>
      <c r="G446" t="s">
        <v>37</v>
      </c>
      <c r="H446" t="s">
        <v>194</v>
      </c>
      <c r="I446" t="s">
        <v>71</v>
      </c>
      <c r="J446">
        <v>-842000</v>
      </c>
      <c r="K446" t="s">
        <v>195</v>
      </c>
      <c r="L446" t="s">
        <v>1268</v>
      </c>
      <c r="M446" t="s">
        <v>3</v>
      </c>
      <c r="N446" t="s">
        <v>70</v>
      </c>
      <c r="O446" s="25" t="s">
        <v>3824</v>
      </c>
      <c r="P446" s="25">
        <v>1</v>
      </c>
      <c r="Q446" s="25">
        <v>-842000</v>
      </c>
      <c r="R446" s="25" t="s">
        <v>35</v>
      </c>
      <c r="S446" s="25" t="s">
        <v>35</v>
      </c>
      <c r="T446" s="25">
        <f t="shared" si="6"/>
        <v>-842000</v>
      </c>
    </row>
    <row r="447" spans="1:20">
      <c r="A447" t="s">
        <v>1269</v>
      </c>
      <c r="B447">
        <v>45867</v>
      </c>
      <c r="C447" t="s">
        <v>87</v>
      </c>
      <c r="D447" t="s">
        <v>111</v>
      </c>
      <c r="E447" t="s">
        <v>3</v>
      </c>
      <c r="F447">
        <v>5020</v>
      </c>
      <c r="G447" t="s">
        <v>39</v>
      </c>
      <c r="H447" t="s">
        <v>275</v>
      </c>
      <c r="I447" t="s">
        <v>71</v>
      </c>
      <c r="J447">
        <v>-129000</v>
      </c>
      <c r="K447" t="s">
        <v>276</v>
      </c>
      <c r="L447" t="s">
        <v>1270</v>
      </c>
      <c r="M447" t="s">
        <v>3</v>
      </c>
      <c r="N447" t="s">
        <v>70</v>
      </c>
      <c r="O447" s="25" t="s">
        <v>3824</v>
      </c>
      <c r="P447" s="25">
        <v>1</v>
      </c>
      <c r="Q447" s="25">
        <v>-129000</v>
      </c>
      <c r="R447" s="25" t="s">
        <v>35</v>
      </c>
      <c r="S447" s="25" t="s">
        <v>35</v>
      </c>
      <c r="T447" s="25">
        <f t="shared" si="6"/>
        <v>-129000</v>
      </c>
    </row>
    <row r="448" spans="1:20">
      <c r="A448" t="s">
        <v>1271</v>
      </c>
      <c r="B448">
        <v>45867</v>
      </c>
      <c r="C448" t="s">
        <v>87</v>
      </c>
      <c r="D448" t="s">
        <v>88</v>
      </c>
      <c r="E448" t="s">
        <v>3</v>
      </c>
      <c r="F448">
        <v>5040</v>
      </c>
      <c r="G448" t="s">
        <v>43</v>
      </c>
      <c r="H448" t="s">
        <v>397</v>
      </c>
      <c r="I448" t="s">
        <v>71</v>
      </c>
      <c r="J448">
        <v>-741000</v>
      </c>
      <c r="K448" t="s">
        <v>398</v>
      </c>
      <c r="L448" t="s">
        <v>1272</v>
      </c>
      <c r="M448" t="s">
        <v>3</v>
      </c>
      <c r="N448" t="s">
        <v>70</v>
      </c>
      <c r="O448" s="25" t="s">
        <v>3824</v>
      </c>
      <c r="P448" s="25">
        <v>1</v>
      </c>
      <c r="Q448" s="25">
        <v>-741000</v>
      </c>
      <c r="R448" s="25" t="s">
        <v>35</v>
      </c>
      <c r="S448" s="25" t="s">
        <v>35</v>
      </c>
      <c r="T448" s="25">
        <f t="shared" si="6"/>
        <v>-741000</v>
      </c>
    </row>
    <row r="449" spans="1:20">
      <c r="A449" t="s">
        <v>1273</v>
      </c>
      <c r="B449">
        <v>45867</v>
      </c>
      <c r="C449" t="s">
        <v>1274</v>
      </c>
      <c r="D449" t="s">
        <v>94</v>
      </c>
      <c r="E449" t="s">
        <v>3</v>
      </c>
      <c r="F449">
        <v>6060</v>
      </c>
      <c r="G449" t="s">
        <v>60</v>
      </c>
      <c r="H449" t="s">
        <v>1275</v>
      </c>
      <c r="I449" t="s">
        <v>71</v>
      </c>
      <c r="J449">
        <v>-99073</v>
      </c>
      <c r="K449" t="s">
        <v>1276</v>
      </c>
      <c r="L449" t="s">
        <v>1277</v>
      </c>
      <c r="M449" t="s">
        <v>3</v>
      </c>
      <c r="N449" t="s">
        <v>70</v>
      </c>
      <c r="O449" s="25" t="s">
        <v>3824</v>
      </c>
      <c r="P449" s="25">
        <v>1</v>
      </c>
      <c r="Q449" s="25">
        <v>-99073</v>
      </c>
      <c r="R449" s="25" t="s">
        <v>48</v>
      </c>
      <c r="S449" s="25" t="s">
        <v>48</v>
      </c>
      <c r="T449" s="25">
        <f t="shared" si="6"/>
        <v>-99073</v>
      </c>
    </row>
    <row r="450" spans="1:20">
      <c r="A450" t="s">
        <v>1278</v>
      </c>
      <c r="B450">
        <v>45867</v>
      </c>
      <c r="C450" t="s">
        <v>1274</v>
      </c>
      <c r="D450" t="s">
        <v>111</v>
      </c>
      <c r="E450" t="s">
        <v>3</v>
      </c>
      <c r="F450">
        <v>6060</v>
      </c>
      <c r="G450" t="s">
        <v>60</v>
      </c>
      <c r="H450" t="s">
        <v>1275</v>
      </c>
      <c r="I450" t="s">
        <v>71</v>
      </c>
      <c r="J450">
        <v>-188043</v>
      </c>
      <c r="K450" t="s">
        <v>1276</v>
      </c>
      <c r="L450" t="s">
        <v>1279</v>
      </c>
      <c r="M450" t="s">
        <v>3</v>
      </c>
      <c r="N450" t="s">
        <v>70</v>
      </c>
      <c r="O450" s="25" t="s">
        <v>3824</v>
      </c>
      <c r="P450" s="25">
        <v>1</v>
      </c>
      <c r="Q450" s="25">
        <v>-188043</v>
      </c>
      <c r="R450" s="25" t="s">
        <v>48</v>
      </c>
      <c r="S450" s="25" t="s">
        <v>48</v>
      </c>
      <c r="T450" s="25">
        <f t="shared" ref="T450:T513" si="7">IF(AND(S450="Revenue",G450&lt;&gt;"Refunds &amp; Chargebacks"),ABS(Q450),-ABS(Q450))</f>
        <v>-188043</v>
      </c>
    </row>
    <row r="451" spans="1:20">
      <c r="A451" t="s">
        <v>1280</v>
      </c>
      <c r="B451">
        <v>45867</v>
      </c>
      <c r="C451" t="s">
        <v>1274</v>
      </c>
      <c r="D451" t="s">
        <v>88</v>
      </c>
      <c r="E451" t="s">
        <v>3</v>
      </c>
      <c r="F451">
        <v>6060</v>
      </c>
      <c r="G451" t="s">
        <v>60</v>
      </c>
      <c r="H451" t="s">
        <v>1275</v>
      </c>
      <c r="I451" t="s">
        <v>71</v>
      </c>
      <c r="J451">
        <v>-85934</v>
      </c>
      <c r="K451" t="s">
        <v>1276</v>
      </c>
      <c r="L451" t="s">
        <v>1281</v>
      </c>
      <c r="M451" t="s">
        <v>3</v>
      </c>
      <c r="N451" t="s">
        <v>70</v>
      </c>
      <c r="O451" s="25" t="s">
        <v>3824</v>
      </c>
      <c r="P451" s="25">
        <v>1</v>
      </c>
      <c r="Q451" s="25">
        <v>-85934</v>
      </c>
      <c r="R451" s="25" t="s">
        <v>48</v>
      </c>
      <c r="S451" s="25" t="s">
        <v>48</v>
      </c>
      <c r="T451" s="25">
        <f t="shared" si="7"/>
        <v>-85934</v>
      </c>
    </row>
    <row r="452" spans="1:20">
      <c r="A452" t="s">
        <v>1282</v>
      </c>
      <c r="B452">
        <v>45868</v>
      </c>
      <c r="C452" t="s">
        <v>93</v>
      </c>
      <c r="D452" t="s">
        <v>94</v>
      </c>
      <c r="E452" t="s">
        <v>95</v>
      </c>
      <c r="F452">
        <v>4000</v>
      </c>
      <c r="G452" t="s">
        <v>25</v>
      </c>
      <c r="H452" t="s">
        <v>1283</v>
      </c>
      <c r="I452" t="s">
        <v>71</v>
      </c>
      <c r="J452">
        <v>30700</v>
      </c>
      <c r="K452" t="s">
        <v>3</v>
      </c>
      <c r="L452" t="s">
        <v>1284</v>
      </c>
      <c r="M452" t="s">
        <v>3</v>
      </c>
      <c r="N452" t="s">
        <v>70</v>
      </c>
      <c r="O452" s="25" t="s">
        <v>3824</v>
      </c>
      <c r="P452" s="25">
        <v>1</v>
      </c>
      <c r="Q452" s="25">
        <v>30700</v>
      </c>
      <c r="R452" s="25" t="s">
        <v>26</v>
      </c>
      <c r="S452" s="25" t="s">
        <v>26</v>
      </c>
      <c r="T452" s="25">
        <f t="shared" si="7"/>
        <v>30700</v>
      </c>
    </row>
    <row r="453" spans="1:20">
      <c r="A453" t="s">
        <v>1285</v>
      </c>
      <c r="B453">
        <v>45868</v>
      </c>
      <c r="C453" t="s">
        <v>93</v>
      </c>
      <c r="D453" t="s">
        <v>94</v>
      </c>
      <c r="E453" t="s">
        <v>99</v>
      </c>
      <c r="F453">
        <v>4000</v>
      </c>
      <c r="G453" t="s">
        <v>25</v>
      </c>
      <c r="H453" t="s">
        <v>1286</v>
      </c>
      <c r="I453" t="s">
        <v>71</v>
      </c>
      <c r="J453">
        <v>27100</v>
      </c>
      <c r="K453" t="s">
        <v>3</v>
      </c>
      <c r="L453" t="s">
        <v>1287</v>
      </c>
      <c r="M453" t="s">
        <v>3</v>
      </c>
      <c r="N453" t="s">
        <v>70</v>
      </c>
      <c r="O453" s="25" t="s">
        <v>3824</v>
      </c>
      <c r="P453" s="25">
        <v>1</v>
      </c>
      <c r="Q453" s="25">
        <v>27100</v>
      </c>
      <c r="R453" s="25" t="s">
        <v>26</v>
      </c>
      <c r="S453" s="25" t="s">
        <v>26</v>
      </c>
      <c r="T453" s="25">
        <f t="shared" si="7"/>
        <v>27100</v>
      </c>
    </row>
    <row r="454" spans="1:20">
      <c r="A454" t="s">
        <v>1288</v>
      </c>
      <c r="B454">
        <v>45868</v>
      </c>
      <c r="C454" t="s">
        <v>93</v>
      </c>
      <c r="D454" t="s">
        <v>94</v>
      </c>
      <c r="E454" t="s">
        <v>103</v>
      </c>
      <c r="F454">
        <v>4000</v>
      </c>
      <c r="G454" t="s">
        <v>25</v>
      </c>
      <c r="H454" t="s">
        <v>1289</v>
      </c>
      <c r="I454" t="s">
        <v>71</v>
      </c>
      <c r="J454">
        <v>28400</v>
      </c>
      <c r="K454" t="s">
        <v>3</v>
      </c>
      <c r="L454" t="s">
        <v>1290</v>
      </c>
      <c r="M454" t="s">
        <v>3</v>
      </c>
      <c r="N454" t="s">
        <v>70</v>
      </c>
      <c r="O454" s="25" t="s">
        <v>3824</v>
      </c>
      <c r="P454" s="25">
        <v>1</v>
      </c>
      <c r="Q454" s="25">
        <v>28400</v>
      </c>
      <c r="R454" s="25" t="s">
        <v>26</v>
      </c>
      <c r="S454" s="25" t="s">
        <v>26</v>
      </c>
      <c r="T454" s="25">
        <f t="shared" si="7"/>
        <v>28400</v>
      </c>
    </row>
    <row r="455" spans="1:20">
      <c r="A455" t="s">
        <v>1291</v>
      </c>
      <c r="B455">
        <v>45868</v>
      </c>
      <c r="C455" t="s">
        <v>93</v>
      </c>
      <c r="D455" t="s">
        <v>94</v>
      </c>
      <c r="E455" t="s">
        <v>160</v>
      </c>
      <c r="F455">
        <v>4000</v>
      </c>
      <c r="G455" t="s">
        <v>25</v>
      </c>
      <c r="H455" t="s">
        <v>1292</v>
      </c>
      <c r="I455" t="s">
        <v>71</v>
      </c>
      <c r="J455">
        <v>29500</v>
      </c>
      <c r="K455" t="s">
        <v>3</v>
      </c>
      <c r="L455" t="s">
        <v>1290</v>
      </c>
      <c r="M455" t="s">
        <v>3</v>
      </c>
      <c r="N455" t="s">
        <v>70</v>
      </c>
      <c r="O455" s="25" t="s">
        <v>3824</v>
      </c>
      <c r="P455" s="25">
        <v>1</v>
      </c>
      <c r="Q455" s="25">
        <v>29500</v>
      </c>
      <c r="R455" s="25" t="s">
        <v>26</v>
      </c>
      <c r="S455" s="25" t="s">
        <v>26</v>
      </c>
      <c r="T455" s="25">
        <f t="shared" si="7"/>
        <v>29500</v>
      </c>
    </row>
    <row r="456" spans="1:20">
      <c r="A456" t="s">
        <v>1293</v>
      </c>
      <c r="B456">
        <v>45868</v>
      </c>
      <c r="C456" t="s">
        <v>93</v>
      </c>
      <c r="D456" t="s">
        <v>94</v>
      </c>
      <c r="E456" t="s">
        <v>107</v>
      </c>
      <c r="F456">
        <v>4000</v>
      </c>
      <c r="G456" t="s">
        <v>25</v>
      </c>
      <c r="H456" t="s">
        <v>1294</v>
      </c>
      <c r="I456" t="s">
        <v>71</v>
      </c>
      <c r="J456">
        <v>27800</v>
      </c>
      <c r="K456" t="s">
        <v>3</v>
      </c>
      <c r="L456" t="s">
        <v>1295</v>
      </c>
      <c r="M456" t="s">
        <v>3</v>
      </c>
      <c r="N456" t="s">
        <v>70</v>
      </c>
      <c r="O456" s="25" t="s">
        <v>3824</v>
      </c>
      <c r="P456" s="25">
        <v>1</v>
      </c>
      <c r="Q456" s="25">
        <v>27800</v>
      </c>
      <c r="R456" s="25" t="s">
        <v>26</v>
      </c>
      <c r="S456" s="25" t="s">
        <v>26</v>
      </c>
      <c r="T456" s="25">
        <f t="shared" si="7"/>
        <v>27800</v>
      </c>
    </row>
    <row r="457" spans="1:20">
      <c r="A457" t="s">
        <v>1296</v>
      </c>
      <c r="B457">
        <v>45868</v>
      </c>
      <c r="C457" t="s">
        <v>93</v>
      </c>
      <c r="D457" t="s">
        <v>111</v>
      </c>
      <c r="E457" t="s">
        <v>112</v>
      </c>
      <c r="F457">
        <v>4000</v>
      </c>
      <c r="G457" t="s">
        <v>25</v>
      </c>
      <c r="H457" t="s">
        <v>1297</v>
      </c>
      <c r="I457" t="s">
        <v>71</v>
      </c>
      <c r="J457">
        <v>45600</v>
      </c>
      <c r="K457" t="s">
        <v>3</v>
      </c>
      <c r="L457" t="s">
        <v>1298</v>
      </c>
      <c r="M457" t="s">
        <v>3</v>
      </c>
      <c r="N457" t="s">
        <v>70</v>
      </c>
      <c r="O457" s="25" t="s">
        <v>3824</v>
      </c>
      <c r="P457" s="25">
        <v>1</v>
      </c>
      <c r="Q457" s="25">
        <v>45600</v>
      </c>
      <c r="R457" s="25" t="s">
        <v>26</v>
      </c>
      <c r="S457" s="25" t="s">
        <v>26</v>
      </c>
      <c r="T457" s="25">
        <f t="shared" si="7"/>
        <v>45600</v>
      </c>
    </row>
    <row r="458" spans="1:20">
      <c r="A458" t="s">
        <v>1299</v>
      </c>
      <c r="B458">
        <v>45868</v>
      </c>
      <c r="C458" t="s">
        <v>93</v>
      </c>
      <c r="D458" t="s">
        <v>111</v>
      </c>
      <c r="E458" t="s">
        <v>116</v>
      </c>
      <c r="F458">
        <v>4000</v>
      </c>
      <c r="G458" t="s">
        <v>25</v>
      </c>
      <c r="H458" t="s">
        <v>1300</v>
      </c>
      <c r="I458" t="s">
        <v>71</v>
      </c>
      <c r="J458">
        <v>50100</v>
      </c>
      <c r="K458" t="s">
        <v>3</v>
      </c>
      <c r="L458" t="s">
        <v>1298</v>
      </c>
      <c r="M458" t="s">
        <v>3</v>
      </c>
      <c r="N458" t="s">
        <v>70</v>
      </c>
      <c r="O458" s="25" t="s">
        <v>3824</v>
      </c>
      <c r="P458" s="25">
        <v>1</v>
      </c>
      <c r="Q458" s="25">
        <v>50100</v>
      </c>
      <c r="R458" s="25" t="s">
        <v>26</v>
      </c>
      <c r="S458" s="25" t="s">
        <v>26</v>
      </c>
      <c r="T458" s="25">
        <f t="shared" si="7"/>
        <v>50100</v>
      </c>
    </row>
    <row r="459" spans="1:20">
      <c r="A459" t="s">
        <v>1301</v>
      </c>
      <c r="B459">
        <v>45868</v>
      </c>
      <c r="C459" t="s">
        <v>93</v>
      </c>
      <c r="D459" t="s">
        <v>111</v>
      </c>
      <c r="E459" t="s">
        <v>170</v>
      </c>
      <c r="F459">
        <v>4000</v>
      </c>
      <c r="G459" t="s">
        <v>25</v>
      </c>
      <c r="H459" t="s">
        <v>1302</v>
      </c>
      <c r="I459" t="s">
        <v>71</v>
      </c>
      <c r="J459">
        <v>48600</v>
      </c>
      <c r="K459" t="s">
        <v>3</v>
      </c>
      <c r="L459" t="s">
        <v>1298</v>
      </c>
      <c r="M459" t="s">
        <v>3</v>
      </c>
      <c r="N459" t="s">
        <v>70</v>
      </c>
      <c r="O459" s="25" t="s">
        <v>3824</v>
      </c>
      <c r="P459" s="25">
        <v>1</v>
      </c>
      <c r="Q459" s="25">
        <v>48600</v>
      </c>
      <c r="R459" s="25" t="s">
        <v>26</v>
      </c>
      <c r="S459" s="25" t="s">
        <v>26</v>
      </c>
      <c r="T459" s="25">
        <f t="shared" si="7"/>
        <v>48600</v>
      </c>
    </row>
    <row r="460" spans="1:20">
      <c r="A460" t="s">
        <v>1303</v>
      </c>
      <c r="B460">
        <v>45868</v>
      </c>
      <c r="C460" t="s">
        <v>93</v>
      </c>
      <c r="D460" t="s">
        <v>111</v>
      </c>
      <c r="E460" t="s">
        <v>122</v>
      </c>
      <c r="F460">
        <v>4000</v>
      </c>
      <c r="G460" t="s">
        <v>25</v>
      </c>
      <c r="H460" t="s">
        <v>1304</v>
      </c>
      <c r="I460" t="s">
        <v>71</v>
      </c>
      <c r="J460">
        <v>48000</v>
      </c>
      <c r="K460" t="s">
        <v>3</v>
      </c>
      <c r="L460" t="s">
        <v>1305</v>
      </c>
      <c r="M460" t="s">
        <v>3</v>
      </c>
      <c r="N460" t="s">
        <v>70</v>
      </c>
      <c r="O460" s="25" t="s">
        <v>3824</v>
      </c>
      <c r="P460" s="25">
        <v>1</v>
      </c>
      <c r="Q460" s="25">
        <v>48000</v>
      </c>
      <c r="R460" s="25" t="s">
        <v>26</v>
      </c>
      <c r="S460" s="25" t="s">
        <v>26</v>
      </c>
      <c r="T460" s="25">
        <f t="shared" si="7"/>
        <v>48000</v>
      </c>
    </row>
    <row r="461" spans="1:20">
      <c r="A461" t="s">
        <v>1306</v>
      </c>
      <c r="B461">
        <v>45868</v>
      </c>
      <c r="C461" t="s">
        <v>126</v>
      </c>
      <c r="D461" t="s">
        <v>88</v>
      </c>
      <c r="E461" t="s">
        <v>127</v>
      </c>
      <c r="F461">
        <v>4020</v>
      </c>
      <c r="G461" t="s">
        <v>30</v>
      </c>
      <c r="H461" t="s">
        <v>1307</v>
      </c>
      <c r="I461" t="s">
        <v>72</v>
      </c>
      <c r="J461">
        <v>27.78</v>
      </c>
      <c r="K461" t="s">
        <v>129</v>
      </c>
      <c r="L461" t="s">
        <v>1308</v>
      </c>
      <c r="M461" t="s">
        <v>3</v>
      </c>
      <c r="N461" t="s">
        <v>70</v>
      </c>
      <c r="O461" s="25" t="s">
        <v>3825</v>
      </c>
      <c r="P461" s="25">
        <v>1530</v>
      </c>
      <c r="Q461" s="25">
        <v>42503.4</v>
      </c>
      <c r="R461" s="25" t="s">
        <v>26</v>
      </c>
      <c r="S461" s="25" t="s">
        <v>26</v>
      </c>
      <c r="T461" s="25">
        <f t="shared" si="7"/>
        <v>42503.4</v>
      </c>
    </row>
    <row r="462" spans="1:20">
      <c r="A462" t="s">
        <v>1309</v>
      </c>
      <c r="B462">
        <v>45868</v>
      </c>
      <c r="C462" t="s">
        <v>126</v>
      </c>
      <c r="D462" t="s">
        <v>88</v>
      </c>
      <c r="E462" t="s">
        <v>132</v>
      </c>
      <c r="F462">
        <v>4020</v>
      </c>
      <c r="G462" t="s">
        <v>30</v>
      </c>
      <c r="H462" t="s">
        <v>1310</v>
      </c>
      <c r="I462" t="s">
        <v>72</v>
      </c>
      <c r="J462">
        <v>30.72</v>
      </c>
      <c r="K462" t="s">
        <v>134</v>
      </c>
      <c r="L462" t="s">
        <v>1308</v>
      </c>
      <c r="M462" t="s">
        <v>3</v>
      </c>
      <c r="N462" t="s">
        <v>70</v>
      </c>
      <c r="O462" s="25" t="s">
        <v>3825</v>
      </c>
      <c r="P462" s="25">
        <v>1530</v>
      </c>
      <c r="Q462" s="25">
        <v>47001.599999999999</v>
      </c>
      <c r="R462" s="25" t="s">
        <v>26</v>
      </c>
      <c r="S462" s="25" t="s">
        <v>26</v>
      </c>
      <c r="T462" s="25">
        <f t="shared" si="7"/>
        <v>47001.599999999999</v>
      </c>
    </row>
    <row r="463" spans="1:20">
      <c r="A463" t="s">
        <v>1311</v>
      </c>
      <c r="B463">
        <v>45868</v>
      </c>
      <c r="C463" t="s">
        <v>126</v>
      </c>
      <c r="D463" t="s">
        <v>88</v>
      </c>
      <c r="E463" t="s">
        <v>136</v>
      </c>
      <c r="F463">
        <v>4020</v>
      </c>
      <c r="G463" t="s">
        <v>30</v>
      </c>
      <c r="H463" t="s">
        <v>1312</v>
      </c>
      <c r="I463" t="s">
        <v>71</v>
      </c>
      <c r="J463">
        <v>44900</v>
      </c>
      <c r="K463" t="s">
        <v>138</v>
      </c>
      <c r="L463" t="s">
        <v>1308</v>
      </c>
      <c r="M463" t="s">
        <v>3</v>
      </c>
      <c r="N463" t="s">
        <v>70</v>
      </c>
      <c r="O463" s="25" t="s">
        <v>3824</v>
      </c>
      <c r="P463" s="25">
        <v>1</v>
      </c>
      <c r="Q463" s="25">
        <v>44900</v>
      </c>
      <c r="R463" s="25" t="s">
        <v>26</v>
      </c>
      <c r="S463" s="25" t="s">
        <v>26</v>
      </c>
      <c r="T463" s="25">
        <f t="shared" si="7"/>
        <v>44900</v>
      </c>
    </row>
    <row r="464" spans="1:20">
      <c r="A464" t="s">
        <v>1313</v>
      </c>
      <c r="B464">
        <v>45868</v>
      </c>
      <c r="C464" t="s">
        <v>87</v>
      </c>
      <c r="D464" t="s">
        <v>111</v>
      </c>
      <c r="E464" t="s">
        <v>3</v>
      </c>
      <c r="F464">
        <v>5010</v>
      </c>
      <c r="G464" t="s">
        <v>37</v>
      </c>
      <c r="H464" t="s">
        <v>986</v>
      </c>
      <c r="I464" t="s">
        <v>71</v>
      </c>
      <c r="J464">
        <v>-1035000</v>
      </c>
      <c r="K464" t="s">
        <v>987</v>
      </c>
      <c r="L464" t="s">
        <v>1314</v>
      </c>
      <c r="M464" t="s">
        <v>3</v>
      </c>
      <c r="N464" t="s">
        <v>70</v>
      </c>
      <c r="O464" s="25" t="s">
        <v>3824</v>
      </c>
      <c r="P464" s="25">
        <v>1</v>
      </c>
      <c r="Q464" s="25">
        <v>-1035000</v>
      </c>
      <c r="R464" s="25" t="s">
        <v>35</v>
      </c>
      <c r="S464" s="25" t="s">
        <v>35</v>
      </c>
      <c r="T464" s="25">
        <f t="shared" si="7"/>
        <v>-1035000</v>
      </c>
    </row>
    <row r="465" spans="1:20">
      <c r="A465" t="s">
        <v>1315</v>
      </c>
      <c r="B465">
        <v>45869</v>
      </c>
      <c r="C465" t="s">
        <v>93</v>
      </c>
      <c r="D465" t="s">
        <v>94</v>
      </c>
      <c r="E465" t="s">
        <v>95</v>
      </c>
      <c r="F465">
        <v>4000</v>
      </c>
      <c r="G465" t="s">
        <v>25</v>
      </c>
      <c r="H465" t="s">
        <v>1316</v>
      </c>
      <c r="I465" t="s">
        <v>71</v>
      </c>
      <c r="J465">
        <v>30500</v>
      </c>
      <c r="K465" t="s">
        <v>3</v>
      </c>
      <c r="L465" t="s">
        <v>1317</v>
      </c>
      <c r="M465" t="s">
        <v>3</v>
      </c>
      <c r="N465" t="s">
        <v>70</v>
      </c>
      <c r="O465" s="25" t="s">
        <v>3824</v>
      </c>
      <c r="P465" s="25">
        <v>1</v>
      </c>
      <c r="Q465" s="25">
        <v>30500</v>
      </c>
      <c r="R465" s="25" t="s">
        <v>26</v>
      </c>
      <c r="S465" s="25" t="s">
        <v>26</v>
      </c>
      <c r="T465" s="25">
        <f t="shared" si="7"/>
        <v>30500</v>
      </c>
    </row>
    <row r="466" spans="1:20">
      <c r="A466" t="s">
        <v>1318</v>
      </c>
      <c r="B466">
        <v>45869</v>
      </c>
      <c r="C466" t="s">
        <v>93</v>
      </c>
      <c r="D466" t="s">
        <v>94</v>
      </c>
      <c r="E466" t="s">
        <v>99</v>
      </c>
      <c r="F466">
        <v>4000</v>
      </c>
      <c r="G466" t="s">
        <v>25</v>
      </c>
      <c r="H466" t="s">
        <v>1319</v>
      </c>
      <c r="I466" t="s">
        <v>71</v>
      </c>
      <c r="J466">
        <v>26600</v>
      </c>
      <c r="K466" t="s">
        <v>3</v>
      </c>
      <c r="L466" t="s">
        <v>1320</v>
      </c>
      <c r="M466" t="s">
        <v>3</v>
      </c>
      <c r="N466" t="s">
        <v>70</v>
      </c>
      <c r="O466" s="25" t="s">
        <v>3824</v>
      </c>
      <c r="P466" s="25">
        <v>1</v>
      </c>
      <c r="Q466" s="25">
        <v>26600</v>
      </c>
      <c r="R466" s="25" t="s">
        <v>26</v>
      </c>
      <c r="S466" s="25" t="s">
        <v>26</v>
      </c>
      <c r="T466" s="25">
        <f t="shared" si="7"/>
        <v>26600</v>
      </c>
    </row>
    <row r="467" spans="1:20">
      <c r="A467" t="s">
        <v>1321</v>
      </c>
      <c r="B467">
        <v>45869</v>
      </c>
      <c r="C467" t="s">
        <v>93</v>
      </c>
      <c r="D467" t="s">
        <v>94</v>
      </c>
      <c r="E467" t="s">
        <v>103</v>
      </c>
      <c r="F467">
        <v>4000</v>
      </c>
      <c r="G467" t="s">
        <v>25</v>
      </c>
      <c r="H467" t="s">
        <v>1322</v>
      </c>
      <c r="I467" t="s">
        <v>71</v>
      </c>
      <c r="J467">
        <v>28500</v>
      </c>
      <c r="K467" t="s">
        <v>3</v>
      </c>
      <c r="L467" t="s">
        <v>1323</v>
      </c>
      <c r="M467" t="s">
        <v>3</v>
      </c>
      <c r="N467" t="s">
        <v>70</v>
      </c>
      <c r="O467" s="25" t="s">
        <v>3824</v>
      </c>
      <c r="P467" s="25">
        <v>1</v>
      </c>
      <c r="Q467" s="25">
        <v>28500</v>
      </c>
      <c r="R467" s="25" t="s">
        <v>26</v>
      </c>
      <c r="S467" s="25" t="s">
        <v>26</v>
      </c>
      <c r="T467" s="25">
        <f t="shared" si="7"/>
        <v>28500</v>
      </c>
    </row>
    <row r="468" spans="1:20">
      <c r="A468" t="s">
        <v>1324</v>
      </c>
      <c r="B468">
        <v>45869</v>
      </c>
      <c r="C468" t="s">
        <v>93</v>
      </c>
      <c r="D468" t="s">
        <v>94</v>
      </c>
      <c r="E468" t="s">
        <v>160</v>
      </c>
      <c r="F468">
        <v>4000</v>
      </c>
      <c r="G468" t="s">
        <v>25</v>
      </c>
      <c r="H468" t="s">
        <v>1325</v>
      </c>
      <c r="I468" t="s">
        <v>71</v>
      </c>
      <c r="J468">
        <v>30800</v>
      </c>
      <c r="K468" t="s">
        <v>3</v>
      </c>
      <c r="L468" t="s">
        <v>1323</v>
      </c>
      <c r="M468" t="s">
        <v>3</v>
      </c>
      <c r="N468" t="s">
        <v>70</v>
      </c>
      <c r="O468" s="25" t="s">
        <v>3824</v>
      </c>
      <c r="P468" s="25">
        <v>1</v>
      </c>
      <c r="Q468" s="25">
        <v>30800</v>
      </c>
      <c r="R468" s="25" t="s">
        <v>26</v>
      </c>
      <c r="S468" s="25" t="s">
        <v>26</v>
      </c>
      <c r="T468" s="25">
        <f t="shared" si="7"/>
        <v>30800</v>
      </c>
    </row>
    <row r="469" spans="1:20">
      <c r="A469" t="s">
        <v>1326</v>
      </c>
      <c r="B469">
        <v>45869</v>
      </c>
      <c r="C469" t="s">
        <v>93</v>
      </c>
      <c r="D469" t="s">
        <v>94</v>
      </c>
      <c r="E469" t="s">
        <v>107</v>
      </c>
      <c r="F469">
        <v>4000</v>
      </c>
      <c r="G469" t="s">
        <v>25</v>
      </c>
      <c r="H469" t="s">
        <v>1327</v>
      </c>
      <c r="I469" t="s">
        <v>71</v>
      </c>
      <c r="J469">
        <v>28600</v>
      </c>
      <c r="K469" t="s">
        <v>3</v>
      </c>
      <c r="L469" t="s">
        <v>1328</v>
      </c>
      <c r="M469" t="s">
        <v>3</v>
      </c>
      <c r="N469" t="s">
        <v>70</v>
      </c>
      <c r="O469" s="25" t="s">
        <v>3824</v>
      </c>
      <c r="P469" s="25">
        <v>1</v>
      </c>
      <c r="Q469" s="25">
        <v>28600</v>
      </c>
      <c r="R469" s="25" t="s">
        <v>26</v>
      </c>
      <c r="S469" s="25" t="s">
        <v>26</v>
      </c>
      <c r="T469" s="25">
        <f t="shared" si="7"/>
        <v>28600</v>
      </c>
    </row>
    <row r="470" spans="1:20">
      <c r="A470" t="s">
        <v>1329</v>
      </c>
      <c r="B470">
        <v>45869</v>
      </c>
      <c r="C470" t="s">
        <v>93</v>
      </c>
      <c r="D470" t="s">
        <v>111</v>
      </c>
      <c r="E470" t="s">
        <v>112</v>
      </c>
      <c r="F470">
        <v>4000</v>
      </c>
      <c r="G470" t="s">
        <v>25</v>
      </c>
      <c r="H470" t="s">
        <v>1330</v>
      </c>
      <c r="I470" t="s">
        <v>71</v>
      </c>
      <c r="J470">
        <v>47100</v>
      </c>
      <c r="K470" t="s">
        <v>3</v>
      </c>
      <c r="L470" t="s">
        <v>1331</v>
      </c>
      <c r="M470" t="s">
        <v>3</v>
      </c>
      <c r="N470" t="s">
        <v>70</v>
      </c>
      <c r="O470" s="25" t="s">
        <v>3824</v>
      </c>
      <c r="P470" s="25">
        <v>1</v>
      </c>
      <c r="Q470" s="25">
        <v>47100</v>
      </c>
      <c r="R470" s="25" t="s">
        <v>26</v>
      </c>
      <c r="S470" s="25" t="s">
        <v>26</v>
      </c>
      <c r="T470" s="25">
        <f t="shared" si="7"/>
        <v>47100</v>
      </c>
    </row>
    <row r="471" spans="1:20">
      <c r="A471" t="s">
        <v>1332</v>
      </c>
      <c r="B471">
        <v>45869</v>
      </c>
      <c r="C471" t="s">
        <v>93</v>
      </c>
      <c r="D471" t="s">
        <v>111</v>
      </c>
      <c r="E471" t="s">
        <v>116</v>
      </c>
      <c r="F471">
        <v>4000</v>
      </c>
      <c r="G471" t="s">
        <v>25</v>
      </c>
      <c r="H471" t="s">
        <v>1333</v>
      </c>
      <c r="I471" t="s">
        <v>71</v>
      </c>
      <c r="J471">
        <v>49500</v>
      </c>
      <c r="K471" t="s">
        <v>3</v>
      </c>
      <c r="L471" t="s">
        <v>1331</v>
      </c>
      <c r="M471" t="s">
        <v>3</v>
      </c>
      <c r="N471" t="s">
        <v>70</v>
      </c>
      <c r="O471" s="25" t="s">
        <v>3824</v>
      </c>
      <c r="P471" s="25">
        <v>1</v>
      </c>
      <c r="Q471" s="25">
        <v>49500</v>
      </c>
      <c r="R471" s="25" t="s">
        <v>26</v>
      </c>
      <c r="S471" s="25" t="s">
        <v>26</v>
      </c>
      <c r="T471" s="25">
        <f t="shared" si="7"/>
        <v>49500</v>
      </c>
    </row>
    <row r="472" spans="1:20">
      <c r="A472" t="s">
        <v>1334</v>
      </c>
      <c r="B472">
        <v>45869</v>
      </c>
      <c r="C472" t="s">
        <v>93</v>
      </c>
      <c r="D472" t="s">
        <v>111</v>
      </c>
      <c r="E472" t="s">
        <v>119</v>
      </c>
      <c r="F472">
        <v>4000</v>
      </c>
      <c r="G472" t="s">
        <v>25</v>
      </c>
      <c r="H472" t="s">
        <v>1335</v>
      </c>
      <c r="I472" t="s">
        <v>71</v>
      </c>
      <c r="J472">
        <v>47600</v>
      </c>
      <c r="K472" t="s">
        <v>3</v>
      </c>
      <c r="L472" t="s">
        <v>1331</v>
      </c>
      <c r="M472" t="s">
        <v>3</v>
      </c>
      <c r="N472" t="s">
        <v>70</v>
      </c>
      <c r="O472" s="25" t="s">
        <v>3824</v>
      </c>
      <c r="P472" s="25">
        <v>1</v>
      </c>
      <c r="Q472" s="25">
        <v>47600</v>
      </c>
      <c r="R472" s="25" t="s">
        <v>26</v>
      </c>
      <c r="S472" s="25" t="s">
        <v>26</v>
      </c>
      <c r="T472" s="25">
        <f t="shared" si="7"/>
        <v>47600</v>
      </c>
    </row>
    <row r="473" spans="1:20">
      <c r="A473" t="s">
        <v>1336</v>
      </c>
      <c r="B473">
        <v>45869</v>
      </c>
      <c r="C473" t="s">
        <v>93</v>
      </c>
      <c r="D473" t="s">
        <v>111</v>
      </c>
      <c r="E473" t="s">
        <v>170</v>
      </c>
      <c r="F473">
        <v>4000</v>
      </c>
      <c r="G473" t="s">
        <v>25</v>
      </c>
      <c r="H473" t="s">
        <v>1337</v>
      </c>
      <c r="I473" t="s">
        <v>71</v>
      </c>
      <c r="J473">
        <v>49800</v>
      </c>
      <c r="K473" t="s">
        <v>3</v>
      </c>
      <c r="L473" t="s">
        <v>1331</v>
      </c>
      <c r="M473" t="s">
        <v>3</v>
      </c>
      <c r="N473" t="s">
        <v>70</v>
      </c>
      <c r="O473" s="25" t="s">
        <v>3824</v>
      </c>
      <c r="P473" s="25">
        <v>1</v>
      </c>
      <c r="Q473" s="25">
        <v>49800</v>
      </c>
      <c r="R473" s="25" t="s">
        <v>26</v>
      </c>
      <c r="S473" s="25" t="s">
        <v>26</v>
      </c>
      <c r="T473" s="25">
        <f t="shared" si="7"/>
        <v>49800</v>
      </c>
    </row>
    <row r="474" spans="1:20">
      <c r="A474" t="s">
        <v>1338</v>
      </c>
      <c r="B474">
        <v>45869</v>
      </c>
      <c r="C474" t="s">
        <v>93</v>
      </c>
      <c r="D474" t="s">
        <v>111</v>
      </c>
      <c r="E474" t="s">
        <v>122</v>
      </c>
      <c r="F474">
        <v>4000</v>
      </c>
      <c r="G474" t="s">
        <v>25</v>
      </c>
      <c r="H474" t="s">
        <v>1339</v>
      </c>
      <c r="I474" t="s">
        <v>71</v>
      </c>
      <c r="J474">
        <v>45400</v>
      </c>
      <c r="K474" t="s">
        <v>3</v>
      </c>
      <c r="L474" t="s">
        <v>1340</v>
      </c>
      <c r="M474" t="s">
        <v>3</v>
      </c>
      <c r="N474" t="s">
        <v>70</v>
      </c>
      <c r="O474" s="25" t="s">
        <v>3824</v>
      </c>
      <c r="P474" s="25">
        <v>1</v>
      </c>
      <c r="Q474" s="25">
        <v>45400</v>
      </c>
      <c r="R474" s="25" t="s">
        <v>26</v>
      </c>
      <c r="S474" s="25" t="s">
        <v>26</v>
      </c>
      <c r="T474" s="25">
        <f t="shared" si="7"/>
        <v>45400</v>
      </c>
    </row>
    <row r="475" spans="1:20">
      <c r="A475" t="s">
        <v>1341</v>
      </c>
      <c r="B475">
        <v>45869</v>
      </c>
      <c r="C475" t="s">
        <v>126</v>
      </c>
      <c r="D475" t="s">
        <v>88</v>
      </c>
      <c r="E475" t="s">
        <v>127</v>
      </c>
      <c r="F475">
        <v>4020</v>
      </c>
      <c r="G475" t="s">
        <v>30</v>
      </c>
      <c r="H475" t="s">
        <v>1342</v>
      </c>
      <c r="I475" t="s">
        <v>71</v>
      </c>
      <c r="J475">
        <v>44100</v>
      </c>
      <c r="K475" t="s">
        <v>129</v>
      </c>
      <c r="L475" t="s">
        <v>1343</v>
      </c>
      <c r="M475" t="s">
        <v>3</v>
      </c>
      <c r="N475" t="s">
        <v>70</v>
      </c>
      <c r="O475" s="25" t="s">
        <v>3824</v>
      </c>
      <c r="P475" s="25">
        <v>1</v>
      </c>
      <c r="Q475" s="25">
        <v>44100</v>
      </c>
      <c r="R475" s="25" t="s">
        <v>26</v>
      </c>
      <c r="S475" s="25" t="s">
        <v>26</v>
      </c>
      <c r="T475" s="25">
        <f t="shared" si="7"/>
        <v>44100</v>
      </c>
    </row>
    <row r="476" spans="1:20">
      <c r="A476" t="s">
        <v>1344</v>
      </c>
      <c r="B476">
        <v>45869</v>
      </c>
      <c r="C476" t="s">
        <v>126</v>
      </c>
      <c r="D476" t="s">
        <v>88</v>
      </c>
      <c r="E476" t="s">
        <v>132</v>
      </c>
      <c r="F476">
        <v>4020</v>
      </c>
      <c r="G476" t="s">
        <v>30</v>
      </c>
      <c r="H476" t="s">
        <v>1345</v>
      </c>
      <c r="I476" t="s">
        <v>71</v>
      </c>
      <c r="J476">
        <v>44900</v>
      </c>
      <c r="K476" t="s">
        <v>134</v>
      </c>
      <c r="L476" t="s">
        <v>1343</v>
      </c>
      <c r="M476" t="s">
        <v>3</v>
      </c>
      <c r="N476" t="s">
        <v>70</v>
      </c>
      <c r="O476" s="25" t="s">
        <v>3824</v>
      </c>
      <c r="P476" s="25">
        <v>1</v>
      </c>
      <c r="Q476" s="25">
        <v>44900</v>
      </c>
      <c r="R476" s="25" t="s">
        <v>26</v>
      </c>
      <c r="S476" s="25" t="s">
        <v>26</v>
      </c>
      <c r="T476" s="25">
        <f t="shared" si="7"/>
        <v>44900</v>
      </c>
    </row>
    <row r="477" spans="1:20">
      <c r="A477" t="s">
        <v>1346</v>
      </c>
      <c r="B477">
        <v>45869</v>
      </c>
      <c r="C477" t="s">
        <v>126</v>
      </c>
      <c r="D477" t="s">
        <v>88</v>
      </c>
      <c r="E477" t="s">
        <v>136</v>
      </c>
      <c r="F477">
        <v>4020</v>
      </c>
      <c r="G477" t="s">
        <v>30</v>
      </c>
      <c r="H477" t="s">
        <v>1347</v>
      </c>
      <c r="I477" t="s">
        <v>72</v>
      </c>
      <c r="J477">
        <v>29.02</v>
      </c>
      <c r="K477" t="s">
        <v>138</v>
      </c>
      <c r="L477" t="s">
        <v>1343</v>
      </c>
      <c r="M477" t="s">
        <v>3</v>
      </c>
      <c r="N477" t="s">
        <v>70</v>
      </c>
      <c r="O477" s="25" t="s">
        <v>3825</v>
      </c>
      <c r="P477" s="25">
        <v>1530</v>
      </c>
      <c r="Q477" s="25">
        <v>44400.6</v>
      </c>
      <c r="R477" s="25" t="s">
        <v>26</v>
      </c>
      <c r="S477" s="25" t="s">
        <v>26</v>
      </c>
      <c r="T477" s="25">
        <f t="shared" si="7"/>
        <v>44400.6</v>
      </c>
    </row>
    <row r="478" spans="1:20">
      <c r="A478" t="s">
        <v>1348</v>
      </c>
      <c r="B478">
        <v>45869</v>
      </c>
      <c r="C478" t="s">
        <v>126</v>
      </c>
      <c r="D478" t="s">
        <v>88</v>
      </c>
      <c r="E478" t="s">
        <v>140</v>
      </c>
      <c r="F478">
        <v>4020</v>
      </c>
      <c r="G478" t="s">
        <v>30</v>
      </c>
      <c r="H478" t="s">
        <v>1349</v>
      </c>
      <c r="I478" t="s">
        <v>71</v>
      </c>
      <c r="J478">
        <v>42500</v>
      </c>
      <c r="K478" t="s">
        <v>3</v>
      </c>
      <c r="L478" t="s">
        <v>1350</v>
      </c>
      <c r="M478" t="s">
        <v>3</v>
      </c>
      <c r="N478" t="s">
        <v>70</v>
      </c>
      <c r="O478" s="25" t="s">
        <v>3824</v>
      </c>
      <c r="P478" s="25">
        <v>1</v>
      </c>
      <c r="Q478" s="25">
        <v>42500</v>
      </c>
      <c r="R478" s="25" t="s">
        <v>26</v>
      </c>
      <c r="S478" s="25" t="s">
        <v>26</v>
      </c>
      <c r="T478" s="25">
        <f t="shared" si="7"/>
        <v>42500</v>
      </c>
    </row>
    <row r="479" spans="1:20">
      <c r="A479" t="s">
        <v>1351</v>
      </c>
      <c r="B479">
        <v>45869</v>
      </c>
      <c r="C479" t="s">
        <v>87</v>
      </c>
      <c r="D479" t="s">
        <v>111</v>
      </c>
      <c r="E479" t="s">
        <v>3</v>
      </c>
      <c r="F479">
        <v>5010</v>
      </c>
      <c r="G479" t="s">
        <v>37</v>
      </c>
      <c r="H479" t="s">
        <v>194</v>
      </c>
      <c r="I479" t="s">
        <v>71</v>
      </c>
      <c r="J479">
        <v>-930000</v>
      </c>
      <c r="K479" t="s">
        <v>195</v>
      </c>
      <c r="L479" t="s">
        <v>1352</v>
      </c>
      <c r="M479" t="s">
        <v>3</v>
      </c>
      <c r="N479" t="s">
        <v>70</v>
      </c>
      <c r="O479" s="25" t="s">
        <v>3824</v>
      </c>
      <c r="P479" s="25">
        <v>1</v>
      </c>
      <c r="Q479" s="25">
        <v>-930000</v>
      </c>
      <c r="R479" s="25" t="s">
        <v>35</v>
      </c>
      <c r="S479" s="25" t="s">
        <v>35</v>
      </c>
      <c r="T479" s="25">
        <f t="shared" si="7"/>
        <v>-930000</v>
      </c>
    </row>
    <row r="480" spans="1:20">
      <c r="A480" t="s">
        <v>1353</v>
      </c>
      <c r="B480">
        <v>45870</v>
      </c>
      <c r="C480" t="s">
        <v>93</v>
      </c>
      <c r="D480" t="s">
        <v>94</v>
      </c>
      <c r="E480" t="s">
        <v>95</v>
      </c>
      <c r="F480">
        <v>4000</v>
      </c>
      <c r="G480" t="s">
        <v>25</v>
      </c>
      <c r="H480" t="s">
        <v>1354</v>
      </c>
      <c r="I480" t="s">
        <v>71</v>
      </c>
      <c r="J480">
        <v>30000</v>
      </c>
      <c r="K480" t="s">
        <v>3</v>
      </c>
      <c r="L480" t="s">
        <v>1355</v>
      </c>
      <c r="M480" t="s">
        <v>3</v>
      </c>
      <c r="N480" t="s">
        <v>74</v>
      </c>
      <c r="O480" s="25" t="s">
        <v>3827</v>
      </c>
      <c r="P480" s="25">
        <v>1</v>
      </c>
      <c r="Q480" s="25">
        <v>30000</v>
      </c>
      <c r="R480" s="25" t="s">
        <v>26</v>
      </c>
      <c r="S480" s="25" t="s">
        <v>26</v>
      </c>
      <c r="T480" s="25">
        <f t="shared" si="7"/>
        <v>30000</v>
      </c>
    </row>
    <row r="481" spans="1:20">
      <c r="A481" t="s">
        <v>1356</v>
      </c>
      <c r="B481">
        <v>45870</v>
      </c>
      <c r="C481" t="s">
        <v>93</v>
      </c>
      <c r="D481" t="s">
        <v>94</v>
      </c>
      <c r="E481" t="s">
        <v>99</v>
      </c>
      <c r="F481">
        <v>4000</v>
      </c>
      <c r="G481" t="s">
        <v>25</v>
      </c>
      <c r="H481" t="s">
        <v>1357</v>
      </c>
      <c r="I481" t="s">
        <v>71</v>
      </c>
      <c r="J481">
        <v>31700</v>
      </c>
      <c r="K481" t="s">
        <v>3</v>
      </c>
      <c r="L481" t="s">
        <v>1358</v>
      </c>
      <c r="M481" t="s">
        <v>3</v>
      </c>
      <c r="N481" t="s">
        <v>74</v>
      </c>
      <c r="O481" s="25" t="s">
        <v>3827</v>
      </c>
      <c r="P481" s="25">
        <v>1</v>
      </c>
      <c r="Q481" s="25">
        <v>31700</v>
      </c>
      <c r="R481" s="25" t="s">
        <v>26</v>
      </c>
      <c r="S481" s="25" t="s">
        <v>26</v>
      </c>
      <c r="T481" s="25">
        <f t="shared" si="7"/>
        <v>31700</v>
      </c>
    </row>
    <row r="482" spans="1:20">
      <c r="A482" t="s">
        <v>1359</v>
      </c>
      <c r="B482">
        <v>45870</v>
      </c>
      <c r="C482" t="s">
        <v>93</v>
      </c>
      <c r="D482" t="s">
        <v>94</v>
      </c>
      <c r="E482" t="s">
        <v>103</v>
      </c>
      <c r="F482">
        <v>4000</v>
      </c>
      <c r="G482" t="s">
        <v>25</v>
      </c>
      <c r="H482" t="s">
        <v>1360</v>
      </c>
      <c r="I482" t="s">
        <v>71</v>
      </c>
      <c r="J482">
        <v>29100</v>
      </c>
      <c r="K482" t="s">
        <v>3</v>
      </c>
      <c r="L482" t="s">
        <v>1361</v>
      </c>
      <c r="M482" t="s">
        <v>3</v>
      </c>
      <c r="N482" t="s">
        <v>74</v>
      </c>
      <c r="O482" s="25" t="s">
        <v>3827</v>
      </c>
      <c r="P482" s="25">
        <v>1</v>
      </c>
      <c r="Q482" s="25">
        <v>29100</v>
      </c>
      <c r="R482" s="25" t="s">
        <v>26</v>
      </c>
      <c r="S482" s="25" t="s">
        <v>26</v>
      </c>
      <c r="T482" s="25">
        <f t="shared" si="7"/>
        <v>29100</v>
      </c>
    </row>
    <row r="483" spans="1:20">
      <c r="A483" t="s">
        <v>1362</v>
      </c>
      <c r="B483">
        <v>45870</v>
      </c>
      <c r="C483" t="s">
        <v>93</v>
      </c>
      <c r="D483" t="s">
        <v>94</v>
      </c>
      <c r="E483" t="s">
        <v>160</v>
      </c>
      <c r="F483">
        <v>4000</v>
      </c>
      <c r="G483" t="s">
        <v>25</v>
      </c>
      <c r="H483" t="s">
        <v>1363</v>
      </c>
      <c r="I483" t="s">
        <v>71</v>
      </c>
      <c r="J483">
        <v>31500</v>
      </c>
      <c r="K483" t="s">
        <v>3</v>
      </c>
      <c r="L483" t="s">
        <v>1361</v>
      </c>
      <c r="M483" t="s">
        <v>3</v>
      </c>
      <c r="N483" t="s">
        <v>74</v>
      </c>
      <c r="O483" s="25" t="s">
        <v>3827</v>
      </c>
      <c r="P483" s="25">
        <v>1</v>
      </c>
      <c r="Q483" s="25">
        <v>31500</v>
      </c>
      <c r="R483" s="25" t="s">
        <v>26</v>
      </c>
      <c r="S483" s="25" t="s">
        <v>26</v>
      </c>
      <c r="T483" s="25">
        <f t="shared" si="7"/>
        <v>31500</v>
      </c>
    </row>
    <row r="484" spans="1:20">
      <c r="A484" t="s">
        <v>1364</v>
      </c>
      <c r="B484">
        <v>45870</v>
      </c>
      <c r="C484" t="s">
        <v>93</v>
      </c>
      <c r="D484" t="s">
        <v>94</v>
      </c>
      <c r="E484" t="s">
        <v>107</v>
      </c>
      <c r="F484">
        <v>4000</v>
      </c>
      <c r="G484" t="s">
        <v>25</v>
      </c>
      <c r="H484" t="s">
        <v>1365</v>
      </c>
      <c r="I484" t="s">
        <v>71</v>
      </c>
      <c r="J484">
        <v>30100</v>
      </c>
      <c r="K484" t="s">
        <v>3</v>
      </c>
      <c r="L484" t="s">
        <v>1366</v>
      </c>
      <c r="M484" t="s">
        <v>3</v>
      </c>
      <c r="N484" t="s">
        <v>74</v>
      </c>
      <c r="O484" s="25" t="s">
        <v>3827</v>
      </c>
      <c r="P484" s="25">
        <v>1</v>
      </c>
      <c r="Q484" s="25">
        <v>30100</v>
      </c>
      <c r="R484" s="25" t="s">
        <v>26</v>
      </c>
      <c r="S484" s="25" t="s">
        <v>26</v>
      </c>
      <c r="T484" s="25">
        <f t="shared" si="7"/>
        <v>30100</v>
      </c>
    </row>
    <row r="485" spans="1:20">
      <c r="A485" t="s">
        <v>1367</v>
      </c>
      <c r="B485">
        <v>45870</v>
      </c>
      <c r="C485" t="s">
        <v>93</v>
      </c>
      <c r="D485" t="s">
        <v>111</v>
      </c>
      <c r="E485" t="s">
        <v>112</v>
      </c>
      <c r="F485">
        <v>4000</v>
      </c>
      <c r="G485" t="s">
        <v>25</v>
      </c>
      <c r="H485" t="s">
        <v>1368</v>
      </c>
      <c r="I485" t="s">
        <v>71</v>
      </c>
      <c r="J485">
        <v>52500</v>
      </c>
      <c r="K485" t="s">
        <v>3</v>
      </c>
      <c r="L485" t="s">
        <v>1369</v>
      </c>
      <c r="M485" t="s">
        <v>3</v>
      </c>
      <c r="N485" t="s">
        <v>74</v>
      </c>
      <c r="O485" s="25" t="s">
        <v>3827</v>
      </c>
      <c r="P485" s="25">
        <v>1</v>
      </c>
      <c r="Q485" s="25">
        <v>52500</v>
      </c>
      <c r="R485" s="25" t="s">
        <v>26</v>
      </c>
      <c r="S485" s="25" t="s">
        <v>26</v>
      </c>
      <c r="T485" s="25">
        <f t="shared" si="7"/>
        <v>52500</v>
      </c>
    </row>
    <row r="486" spans="1:20">
      <c r="A486" t="s">
        <v>1370</v>
      </c>
      <c r="B486">
        <v>45870</v>
      </c>
      <c r="C486" t="s">
        <v>93</v>
      </c>
      <c r="D486" t="s">
        <v>111</v>
      </c>
      <c r="E486" t="s">
        <v>116</v>
      </c>
      <c r="F486">
        <v>4000</v>
      </c>
      <c r="G486" t="s">
        <v>25</v>
      </c>
      <c r="H486" t="s">
        <v>1371</v>
      </c>
      <c r="I486" t="s">
        <v>71</v>
      </c>
      <c r="J486">
        <v>50800</v>
      </c>
      <c r="K486" t="s">
        <v>3</v>
      </c>
      <c r="L486" t="s">
        <v>1369</v>
      </c>
      <c r="M486" t="s">
        <v>3</v>
      </c>
      <c r="N486" t="s">
        <v>74</v>
      </c>
      <c r="O486" s="25" t="s">
        <v>3827</v>
      </c>
      <c r="P486" s="25">
        <v>1</v>
      </c>
      <c r="Q486" s="25">
        <v>50800</v>
      </c>
      <c r="R486" s="25" t="s">
        <v>26</v>
      </c>
      <c r="S486" s="25" t="s">
        <v>26</v>
      </c>
      <c r="T486" s="25">
        <f t="shared" si="7"/>
        <v>50800</v>
      </c>
    </row>
    <row r="487" spans="1:20">
      <c r="A487" t="s">
        <v>1372</v>
      </c>
      <c r="B487">
        <v>45870</v>
      </c>
      <c r="C487" t="s">
        <v>93</v>
      </c>
      <c r="D487" t="s">
        <v>111</v>
      </c>
      <c r="E487" t="s">
        <v>119</v>
      </c>
      <c r="F487">
        <v>4000</v>
      </c>
      <c r="G487" t="s">
        <v>25</v>
      </c>
      <c r="H487" t="s">
        <v>1373</v>
      </c>
      <c r="I487" t="s">
        <v>71</v>
      </c>
      <c r="J487">
        <v>50400</v>
      </c>
      <c r="K487" t="s">
        <v>3</v>
      </c>
      <c r="L487" t="s">
        <v>1369</v>
      </c>
      <c r="M487" t="s">
        <v>3</v>
      </c>
      <c r="N487" t="s">
        <v>74</v>
      </c>
      <c r="O487" s="25" t="s">
        <v>3827</v>
      </c>
      <c r="P487" s="25">
        <v>1</v>
      </c>
      <c r="Q487" s="25">
        <v>50400</v>
      </c>
      <c r="R487" s="25" t="s">
        <v>26</v>
      </c>
      <c r="S487" s="25" t="s">
        <v>26</v>
      </c>
      <c r="T487" s="25">
        <f t="shared" si="7"/>
        <v>50400</v>
      </c>
    </row>
    <row r="488" spans="1:20">
      <c r="A488" t="s">
        <v>1374</v>
      </c>
      <c r="B488">
        <v>45870</v>
      </c>
      <c r="C488" t="s">
        <v>93</v>
      </c>
      <c r="D488" t="s">
        <v>111</v>
      </c>
      <c r="E488" t="s">
        <v>170</v>
      </c>
      <c r="F488">
        <v>4000</v>
      </c>
      <c r="G488" t="s">
        <v>25</v>
      </c>
      <c r="H488" t="s">
        <v>1375</v>
      </c>
      <c r="I488" t="s">
        <v>71</v>
      </c>
      <c r="J488">
        <v>48200</v>
      </c>
      <c r="K488" t="s">
        <v>3</v>
      </c>
      <c r="L488" t="s">
        <v>1369</v>
      </c>
      <c r="M488" t="s">
        <v>3</v>
      </c>
      <c r="N488" t="s">
        <v>74</v>
      </c>
      <c r="O488" s="25" t="s">
        <v>3827</v>
      </c>
      <c r="P488" s="25">
        <v>1</v>
      </c>
      <c r="Q488" s="25">
        <v>48200</v>
      </c>
      <c r="R488" s="25" t="s">
        <v>26</v>
      </c>
      <c r="S488" s="25" t="s">
        <v>26</v>
      </c>
      <c r="T488" s="25">
        <f t="shared" si="7"/>
        <v>48200</v>
      </c>
    </row>
    <row r="489" spans="1:20">
      <c r="A489" t="s">
        <v>1376</v>
      </c>
      <c r="B489">
        <v>45870</v>
      </c>
      <c r="C489" t="s">
        <v>126</v>
      </c>
      <c r="D489" t="s">
        <v>88</v>
      </c>
      <c r="E489" t="s">
        <v>127</v>
      </c>
      <c r="F489">
        <v>4020</v>
      </c>
      <c r="G489" t="s">
        <v>30</v>
      </c>
      <c r="H489" t="s">
        <v>1377</v>
      </c>
      <c r="I489" t="s">
        <v>72</v>
      </c>
      <c r="J489">
        <v>30.73</v>
      </c>
      <c r="K489" t="s">
        <v>129</v>
      </c>
      <c r="L489" t="s">
        <v>1378</v>
      </c>
      <c r="M489" t="s">
        <v>3</v>
      </c>
      <c r="N489" t="s">
        <v>74</v>
      </c>
      <c r="O489" s="25" t="s">
        <v>3828</v>
      </c>
      <c r="P489" s="25">
        <v>1572</v>
      </c>
      <c r="Q489" s="25">
        <v>48307.56</v>
      </c>
      <c r="R489" s="25" t="s">
        <v>26</v>
      </c>
      <c r="S489" s="25" t="s">
        <v>26</v>
      </c>
      <c r="T489" s="25">
        <f t="shared" si="7"/>
        <v>48307.56</v>
      </c>
    </row>
    <row r="490" spans="1:20">
      <c r="A490" t="s">
        <v>1379</v>
      </c>
      <c r="B490">
        <v>45870</v>
      </c>
      <c r="C490" t="s">
        <v>126</v>
      </c>
      <c r="D490" t="s">
        <v>88</v>
      </c>
      <c r="E490" t="s">
        <v>132</v>
      </c>
      <c r="F490">
        <v>4020</v>
      </c>
      <c r="G490" t="s">
        <v>30</v>
      </c>
      <c r="H490" t="s">
        <v>1380</v>
      </c>
      <c r="I490" t="s">
        <v>72</v>
      </c>
      <c r="J490">
        <v>30.09</v>
      </c>
      <c r="K490" t="s">
        <v>134</v>
      </c>
      <c r="L490" t="s">
        <v>1378</v>
      </c>
      <c r="M490" t="s">
        <v>3</v>
      </c>
      <c r="N490" t="s">
        <v>74</v>
      </c>
      <c r="O490" s="25" t="s">
        <v>3828</v>
      </c>
      <c r="P490" s="25">
        <v>1572</v>
      </c>
      <c r="Q490" s="25">
        <v>47301.48</v>
      </c>
      <c r="R490" s="25" t="s">
        <v>26</v>
      </c>
      <c r="S490" s="25" t="s">
        <v>26</v>
      </c>
      <c r="T490" s="25">
        <f t="shared" si="7"/>
        <v>47301.48</v>
      </c>
    </row>
    <row r="491" spans="1:20">
      <c r="A491" t="s">
        <v>1381</v>
      </c>
      <c r="B491">
        <v>45870</v>
      </c>
      <c r="C491" t="s">
        <v>126</v>
      </c>
      <c r="D491" t="s">
        <v>88</v>
      </c>
      <c r="E491" t="s">
        <v>136</v>
      </c>
      <c r="F491">
        <v>4020</v>
      </c>
      <c r="G491" t="s">
        <v>30</v>
      </c>
      <c r="H491" t="s">
        <v>1382</v>
      </c>
      <c r="I491" t="s">
        <v>71</v>
      </c>
      <c r="J491">
        <v>50700</v>
      </c>
      <c r="K491" t="s">
        <v>138</v>
      </c>
      <c r="L491" t="s">
        <v>1378</v>
      </c>
      <c r="M491" t="s">
        <v>3</v>
      </c>
      <c r="N491" t="s">
        <v>74</v>
      </c>
      <c r="O491" s="25" t="s">
        <v>3827</v>
      </c>
      <c r="P491" s="25">
        <v>1</v>
      </c>
      <c r="Q491" s="25">
        <v>50700</v>
      </c>
      <c r="R491" s="25" t="s">
        <v>26</v>
      </c>
      <c r="S491" s="25" t="s">
        <v>26</v>
      </c>
      <c r="T491" s="25">
        <f t="shared" si="7"/>
        <v>50700</v>
      </c>
    </row>
    <row r="492" spans="1:20">
      <c r="A492" t="s">
        <v>1383</v>
      </c>
      <c r="B492">
        <v>45870</v>
      </c>
      <c r="C492" t="s">
        <v>126</v>
      </c>
      <c r="D492" t="s">
        <v>88</v>
      </c>
      <c r="E492" t="s">
        <v>140</v>
      </c>
      <c r="F492">
        <v>4020</v>
      </c>
      <c r="G492" t="s">
        <v>30</v>
      </c>
      <c r="H492" t="s">
        <v>1384</v>
      </c>
      <c r="I492" t="s">
        <v>71</v>
      </c>
      <c r="J492">
        <v>47100</v>
      </c>
      <c r="K492" t="s">
        <v>3</v>
      </c>
      <c r="L492" t="s">
        <v>1385</v>
      </c>
      <c r="M492" t="s">
        <v>3</v>
      </c>
      <c r="N492" t="s">
        <v>74</v>
      </c>
      <c r="O492" s="25" t="s">
        <v>3827</v>
      </c>
      <c r="P492" s="25">
        <v>1</v>
      </c>
      <c r="Q492" s="25">
        <v>47100</v>
      </c>
      <c r="R492" s="25" t="s">
        <v>26</v>
      </c>
      <c r="S492" s="25" t="s">
        <v>26</v>
      </c>
      <c r="T492" s="25">
        <f t="shared" si="7"/>
        <v>47100</v>
      </c>
    </row>
    <row r="493" spans="1:20">
      <c r="A493" t="s">
        <v>1386</v>
      </c>
      <c r="B493">
        <v>45870</v>
      </c>
      <c r="C493" t="s">
        <v>87</v>
      </c>
      <c r="D493" t="s">
        <v>94</v>
      </c>
      <c r="E493" t="s">
        <v>3</v>
      </c>
      <c r="F493">
        <v>5040</v>
      </c>
      <c r="G493" t="s">
        <v>43</v>
      </c>
      <c r="H493" t="s">
        <v>1387</v>
      </c>
      <c r="I493" t="s">
        <v>71</v>
      </c>
      <c r="J493">
        <v>-582000</v>
      </c>
      <c r="K493" t="s">
        <v>187</v>
      </c>
      <c r="L493" t="s">
        <v>1388</v>
      </c>
      <c r="M493" t="s">
        <v>3</v>
      </c>
      <c r="N493" t="s">
        <v>74</v>
      </c>
      <c r="O493" s="25" t="s">
        <v>3827</v>
      </c>
      <c r="P493" s="25">
        <v>1</v>
      </c>
      <c r="Q493" s="25">
        <v>-582000</v>
      </c>
      <c r="R493" s="25" t="s">
        <v>35</v>
      </c>
      <c r="S493" s="25" t="s">
        <v>35</v>
      </c>
      <c r="T493" s="25">
        <f t="shared" si="7"/>
        <v>-582000</v>
      </c>
    </row>
    <row r="494" spans="1:20">
      <c r="A494" t="s">
        <v>1389</v>
      </c>
      <c r="B494">
        <v>45871</v>
      </c>
      <c r="C494" t="s">
        <v>93</v>
      </c>
      <c r="D494" t="s">
        <v>94</v>
      </c>
      <c r="E494" t="s">
        <v>95</v>
      </c>
      <c r="F494">
        <v>4000</v>
      </c>
      <c r="G494" t="s">
        <v>25</v>
      </c>
      <c r="H494" t="s">
        <v>1390</v>
      </c>
      <c r="I494" t="s">
        <v>71</v>
      </c>
      <c r="J494">
        <v>38300</v>
      </c>
      <c r="K494" t="s">
        <v>3</v>
      </c>
      <c r="L494" t="s">
        <v>1391</v>
      </c>
      <c r="M494" t="s">
        <v>3</v>
      </c>
      <c r="N494" t="s">
        <v>74</v>
      </c>
      <c r="O494" s="25" t="s">
        <v>3827</v>
      </c>
      <c r="P494" s="25">
        <v>1</v>
      </c>
      <c r="Q494" s="25">
        <v>38300</v>
      </c>
      <c r="R494" s="25" t="s">
        <v>26</v>
      </c>
      <c r="S494" s="25" t="s">
        <v>26</v>
      </c>
      <c r="T494" s="25">
        <f t="shared" si="7"/>
        <v>38300</v>
      </c>
    </row>
    <row r="495" spans="1:20">
      <c r="A495" t="s">
        <v>1392</v>
      </c>
      <c r="B495">
        <v>45871</v>
      </c>
      <c r="C495" t="s">
        <v>93</v>
      </c>
      <c r="D495" t="s">
        <v>94</v>
      </c>
      <c r="E495" t="s">
        <v>99</v>
      </c>
      <c r="F495">
        <v>4000</v>
      </c>
      <c r="G495" t="s">
        <v>25</v>
      </c>
      <c r="H495" t="s">
        <v>1393</v>
      </c>
      <c r="I495" t="s">
        <v>71</v>
      </c>
      <c r="J495">
        <v>39200</v>
      </c>
      <c r="K495" t="s">
        <v>3</v>
      </c>
      <c r="L495" t="s">
        <v>1394</v>
      </c>
      <c r="M495" t="s">
        <v>3</v>
      </c>
      <c r="N495" t="s">
        <v>74</v>
      </c>
      <c r="O495" s="25" t="s">
        <v>3827</v>
      </c>
      <c r="P495" s="25">
        <v>1</v>
      </c>
      <c r="Q495" s="25">
        <v>39200</v>
      </c>
      <c r="R495" s="25" t="s">
        <v>26</v>
      </c>
      <c r="S495" s="25" t="s">
        <v>26</v>
      </c>
      <c r="T495" s="25">
        <f t="shared" si="7"/>
        <v>39200</v>
      </c>
    </row>
    <row r="496" spans="1:20">
      <c r="A496" t="s">
        <v>1395</v>
      </c>
      <c r="B496">
        <v>45871</v>
      </c>
      <c r="C496" t="s">
        <v>93</v>
      </c>
      <c r="D496" t="s">
        <v>94</v>
      </c>
      <c r="E496" t="s">
        <v>103</v>
      </c>
      <c r="F496">
        <v>4000</v>
      </c>
      <c r="G496" t="s">
        <v>25</v>
      </c>
      <c r="H496" t="s">
        <v>1396</v>
      </c>
      <c r="I496" t="s">
        <v>71</v>
      </c>
      <c r="J496">
        <v>37100</v>
      </c>
      <c r="K496" t="s">
        <v>3</v>
      </c>
      <c r="L496" t="s">
        <v>1397</v>
      </c>
      <c r="M496" t="s">
        <v>3</v>
      </c>
      <c r="N496" t="s">
        <v>74</v>
      </c>
      <c r="O496" s="25" t="s">
        <v>3827</v>
      </c>
      <c r="P496" s="25">
        <v>1</v>
      </c>
      <c r="Q496" s="25">
        <v>37100</v>
      </c>
      <c r="R496" s="25" t="s">
        <v>26</v>
      </c>
      <c r="S496" s="25" t="s">
        <v>26</v>
      </c>
      <c r="T496" s="25">
        <f t="shared" si="7"/>
        <v>37100</v>
      </c>
    </row>
    <row r="497" spans="1:20">
      <c r="A497" t="s">
        <v>1398</v>
      </c>
      <c r="B497">
        <v>45871</v>
      </c>
      <c r="C497" t="s">
        <v>93</v>
      </c>
      <c r="D497" t="s">
        <v>94</v>
      </c>
      <c r="E497" t="s">
        <v>160</v>
      </c>
      <c r="F497">
        <v>4000</v>
      </c>
      <c r="G497" t="s">
        <v>25</v>
      </c>
      <c r="H497" t="s">
        <v>1399</v>
      </c>
      <c r="I497" t="s">
        <v>71</v>
      </c>
      <c r="J497">
        <v>36700</v>
      </c>
      <c r="K497" t="s">
        <v>3</v>
      </c>
      <c r="L497" t="s">
        <v>1397</v>
      </c>
      <c r="M497" t="s">
        <v>3</v>
      </c>
      <c r="N497" t="s">
        <v>74</v>
      </c>
      <c r="O497" s="25" t="s">
        <v>3827</v>
      </c>
      <c r="P497" s="25">
        <v>1</v>
      </c>
      <c r="Q497" s="25">
        <v>36700</v>
      </c>
      <c r="R497" s="25" t="s">
        <v>26</v>
      </c>
      <c r="S497" s="25" t="s">
        <v>26</v>
      </c>
      <c r="T497" s="25">
        <f t="shared" si="7"/>
        <v>36700</v>
      </c>
    </row>
    <row r="498" spans="1:20">
      <c r="A498" t="s">
        <v>1400</v>
      </c>
      <c r="B498">
        <v>45871</v>
      </c>
      <c r="C498" t="s">
        <v>93</v>
      </c>
      <c r="D498" t="s">
        <v>94</v>
      </c>
      <c r="E498" t="s">
        <v>107</v>
      </c>
      <c r="F498">
        <v>4000</v>
      </c>
      <c r="G498" t="s">
        <v>25</v>
      </c>
      <c r="H498" t="s">
        <v>1401</v>
      </c>
      <c r="I498" t="s">
        <v>71</v>
      </c>
      <c r="J498">
        <v>40800</v>
      </c>
      <c r="K498" t="s">
        <v>3</v>
      </c>
      <c r="L498" t="s">
        <v>1402</v>
      </c>
      <c r="M498" t="s">
        <v>3</v>
      </c>
      <c r="N498" t="s">
        <v>74</v>
      </c>
      <c r="O498" s="25" t="s">
        <v>3827</v>
      </c>
      <c r="P498" s="25">
        <v>1</v>
      </c>
      <c r="Q498" s="25">
        <v>40800</v>
      </c>
      <c r="R498" s="25" t="s">
        <v>26</v>
      </c>
      <c r="S498" s="25" t="s">
        <v>26</v>
      </c>
      <c r="T498" s="25">
        <f t="shared" si="7"/>
        <v>40800</v>
      </c>
    </row>
    <row r="499" spans="1:20">
      <c r="A499" t="s">
        <v>1403</v>
      </c>
      <c r="B499">
        <v>45871</v>
      </c>
      <c r="C499" t="s">
        <v>93</v>
      </c>
      <c r="D499" t="s">
        <v>111</v>
      </c>
      <c r="E499" t="s">
        <v>112</v>
      </c>
      <c r="F499">
        <v>4000</v>
      </c>
      <c r="G499" t="s">
        <v>25</v>
      </c>
      <c r="H499" t="s">
        <v>1404</v>
      </c>
      <c r="I499" t="s">
        <v>71</v>
      </c>
      <c r="J499">
        <v>65200</v>
      </c>
      <c r="K499" t="s">
        <v>3</v>
      </c>
      <c r="L499" t="s">
        <v>1405</v>
      </c>
      <c r="M499" t="s">
        <v>3</v>
      </c>
      <c r="N499" t="s">
        <v>74</v>
      </c>
      <c r="O499" s="25" t="s">
        <v>3827</v>
      </c>
      <c r="P499" s="25">
        <v>1</v>
      </c>
      <c r="Q499" s="25">
        <v>65200</v>
      </c>
      <c r="R499" s="25" t="s">
        <v>26</v>
      </c>
      <c r="S499" s="25" t="s">
        <v>26</v>
      </c>
      <c r="T499" s="25">
        <f t="shared" si="7"/>
        <v>65200</v>
      </c>
    </row>
    <row r="500" spans="1:20">
      <c r="A500" t="s">
        <v>1406</v>
      </c>
      <c r="B500">
        <v>45871</v>
      </c>
      <c r="C500" t="s">
        <v>93</v>
      </c>
      <c r="D500" t="s">
        <v>111</v>
      </c>
      <c r="E500" t="s">
        <v>116</v>
      </c>
      <c r="F500">
        <v>4000</v>
      </c>
      <c r="G500" t="s">
        <v>25</v>
      </c>
      <c r="H500" t="s">
        <v>1407</v>
      </c>
      <c r="I500" t="s">
        <v>71</v>
      </c>
      <c r="J500">
        <v>64900</v>
      </c>
      <c r="K500" t="s">
        <v>3</v>
      </c>
      <c r="L500" t="s">
        <v>1405</v>
      </c>
      <c r="M500" t="s">
        <v>3</v>
      </c>
      <c r="N500" t="s">
        <v>74</v>
      </c>
      <c r="O500" s="25" t="s">
        <v>3827</v>
      </c>
      <c r="P500" s="25">
        <v>1</v>
      </c>
      <c r="Q500" s="25">
        <v>64900</v>
      </c>
      <c r="R500" s="25" t="s">
        <v>26</v>
      </c>
      <c r="S500" s="25" t="s">
        <v>26</v>
      </c>
      <c r="T500" s="25">
        <f t="shared" si="7"/>
        <v>64900</v>
      </c>
    </row>
    <row r="501" spans="1:20">
      <c r="A501" t="s">
        <v>1408</v>
      </c>
      <c r="B501">
        <v>45871</v>
      </c>
      <c r="C501" t="s">
        <v>93</v>
      </c>
      <c r="D501" t="s">
        <v>111</v>
      </c>
      <c r="E501" t="s">
        <v>119</v>
      </c>
      <c r="F501">
        <v>4000</v>
      </c>
      <c r="G501" t="s">
        <v>25</v>
      </c>
      <c r="H501" t="s">
        <v>1409</v>
      </c>
      <c r="I501" t="s">
        <v>71</v>
      </c>
      <c r="J501">
        <v>66700</v>
      </c>
      <c r="K501" t="s">
        <v>3</v>
      </c>
      <c r="L501" t="s">
        <v>1405</v>
      </c>
      <c r="M501" t="s">
        <v>3</v>
      </c>
      <c r="N501" t="s">
        <v>74</v>
      </c>
      <c r="O501" s="25" t="s">
        <v>3827</v>
      </c>
      <c r="P501" s="25">
        <v>1</v>
      </c>
      <c r="Q501" s="25">
        <v>66700</v>
      </c>
      <c r="R501" s="25" t="s">
        <v>26</v>
      </c>
      <c r="S501" s="25" t="s">
        <v>26</v>
      </c>
      <c r="T501" s="25">
        <f t="shared" si="7"/>
        <v>66700</v>
      </c>
    </row>
    <row r="502" spans="1:20">
      <c r="A502" t="s">
        <v>1410</v>
      </c>
      <c r="B502">
        <v>45871</v>
      </c>
      <c r="C502" t="s">
        <v>93</v>
      </c>
      <c r="D502" t="s">
        <v>111</v>
      </c>
      <c r="E502" t="s">
        <v>170</v>
      </c>
      <c r="F502">
        <v>4000</v>
      </c>
      <c r="G502" t="s">
        <v>25</v>
      </c>
      <c r="H502" t="s">
        <v>1411</v>
      </c>
      <c r="I502" t="s">
        <v>71</v>
      </c>
      <c r="J502">
        <v>64600</v>
      </c>
      <c r="K502" t="s">
        <v>3</v>
      </c>
      <c r="L502" t="s">
        <v>1405</v>
      </c>
      <c r="M502" t="s">
        <v>3</v>
      </c>
      <c r="N502" t="s">
        <v>74</v>
      </c>
      <c r="O502" s="25" t="s">
        <v>3827</v>
      </c>
      <c r="P502" s="25">
        <v>1</v>
      </c>
      <c r="Q502" s="25">
        <v>64600</v>
      </c>
      <c r="R502" s="25" t="s">
        <v>26</v>
      </c>
      <c r="S502" s="25" t="s">
        <v>26</v>
      </c>
      <c r="T502" s="25">
        <f t="shared" si="7"/>
        <v>64600</v>
      </c>
    </row>
    <row r="503" spans="1:20">
      <c r="A503" t="s">
        <v>1412</v>
      </c>
      <c r="B503">
        <v>45871</v>
      </c>
      <c r="C503" t="s">
        <v>93</v>
      </c>
      <c r="D503" t="s">
        <v>111</v>
      </c>
      <c r="E503" t="s">
        <v>122</v>
      </c>
      <c r="F503">
        <v>4000</v>
      </c>
      <c r="G503" t="s">
        <v>25</v>
      </c>
      <c r="H503" t="s">
        <v>1413</v>
      </c>
      <c r="I503" t="s">
        <v>71</v>
      </c>
      <c r="J503">
        <v>65600</v>
      </c>
      <c r="K503" t="s">
        <v>3</v>
      </c>
      <c r="L503" t="s">
        <v>1414</v>
      </c>
      <c r="M503" t="s">
        <v>3</v>
      </c>
      <c r="N503" t="s">
        <v>74</v>
      </c>
      <c r="O503" s="25" t="s">
        <v>3827</v>
      </c>
      <c r="P503" s="25">
        <v>1</v>
      </c>
      <c r="Q503" s="25">
        <v>65600</v>
      </c>
      <c r="R503" s="25" t="s">
        <v>26</v>
      </c>
      <c r="S503" s="25" t="s">
        <v>26</v>
      </c>
      <c r="T503" s="25">
        <f t="shared" si="7"/>
        <v>65600</v>
      </c>
    </row>
    <row r="504" spans="1:20">
      <c r="A504" t="s">
        <v>1415</v>
      </c>
      <c r="B504">
        <v>45871</v>
      </c>
      <c r="C504" t="s">
        <v>126</v>
      </c>
      <c r="D504" t="s">
        <v>88</v>
      </c>
      <c r="E504" t="s">
        <v>127</v>
      </c>
      <c r="F504">
        <v>4020</v>
      </c>
      <c r="G504" t="s">
        <v>30</v>
      </c>
      <c r="H504" t="s">
        <v>1416</v>
      </c>
      <c r="I504" t="s">
        <v>71</v>
      </c>
      <c r="J504">
        <v>48800</v>
      </c>
      <c r="K504" t="s">
        <v>129</v>
      </c>
      <c r="L504" t="s">
        <v>1417</v>
      </c>
      <c r="M504" t="s">
        <v>3</v>
      </c>
      <c r="N504" t="s">
        <v>74</v>
      </c>
      <c r="O504" s="25" t="s">
        <v>3827</v>
      </c>
      <c r="P504" s="25">
        <v>1</v>
      </c>
      <c r="Q504" s="25">
        <v>48800</v>
      </c>
      <c r="R504" s="25" t="s">
        <v>26</v>
      </c>
      <c r="S504" s="25" t="s">
        <v>26</v>
      </c>
      <c r="T504" s="25">
        <f t="shared" si="7"/>
        <v>48800</v>
      </c>
    </row>
    <row r="505" spans="1:20">
      <c r="A505" t="s">
        <v>1418</v>
      </c>
      <c r="B505">
        <v>45871</v>
      </c>
      <c r="C505" t="s">
        <v>126</v>
      </c>
      <c r="D505" t="s">
        <v>88</v>
      </c>
      <c r="E505" t="s">
        <v>132</v>
      </c>
      <c r="F505">
        <v>4020</v>
      </c>
      <c r="G505" t="s">
        <v>30</v>
      </c>
      <c r="H505" t="s">
        <v>1419</v>
      </c>
      <c r="I505" t="s">
        <v>71</v>
      </c>
      <c r="J505">
        <v>45100</v>
      </c>
      <c r="K505" t="s">
        <v>134</v>
      </c>
      <c r="L505" t="s">
        <v>1417</v>
      </c>
      <c r="M505" t="s">
        <v>3</v>
      </c>
      <c r="N505" t="s">
        <v>74</v>
      </c>
      <c r="O505" s="25" t="s">
        <v>3827</v>
      </c>
      <c r="P505" s="25">
        <v>1</v>
      </c>
      <c r="Q505" s="25">
        <v>45100</v>
      </c>
      <c r="R505" s="25" t="s">
        <v>26</v>
      </c>
      <c r="S505" s="25" t="s">
        <v>26</v>
      </c>
      <c r="T505" s="25">
        <f t="shared" si="7"/>
        <v>45100</v>
      </c>
    </row>
    <row r="506" spans="1:20">
      <c r="A506" t="s">
        <v>1420</v>
      </c>
      <c r="B506">
        <v>45871</v>
      </c>
      <c r="C506" t="s">
        <v>126</v>
      </c>
      <c r="D506" t="s">
        <v>88</v>
      </c>
      <c r="E506" t="s">
        <v>136</v>
      </c>
      <c r="F506">
        <v>4020</v>
      </c>
      <c r="G506" t="s">
        <v>30</v>
      </c>
      <c r="H506" t="s">
        <v>1421</v>
      </c>
      <c r="I506" t="s">
        <v>71</v>
      </c>
      <c r="J506">
        <v>49800</v>
      </c>
      <c r="K506" t="s">
        <v>138</v>
      </c>
      <c r="L506" t="s">
        <v>1417</v>
      </c>
      <c r="M506" t="s">
        <v>3</v>
      </c>
      <c r="N506" t="s">
        <v>74</v>
      </c>
      <c r="O506" s="25" t="s">
        <v>3827</v>
      </c>
      <c r="P506" s="25">
        <v>1</v>
      </c>
      <c r="Q506" s="25">
        <v>49800</v>
      </c>
      <c r="R506" s="25" t="s">
        <v>26</v>
      </c>
      <c r="S506" s="25" t="s">
        <v>26</v>
      </c>
      <c r="T506" s="25">
        <f t="shared" si="7"/>
        <v>49800</v>
      </c>
    </row>
    <row r="507" spans="1:20">
      <c r="A507" t="s">
        <v>1422</v>
      </c>
      <c r="B507">
        <v>45871</v>
      </c>
      <c r="C507" t="s">
        <v>87</v>
      </c>
      <c r="D507" t="s">
        <v>94</v>
      </c>
      <c r="E507" t="s">
        <v>3</v>
      </c>
      <c r="F507">
        <v>5020</v>
      </c>
      <c r="G507" t="s">
        <v>39</v>
      </c>
      <c r="H507" t="s">
        <v>1423</v>
      </c>
      <c r="I507" t="s">
        <v>71</v>
      </c>
      <c r="J507">
        <v>-110000</v>
      </c>
      <c r="K507" t="s">
        <v>276</v>
      </c>
      <c r="L507" t="s">
        <v>1424</v>
      </c>
      <c r="M507" t="s">
        <v>3</v>
      </c>
      <c r="N507" t="s">
        <v>74</v>
      </c>
      <c r="O507" s="25" t="s">
        <v>3827</v>
      </c>
      <c r="P507" s="25">
        <v>1</v>
      </c>
      <c r="Q507" s="25">
        <v>-110000</v>
      </c>
      <c r="R507" s="25" t="s">
        <v>35</v>
      </c>
      <c r="S507" s="25" t="s">
        <v>35</v>
      </c>
      <c r="T507" s="25">
        <f t="shared" si="7"/>
        <v>-110000</v>
      </c>
    </row>
    <row r="508" spans="1:20">
      <c r="A508" t="s">
        <v>1425</v>
      </c>
      <c r="B508">
        <v>45871</v>
      </c>
      <c r="C508" t="s">
        <v>87</v>
      </c>
      <c r="D508" t="s">
        <v>111</v>
      </c>
      <c r="E508" t="s">
        <v>3</v>
      </c>
      <c r="F508">
        <v>5020</v>
      </c>
      <c r="G508" t="s">
        <v>39</v>
      </c>
      <c r="H508" t="s">
        <v>1423</v>
      </c>
      <c r="I508" t="s">
        <v>71</v>
      </c>
      <c r="J508">
        <v>-71000</v>
      </c>
      <c r="K508" t="s">
        <v>276</v>
      </c>
      <c r="L508" t="s">
        <v>1426</v>
      </c>
      <c r="M508" t="s">
        <v>3</v>
      </c>
      <c r="N508" t="s">
        <v>74</v>
      </c>
      <c r="O508" s="25" t="s">
        <v>3827</v>
      </c>
      <c r="P508" s="25">
        <v>1</v>
      </c>
      <c r="Q508" s="25">
        <v>-71000</v>
      </c>
      <c r="R508" s="25" t="s">
        <v>35</v>
      </c>
      <c r="S508" s="25" t="s">
        <v>35</v>
      </c>
      <c r="T508" s="25">
        <f t="shared" si="7"/>
        <v>-71000</v>
      </c>
    </row>
    <row r="509" spans="1:20">
      <c r="A509" t="s">
        <v>1427</v>
      </c>
      <c r="B509">
        <v>45871</v>
      </c>
      <c r="C509" t="s">
        <v>87</v>
      </c>
      <c r="D509" t="s">
        <v>88</v>
      </c>
      <c r="E509" t="s">
        <v>3</v>
      </c>
      <c r="F509">
        <v>5030</v>
      </c>
      <c r="G509" t="s">
        <v>41</v>
      </c>
      <c r="H509" t="s">
        <v>1428</v>
      </c>
      <c r="I509" t="s">
        <v>71</v>
      </c>
      <c r="J509">
        <v>-638000</v>
      </c>
      <c r="K509" t="s">
        <v>90</v>
      </c>
      <c r="L509" t="s">
        <v>1429</v>
      </c>
      <c r="M509" t="s">
        <v>3</v>
      </c>
      <c r="N509" t="s">
        <v>74</v>
      </c>
      <c r="O509" s="25" t="s">
        <v>3827</v>
      </c>
      <c r="P509" s="25">
        <v>1</v>
      </c>
      <c r="Q509" s="25">
        <v>-638000</v>
      </c>
      <c r="R509" s="25" t="s">
        <v>35</v>
      </c>
      <c r="S509" s="25" t="s">
        <v>35</v>
      </c>
      <c r="T509" s="25">
        <f t="shared" si="7"/>
        <v>-638000</v>
      </c>
    </row>
    <row r="510" spans="1:20">
      <c r="A510" t="s">
        <v>1430</v>
      </c>
      <c r="B510">
        <v>45871</v>
      </c>
      <c r="C510" t="s">
        <v>87</v>
      </c>
      <c r="D510" t="s">
        <v>88</v>
      </c>
      <c r="E510" t="s">
        <v>3</v>
      </c>
      <c r="F510">
        <v>5040</v>
      </c>
      <c r="G510" t="s">
        <v>43</v>
      </c>
      <c r="H510" t="s">
        <v>1431</v>
      </c>
      <c r="I510" t="s">
        <v>71</v>
      </c>
      <c r="J510">
        <v>-601000</v>
      </c>
      <c r="K510" t="s">
        <v>398</v>
      </c>
      <c r="L510" t="s">
        <v>1432</v>
      </c>
      <c r="M510" t="s">
        <v>3</v>
      </c>
      <c r="N510" t="s">
        <v>74</v>
      </c>
      <c r="O510" s="25" t="s">
        <v>3827</v>
      </c>
      <c r="P510" s="25">
        <v>1</v>
      </c>
      <c r="Q510" s="25">
        <v>-601000</v>
      </c>
      <c r="R510" s="25" t="s">
        <v>35</v>
      </c>
      <c r="S510" s="25" t="s">
        <v>35</v>
      </c>
      <c r="T510" s="25">
        <f t="shared" si="7"/>
        <v>-601000</v>
      </c>
    </row>
    <row r="511" spans="1:20">
      <c r="A511" t="s">
        <v>1433</v>
      </c>
      <c r="B511">
        <v>45871</v>
      </c>
      <c r="C511" t="s">
        <v>87</v>
      </c>
      <c r="D511" t="s">
        <v>94</v>
      </c>
      <c r="E511" t="s">
        <v>3</v>
      </c>
      <c r="F511">
        <v>6040</v>
      </c>
      <c r="G511" t="s">
        <v>56</v>
      </c>
      <c r="H511" t="s">
        <v>1434</v>
      </c>
      <c r="I511" t="s">
        <v>72</v>
      </c>
      <c r="J511">
        <v>-820</v>
      </c>
      <c r="K511" t="s">
        <v>199</v>
      </c>
      <c r="L511" t="s">
        <v>1435</v>
      </c>
      <c r="M511" t="s">
        <v>3</v>
      </c>
      <c r="N511" t="s">
        <v>74</v>
      </c>
      <c r="O511" s="25" t="s">
        <v>3828</v>
      </c>
      <c r="P511" s="25">
        <v>1572</v>
      </c>
      <c r="Q511" s="25">
        <v>-1289040</v>
      </c>
      <c r="R511" s="25" t="s">
        <v>48</v>
      </c>
      <c r="S511" s="25" t="s">
        <v>48</v>
      </c>
      <c r="T511" s="25">
        <f t="shared" si="7"/>
        <v>-1289040</v>
      </c>
    </row>
    <row r="512" spans="1:20">
      <c r="A512" t="s">
        <v>1436</v>
      </c>
      <c r="B512">
        <v>45872</v>
      </c>
      <c r="C512" t="s">
        <v>93</v>
      </c>
      <c r="D512" t="s">
        <v>94</v>
      </c>
      <c r="E512" t="s">
        <v>95</v>
      </c>
      <c r="F512">
        <v>4000</v>
      </c>
      <c r="G512" t="s">
        <v>25</v>
      </c>
      <c r="H512" t="s">
        <v>1437</v>
      </c>
      <c r="I512" t="s">
        <v>71</v>
      </c>
      <c r="J512">
        <v>35900</v>
      </c>
      <c r="K512" t="s">
        <v>3</v>
      </c>
      <c r="L512" t="s">
        <v>1438</v>
      </c>
      <c r="M512" t="s">
        <v>3</v>
      </c>
      <c r="N512" t="s">
        <v>74</v>
      </c>
      <c r="O512" s="25" t="s">
        <v>3827</v>
      </c>
      <c r="P512" s="25">
        <v>1</v>
      </c>
      <c r="Q512" s="25">
        <v>35900</v>
      </c>
      <c r="R512" s="25" t="s">
        <v>26</v>
      </c>
      <c r="S512" s="25" t="s">
        <v>26</v>
      </c>
      <c r="T512" s="25">
        <f t="shared" si="7"/>
        <v>35900</v>
      </c>
    </row>
    <row r="513" spans="1:20">
      <c r="A513" t="s">
        <v>1439</v>
      </c>
      <c r="B513">
        <v>45872</v>
      </c>
      <c r="C513" t="s">
        <v>93</v>
      </c>
      <c r="D513" t="s">
        <v>94</v>
      </c>
      <c r="E513" t="s">
        <v>99</v>
      </c>
      <c r="F513">
        <v>4000</v>
      </c>
      <c r="G513" t="s">
        <v>25</v>
      </c>
      <c r="H513" t="s">
        <v>1440</v>
      </c>
      <c r="I513" t="s">
        <v>71</v>
      </c>
      <c r="J513">
        <v>39900</v>
      </c>
      <c r="K513" t="s">
        <v>3</v>
      </c>
      <c r="L513" t="s">
        <v>1441</v>
      </c>
      <c r="M513" t="s">
        <v>3</v>
      </c>
      <c r="N513" t="s">
        <v>74</v>
      </c>
      <c r="O513" s="25" t="s">
        <v>3827</v>
      </c>
      <c r="P513" s="25">
        <v>1</v>
      </c>
      <c r="Q513" s="25">
        <v>39900</v>
      </c>
      <c r="R513" s="25" t="s">
        <v>26</v>
      </c>
      <c r="S513" s="25" t="s">
        <v>26</v>
      </c>
      <c r="T513" s="25">
        <f t="shared" si="7"/>
        <v>39900</v>
      </c>
    </row>
    <row r="514" spans="1:20">
      <c r="A514" t="s">
        <v>1442</v>
      </c>
      <c r="B514">
        <v>45872</v>
      </c>
      <c r="C514" t="s">
        <v>93</v>
      </c>
      <c r="D514" t="s">
        <v>94</v>
      </c>
      <c r="E514" t="s">
        <v>103</v>
      </c>
      <c r="F514">
        <v>4000</v>
      </c>
      <c r="G514" t="s">
        <v>25</v>
      </c>
      <c r="H514" t="s">
        <v>1443</v>
      </c>
      <c r="I514" t="s">
        <v>71</v>
      </c>
      <c r="J514">
        <v>34800</v>
      </c>
      <c r="K514" t="s">
        <v>3</v>
      </c>
      <c r="L514" t="s">
        <v>1444</v>
      </c>
      <c r="M514" t="s">
        <v>3</v>
      </c>
      <c r="N514" t="s">
        <v>74</v>
      </c>
      <c r="O514" s="25" t="s">
        <v>3827</v>
      </c>
      <c r="P514" s="25">
        <v>1</v>
      </c>
      <c r="Q514" s="25">
        <v>34800</v>
      </c>
      <c r="R514" s="25" t="s">
        <v>26</v>
      </c>
      <c r="S514" s="25" t="s">
        <v>26</v>
      </c>
      <c r="T514" s="25">
        <f t="shared" ref="T514:T577" si="8">IF(AND(S514="Revenue",G514&lt;&gt;"Refunds &amp; Chargebacks"),ABS(Q514),-ABS(Q514))</f>
        <v>34800</v>
      </c>
    </row>
    <row r="515" spans="1:20">
      <c r="A515" t="s">
        <v>1445</v>
      </c>
      <c r="B515">
        <v>45872</v>
      </c>
      <c r="C515" t="s">
        <v>93</v>
      </c>
      <c r="D515" t="s">
        <v>94</v>
      </c>
      <c r="E515" t="s">
        <v>160</v>
      </c>
      <c r="F515">
        <v>4000</v>
      </c>
      <c r="G515" t="s">
        <v>25</v>
      </c>
      <c r="H515" t="s">
        <v>1446</v>
      </c>
      <c r="I515" t="s">
        <v>71</v>
      </c>
      <c r="J515">
        <v>37800</v>
      </c>
      <c r="K515" t="s">
        <v>3</v>
      </c>
      <c r="L515" t="s">
        <v>1444</v>
      </c>
      <c r="M515" t="s">
        <v>3</v>
      </c>
      <c r="N515" t="s">
        <v>74</v>
      </c>
      <c r="O515" s="25" t="s">
        <v>3827</v>
      </c>
      <c r="P515" s="25">
        <v>1</v>
      </c>
      <c r="Q515" s="25">
        <v>37800</v>
      </c>
      <c r="R515" s="25" t="s">
        <v>26</v>
      </c>
      <c r="S515" s="25" t="s">
        <v>26</v>
      </c>
      <c r="T515" s="25">
        <f t="shared" si="8"/>
        <v>37800</v>
      </c>
    </row>
    <row r="516" spans="1:20">
      <c r="A516" t="s">
        <v>1447</v>
      </c>
      <c r="B516">
        <v>45872</v>
      </c>
      <c r="C516" t="s">
        <v>93</v>
      </c>
      <c r="D516" t="s">
        <v>94</v>
      </c>
      <c r="E516" t="s">
        <v>107</v>
      </c>
      <c r="F516">
        <v>4000</v>
      </c>
      <c r="G516" t="s">
        <v>25</v>
      </c>
      <c r="H516" t="s">
        <v>1448</v>
      </c>
      <c r="I516" t="s">
        <v>71</v>
      </c>
      <c r="J516">
        <v>39400</v>
      </c>
      <c r="K516" t="s">
        <v>3</v>
      </c>
      <c r="L516" t="s">
        <v>1449</v>
      </c>
      <c r="M516" t="s">
        <v>3</v>
      </c>
      <c r="N516" t="s">
        <v>74</v>
      </c>
      <c r="O516" s="25" t="s">
        <v>3827</v>
      </c>
      <c r="P516" s="25">
        <v>1</v>
      </c>
      <c r="Q516" s="25">
        <v>39400</v>
      </c>
      <c r="R516" s="25" t="s">
        <v>26</v>
      </c>
      <c r="S516" s="25" t="s">
        <v>26</v>
      </c>
      <c r="T516" s="25">
        <f t="shared" si="8"/>
        <v>39400</v>
      </c>
    </row>
    <row r="517" spans="1:20">
      <c r="A517" t="s">
        <v>1450</v>
      </c>
      <c r="B517">
        <v>45872</v>
      </c>
      <c r="C517" t="s">
        <v>93</v>
      </c>
      <c r="D517" t="s">
        <v>111</v>
      </c>
      <c r="E517" t="s">
        <v>116</v>
      </c>
      <c r="F517">
        <v>4000</v>
      </c>
      <c r="G517" t="s">
        <v>25</v>
      </c>
      <c r="H517" t="s">
        <v>1451</v>
      </c>
      <c r="I517" t="s">
        <v>71</v>
      </c>
      <c r="J517">
        <v>62700</v>
      </c>
      <c r="K517" t="s">
        <v>3</v>
      </c>
      <c r="L517" t="s">
        <v>1452</v>
      </c>
      <c r="M517" t="s">
        <v>3</v>
      </c>
      <c r="N517" t="s">
        <v>74</v>
      </c>
      <c r="O517" s="25" t="s">
        <v>3827</v>
      </c>
      <c r="P517" s="25">
        <v>1</v>
      </c>
      <c r="Q517" s="25">
        <v>62700</v>
      </c>
      <c r="R517" s="25" t="s">
        <v>26</v>
      </c>
      <c r="S517" s="25" t="s">
        <v>26</v>
      </c>
      <c r="T517" s="25">
        <f t="shared" si="8"/>
        <v>62700</v>
      </c>
    </row>
    <row r="518" spans="1:20">
      <c r="A518" t="s">
        <v>1453</v>
      </c>
      <c r="B518">
        <v>45872</v>
      </c>
      <c r="C518" t="s">
        <v>93</v>
      </c>
      <c r="D518" t="s">
        <v>111</v>
      </c>
      <c r="E518" t="s">
        <v>119</v>
      </c>
      <c r="F518">
        <v>4000</v>
      </c>
      <c r="G518" t="s">
        <v>25</v>
      </c>
      <c r="H518" t="s">
        <v>1454</v>
      </c>
      <c r="I518" t="s">
        <v>71</v>
      </c>
      <c r="J518">
        <v>62000</v>
      </c>
      <c r="K518" t="s">
        <v>3</v>
      </c>
      <c r="L518" t="s">
        <v>1452</v>
      </c>
      <c r="M518" t="s">
        <v>3</v>
      </c>
      <c r="N518" t="s">
        <v>74</v>
      </c>
      <c r="O518" s="25" t="s">
        <v>3827</v>
      </c>
      <c r="P518" s="25">
        <v>1</v>
      </c>
      <c r="Q518" s="25">
        <v>62000</v>
      </c>
      <c r="R518" s="25" t="s">
        <v>26</v>
      </c>
      <c r="S518" s="25" t="s">
        <v>26</v>
      </c>
      <c r="T518" s="25">
        <f t="shared" si="8"/>
        <v>62000</v>
      </c>
    </row>
    <row r="519" spans="1:20">
      <c r="A519" t="s">
        <v>1455</v>
      </c>
      <c r="B519">
        <v>45872</v>
      </c>
      <c r="C519" t="s">
        <v>93</v>
      </c>
      <c r="D519" t="s">
        <v>111</v>
      </c>
      <c r="E519" t="s">
        <v>170</v>
      </c>
      <c r="F519">
        <v>4000</v>
      </c>
      <c r="G519" t="s">
        <v>25</v>
      </c>
      <c r="H519" t="s">
        <v>1456</v>
      </c>
      <c r="I519" t="s">
        <v>71</v>
      </c>
      <c r="J519">
        <v>64800</v>
      </c>
      <c r="K519" t="s">
        <v>3</v>
      </c>
      <c r="L519" t="s">
        <v>1452</v>
      </c>
      <c r="M519" t="s">
        <v>3</v>
      </c>
      <c r="N519" t="s">
        <v>74</v>
      </c>
      <c r="O519" s="25" t="s">
        <v>3827</v>
      </c>
      <c r="P519" s="25">
        <v>1</v>
      </c>
      <c r="Q519" s="25">
        <v>64800</v>
      </c>
      <c r="R519" s="25" t="s">
        <v>26</v>
      </c>
      <c r="S519" s="25" t="s">
        <v>26</v>
      </c>
      <c r="T519" s="25">
        <f t="shared" si="8"/>
        <v>64800</v>
      </c>
    </row>
    <row r="520" spans="1:20">
      <c r="A520" t="s">
        <v>1457</v>
      </c>
      <c r="B520">
        <v>45872</v>
      </c>
      <c r="C520" t="s">
        <v>93</v>
      </c>
      <c r="D520" t="s">
        <v>111</v>
      </c>
      <c r="E520" t="s">
        <v>122</v>
      </c>
      <c r="F520">
        <v>4000</v>
      </c>
      <c r="G520" t="s">
        <v>25</v>
      </c>
      <c r="H520" t="s">
        <v>1458</v>
      </c>
      <c r="I520" t="s">
        <v>71</v>
      </c>
      <c r="J520">
        <v>61100</v>
      </c>
      <c r="K520" t="s">
        <v>3</v>
      </c>
      <c r="L520" t="s">
        <v>1459</v>
      </c>
      <c r="M520" t="s">
        <v>3</v>
      </c>
      <c r="N520" t="s">
        <v>74</v>
      </c>
      <c r="O520" s="25" t="s">
        <v>3827</v>
      </c>
      <c r="P520" s="25">
        <v>1</v>
      </c>
      <c r="Q520" s="25">
        <v>61100</v>
      </c>
      <c r="R520" s="25" t="s">
        <v>26</v>
      </c>
      <c r="S520" s="25" t="s">
        <v>26</v>
      </c>
      <c r="T520" s="25">
        <f t="shared" si="8"/>
        <v>61100</v>
      </c>
    </row>
    <row r="521" spans="1:20">
      <c r="A521" t="s">
        <v>1460</v>
      </c>
      <c r="B521">
        <v>45872</v>
      </c>
      <c r="C521" t="s">
        <v>126</v>
      </c>
      <c r="D521" t="s">
        <v>88</v>
      </c>
      <c r="E521" t="s">
        <v>127</v>
      </c>
      <c r="F521">
        <v>4020</v>
      </c>
      <c r="G521" t="s">
        <v>30</v>
      </c>
      <c r="H521" t="s">
        <v>1461</v>
      </c>
      <c r="I521" t="s">
        <v>72</v>
      </c>
      <c r="J521">
        <v>33.08</v>
      </c>
      <c r="K521" t="s">
        <v>129</v>
      </c>
      <c r="L521" t="s">
        <v>1462</v>
      </c>
      <c r="M521" t="s">
        <v>3</v>
      </c>
      <c r="N521" t="s">
        <v>74</v>
      </c>
      <c r="O521" s="25" t="s">
        <v>3828</v>
      </c>
      <c r="P521" s="25">
        <v>1572</v>
      </c>
      <c r="Q521" s="25">
        <v>52001.759999999995</v>
      </c>
      <c r="R521" s="25" t="s">
        <v>26</v>
      </c>
      <c r="S521" s="25" t="s">
        <v>26</v>
      </c>
      <c r="T521" s="25">
        <f t="shared" si="8"/>
        <v>52001.759999999995</v>
      </c>
    </row>
    <row r="522" spans="1:20">
      <c r="A522" t="s">
        <v>1463</v>
      </c>
      <c r="B522">
        <v>45872</v>
      </c>
      <c r="C522" t="s">
        <v>126</v>
      </c>
      <c r="D522" t="s">
        <v>88</v>
      </c>
      <c r="E522" t="s">
        <v>132</v>
      </c>
      <c r="F522">
        <v>4020</v>
      </c>
      <c r="G522" t="s">
        <v>30</v>
      </c>
      <c r="H522" t="s">
        <v>1464</v>
      </c>
      <c r="I522" t="s">
        <v>71</v>
      </c>
      <c r="J522">
        <v>52700</v>
      </c>
      <c r="K522" t="s">
        <v>134</v>
      </c>
      <c r="L522" t="s">
        <v>1462</v>
      </c>
      <c r="M522" t="s">
        <v>3</v>
      </c>
      <c r="N522" t="s">
        <v>74</v>
      </c>
      <c r="O522" s="25" t="s">
        <v>3827</v>
      </c>
      <c r="P522" s="25">
        <v>1</v>
      </c>
      <c r="Q522" s="25">
        <v>52700</v>
      </c>
      <c r="R522" s="25" t="s">
        <v>26</v>
      </c>
      <c r="S522" s="25" t="s">
        <v>26</v>
      </c>
      <c r="T522" s="25">
        <f t="shared" si="8"/>
        <v>52700</v>
      </c>
    </row>
    <row r="523" spans="1:20">
      <c r="A523" t="s">
        <v>1465</v>
      </c>
      <c r="B523">
        <v>45872</v>
      </c>
      <c r="C523" t="s">
        <v>126</v>
      </c>
      <c r="D523" t="s">
        <v>88</v>
      </c>
      <c r="E523" t="s">
        <v>136</v>
      </c>
      <c r="F523">
        <v>4020</v>
      </c>
      <c r="G523" t="s">
        <v>30</v>
      </c>
      <c r="H523" t="s">
        <v>1466</v>
      </c>
      <c r="I523" t="s">
        <v>72</v>
      </c>
      <c r="J523">
        <v>28.31</v>
      </c>
      <c r="K523" t="s">
        <v>138</v>
      </c>
      <c r="L523" t="s">
        <v>1462</v>
      </c>
      <c r="M523" t="s">
        <v>3</v>
      </c>
      <c r="N523" t="s">
        <v>74</v>
      </c>
      <c r="O523" s="25" t="s">
        <v>3828</v>
      </c>
      <c r="P523" s="25">
        <v>1572</v>
      </c>
      <c r="Q523" s="25">
        <v>44503.32</v>
      </c>
      <c r="R523" s="25" t="s">
        <v>26</v>
      </c>
      <c r="S523" s="25" t="s">
        <v>26</v>
      </c>
      <c r="T523" s="25">
        <f t="shared" si="8"/>
        <v>44503.32</v>
      </c>
    </row>
    <row r="524" spans="1:20">
      <c r="A524" t="s">
        <v>1467</v>
      </c>
      <c r="B524">
        <v>45872</v>
      </c>
      <c r="C524" t="s">
        <v>126</v>
      </c>
      <c r="D524" t="s">
        <v>88</v>
      </c>
      <c r="E524" t="s">
        <v>140</v>
      </c>
      <c r="F524">
        <v>4020</v>
      </c>
      <c r="G524" t="s">
        <v>30</v>
      </c>
      <c r="H524" t="s">
        <v>1468</v>
      </c>
      <c r="I524" t="s">
        <v>71</v>
      </c>
      <c r="J524">
        <v>47100</v>
      </c>
      <c r="K524" t="s">
        <v>3</v>
      </c>
      <c r="L524" t="s">
        <v>1469</v>
      </c>
      <c r="M524" t="s">
        <v>3</v>
      </c>
      <c r="N524" t="s">
        <v>74</v>
      </c>
      <c r="O524" s="25" t="s">
        <v>3827</v>
      </c>
      <c r="P524" s="25">
        <v>1</v>
      </c>
      <c r="Q524" s="25">
        <v>47100</v>
      </c>
      <c r="R524" s="25" t="s">
        <v>26</v>
      </c>
      <c r="S524" s="25" t="s">
        <v>26</v>
      </c>
      <c r="T524" s="25">
        <f t="shared" si="8"/>
        <v>47100</v>
      </c>
    </row>
    <row r="525" spans="1:20">
      <c r="A525" t="s">
        <v>1470</v>
      </c>
      <c r="B525">
        <v>45872</v>
      </c>
      <c r="C525" t="s">
        <v>87</v>
      </c>
      <c r="D525" t="s">
        <v>88</v>
      </c>
      <c r="E525" t="s">
        <v>3</v>
      </c>
      <c r="F525">
        <v>5030</v>
      </c>
      <c r="G525" t="s">
        <v>41</v>
      </c>
      <c r="H525" t="s">
        <v>1471</v>
      </c>
      <c r="I525" t="s">
        <v>71</v>
      </c>
      <c r="J525">
        <v>-192000</v>
      </c>
      <c r="K525" t="s">
        <v>280</v>
      </c>
      <c r="L525" t="s">
        <v>1472</v>
      </c>
      <c r="M525" t="s">
        <v>3</v>
      </c>
      <c r="N525" t="s">
        <v>74</v>
      </c>
      <c r="O525" s="25" t="s">
        <v>3827</v>
      </c>
      <c r="P525" s="25">
        <v>1</v>
      </c>
      <c r="Q525" s="25">
        <v>-192000</v>
      </c>
      <c r="R525" s="25" t="s">
        <v>35</v>
      </c>
      <c r="S525" s="25" t="s">
        <v>35</v>
      </c>
      <c r="T525" s="25">
        <f t="shared" si="8"/>
        <v>-192000</v>
      </c>
    </row>
    <row r="526" spans="1:20">
      <c r="A526" t="s">
        <v>1473</v>
      </c>
      <c r="B526">
        <v>45873</v>
      </c>
      <c r="C526" t="s">
        <v>93</v>
      </c>
      <c r="D526" t="s">
        <v>94</v>
      </c>
      <c r="E526" t="s">
        <v>95</v>
      </c>
      <c r="F526">
        <v>4000</v>
      </c>
      <c r="G526" t="s">
        <v>25</v>
      </c>
      <c r="H526" t="s">
        <v>1474</v>
      </c>
      <c r="I526" t="s">
        <v>71</v>
      </c>
      <c r="J526">
        <v>29700</v>
      </c>
      <c r="K526" t="s">
        <v>3</v>
      </c>
      <c r="L526" t="s">
        <v>1475</v>
      </c>
      <c r="M526" t="s">
        <v>3</v>
      </c>
      <c r="N526" t="s">
        <v>74</v>
      </c>
      <c r="O526" s="25" t="s">
        <v>3827</v>
      </c>
      <c r="P526" s="25">
        <v>1</v>
      </c>
      <c r="Q526" s="25">
        <v>29700</v>
      </c>
      <c r="R526" s="25" t="s">
        <v>26</v>
      </c>
      <c r="S526" s="25" t="s">
        <v>26</v>
      </c>
      <c r="T526" s="25">
        <f t="shared" si="8"/>
        <v>29700</v>
      </c>
    </row>
    <row r="527" spans="1:20">
      <c r="A527" t="s">
        <v>1476</v>
      </c>
      <c r="B527">
        <v>45873</v>
      </c>
      <c r="C527" t="s">
        <v>93</v>
      </c>
      <c r="D527" t="s">
        <v>94</v>
      </c>
      <c r="E527" t="s">
        <v>99</v>
      </c>
      <c r="F527">
        <v>4000</v>
      </c>
      <c r="G527" t="s">
        <v>25</v>
      </c>
      <c r="H527" t="s">
        <v>1477</v>
      </c>
      <c r="I527" t="s">
        <v>71</v>
      </c>
      <c r="J527">
        <v>32100</v>
      </c>
      <c r="K527" t="s">
        <v>3</v>
      </c>
      <c r="L527" t="s">
        <v>1478</v>
      </c>
      <c r="M527" t="s">
        <v>3</v>
      </c>
      <c r="N527" t="s">
        <v>74</v>
      </c>
      <c r="O527" s="25" t="s">
        <v>3827</v>
      </c>
      <c r="P527" s="25">
        <v>1</v>
      </c>
      <c r="Q527" s="25">
        <v>32100</v>
      </c>
      <c r="R527" s="25" t="s">
        <v>26</v>
      </c>
      <c r="S527" s="25" t="s">
        <v>26</v>
      </c>
      <c r="T527" s="25">
        <f t="shared" si="8"/>
        <v>32100</v>
      </c>
    </row>
    <row r="528" spans="1:20">
      <c r="A528" t="s">
        <v>1479</v>
      </c>
      <c r="B528">
        <v>45873</v>
      </c>
      <c r="C528" t="s">
        <v>93</v>
      </c>
      <c r="D528" t="s">
        <v>94</v>
      </c>
      <c r="E528" t="s">
        <v>103</v>
      </c>
      <c r="F528">
        <v>4000</v>
      </c>
      <c r="G528" t="s">
        <v>25</v>
      </c>
      <c r="H528" t="s">
        <v>1480</v>
      </c>
      <c r="I528" t="s">
        <v>71</v>
      </c>
      <c r="J528">
        <v>27700</v>
      </c>
      <c r="K528" t="s">
        <v>3</v>
      </c>
      <c r="L528" t="s">
        <v>1481</v>
      </c>
      <c r="M528" t="s">
        <v>3</v>
      </c>
      <c r="N528" t="s">
        <v>74</v>
      </c>
      <c r="O528" s="25" t="s">
        <v>3827</v>
      </c>
      <c r="P528" s="25">
        <v>1</v>
      </c>
      <c r="Q528" s="25">
        <v>27700</v>
      </c>
      <c r="R528" s="25" t="s">
        <v>26</v>
      </c>
      <c r="S528" s="25" t="s">
        <v>26</v>
      </c>
      <c r="T528" s="25">
        <f t="shared" si="8"/>
        <v>27700</v>
      </c>
    </row>
    <row r="529" spans="1:20">
      <c r="A529" t="s">
        <v>1482</v>
      </c>
      <c r="B529">
        <v>45873</v>
      </c>
      <c r="C529" t="s">
        <v>93</v>
      </c>
      <c r="D529" t="s">
        <v>94</v>
      </c>
      <c r="E529" t="s">
        <v>160</v>
      </c>
      <c r="F529">
        <v>4000</v>
      </c>
      <c r="G529" t="s">
        <v>25</v>
      </c>
      <c r="H529" t="s">
        <v>1483</v>
      </c>
      <c r="I529" t="s">
        <v>71</v>
      </c>
      <c r="J529">
        <v>31900</v>
      </c>
      <c r="K529" t="s">
        <v>3</v>
      </c>
      <c r="L529" t="s">
        <v>1481</v>
      </c>
      <c r="M529" t="s">
        <v>3</v>
      </c>
      <c r="N529" t="s">
        <v>74</v>
      </c>
      <c r="O529" s="25" t="s">
        <v>3827</v>
      </c>
      <c r="P529" s="25">
        <v>1</v>
      </c>
      <c r="Q529" s="25">
        <v>31900</v>
      </c>
      <c r="R529" s="25" t="s">
        <v>26</v>
      </c>
      <c r="S529" s="25" t="s">
        <v>26</v>
      </c>
      <c r="T529" s="25">
        <f t="shared" si="8"/>
        <v>31900</v>
      </c>
    </row>
    <row r="530" spans="1:20">
      <c r="A530" t="s">
        <v>1484</v>
      </c>
      <c r="B530">
        <v>45873</v>
      </c>
      <c r="C530" t="s">
        <v>93</v>
      </c>
      <c r="D530" t="s">
        <v>94</v>
      </c>
      <c r="E530" t="s">
        <v>107</v>
      </c>
      <c r="F530">
        <v>4000</v>
      </c>
      <c r="G530" t="s">
        <v>25</v>
      </c>
      <c r="H530" t="s">
        <v>1485</v>
      </c>
      <c r="I530" t="s">
        <v>71</v>
      </c>
      <c r="J530">
        <v>31700</v>
      </c>
      <c r="K530" t="s">
        <v>3</v>
      </c>
      <c r="L530" t="s">
        <v>1486</v>
      </c>
      <c r="M530" t="s">
        <v>3</v>
      </c>
      <c r="N530" t="s">
        <v>74</v>
      </c>
      <c r="O530" s="25" t="s">
        <v>3827</v>
      </c>
      <c r="P530" s="25">
        <v>1</v>
      </c>
      <c r="Q530" s="25">
        <v>31700</v>
      </c>
      <c r="R530" s="25" t="s">
        <v>26</v>
      </c>
      <c r="S530" s="25" t="s">
        <v>26</v>
      </c>
      <c r="T530" s="25">
        <f t="shared" si="8"/>
        <v>31700</v>
      </c>
    </row>
    <row r="531" spans="1:20">
      <c r="A531" t="s">
        <v>1487</v>
      </c>
      <c r="B531">
        <v>45873</v>
      </c>
      <c r="C531" t="s">
        <v>93</v>
      </c>
      <c r="D531" t="s">
        <v>111</v>
      </c>
      <c r="E531" t="s">
        <v>112</v>
      </c>
      <c r="F531">
        <v>4000</v>
      </c>
      <c r="G531" t="s">
        <v>25</v>
      </c>
      <c r="H531" t="s">
        <v>1488</v>
      </c>
      <c r="I531" t="s">
        <v>71</v>
      </c>
      <c r="J531">
        <v>52700</v>
      </c>
      <c r="K531" t="s">
        <v>3</v>
      </c>
      <c r="L531" t="s">
        <v>1489</v>
      </c>
      <c r="M531" t="s">
        <v>3</v>
      </c>
      <c r="N531" t="s">
        <v>74</v>
      </c>
      <c r="O531" s="25" t="s">
        <v>3827</v>
      </c>
      <c r="P531" s="25">
        <v>1</v>
      </c>
      <c r="Q531" s="25">
        <v>52700</v>
      </c>
      <c r="R531" s="25" t="s">
        <v>26</v>
      </c>
      <c r="S531" s="25" t="s">
        <v>26</v>
      </c>
      <c r="T531" s="25">
        <f t="shared" si="8"/>
        <v>52700</v>
      </c>
    </row>
    <row r="532" spans="1:20">
      <c r="A532" t="s">
        <v>1490</v>
      </c>
      <c r="B532">
        <v>45873</v>
      </c>
      <c r="C532" t="s">
        <v>93</v>
      </c>
      <c r="D532" t="s">
        <v>111</v>
      </c>
      <c r="E532" t="s">
        <v>116</v>
      </c>
      <c r="F532">
        <v>4000</v>
      </c>
      <c r="G532" t="s">
        <v>25</v>
      </c>
      <c r="H532" t="s">
        <v>1491</v>
      </c>
      <c r="I532" t="s">
        <v>71</v>
      </c>
      <c r="J532">
        <v>49900</v>
      </c>
      <c r="K532" t="s">
        <v>3</v>
      </c>
      <c r="L532" t="s">
        <v>1489</v>
      </c>
      <c r="M532" t="s">
        <v>3</v>
      </c>
      <c r="N532" t="s">
        <v>74</v>
      </c>
      <c r="O532" s="25" t="s">
        <v>3827</v>
      </c>
      <c r="P532" s="25">
        <v>1</v>
      </c>
      <c r="Q532" s="25">
        <v>49900</v>
      </c>
      <c r="R532" s="25" t="s">
        <v>26</v>
      </c>
      <c r="S532" s="25" t="s">
        <v>26</v>
      </c>
      <c r="T532" s="25">
        <f t="shared" si="8"/>
        <v>49900</v>
      </c>
    </row>
    <row r="533" spans="1:20">
      <c r="A533" t="s">
        <v>1492</v>
      </c>
      <c r="B533">
        <v>45873</v>
      </c>
      <c r="C533" t="s">
        <v>93</v>
      </c>
      <c r="D533" t="s">
        <v>111</v>
      </c>
      <c r="E533" t="s">
        <v>119</v>
      </c>
      <c r="F533">
        <v>4000</v>
      </c>
      <c r="G533" t="s">
        <v>25</v>
      </c>
      <c r="H533" t="s">
        <v>1493</v>
      </c>
      <c r="I533" t="s">
        <v>71</v>
      </c>
      <c r="J533">
        <v>48700</v>
      </c>
      <c r="K533" t="s">
        <v>3</v>
      </c>
      <c r="L533" t="s">
        <v>1489</v>
      </c>
      <c r="M533" t="s">
        <v>3</v>
      </c>
      <c r="N533" t="s">
        <v>74</v>
      </c>
      <c r="O533" s="25" t="s">
        <v>3827</v>
      </c>
      <c r="P533" s="25">
        <v>1</v>
      </c>
      <c r="Q533" s="25">
        <v>48700</v>
      </c>
      <c r="R533" s="25" t="s">
        <v>26</v>
      </c>
      <c r="S533" s="25" t="s">
        <v>26</v>
      </c>
      <c r="T533" s="25">
        <f t="shared" si="8"/>
        <v>48700</v>
      </c>
    </row>
    <row r="534" spans="1:20">
      <c r="A534" t="s">
        <v>1494</v>
      </c>
      <c r="B534">
        <v>45873</v>
      </c>
      <c r="C534" t="s">
        <v>93</v>
      </c>
      <c r="D534" t="s">
        <v>111</v>
      </c>
      <c r="E534" t="s">
        <v>170</v>
      </c>
      <c r="F534">
        <v>4000</v>
      </c>
      <c r="G534" t="s">
        <v>25</v>
      </c>
      <c r="H534" t="s">
        <v>1495</v>
      </c>
      <c r="I534" t="s">
        <v>71</v>
      </c>
      <c r="J534">
        <v>51700</v>
      </c>
      <c r="K534" t="s">
        <v>3</v>
      </c>
      <c r="L534" t="s">
        <v>1489</v>
      </c>
      <c r="M534" t="s">
        <v>3</v>
      </c>
      <c r="N534" t="s">
        <v>74</v>
      </c>
      <c r="O534" s="25" t="s">
        <v>3827</v>
      </c>
      <c r="P534" s="25">
        <v>1</v>
      </c>
      <c r="Q534" s="25">
        <v>51700</v>
      </c>
      <c r="R534" s="25" t="s">
        <v>26</v>
      </c>
      <c r="S534" s="25" t="s">
        <v>26</v>
      </c>
      <c r="T534" s="25">
        <f t="shared" si="8"/>
        <v>51700</v>
      </c>
    </row>
    <row r="535" spans="1:20">
      <c r="A535" t="s">
        <v>1496</v>
      </c>
      <c r="B535">
        <v>45873</v>
      </c>
      <c r="C535" t="s">
        <v>93</v>
      </c>
      <c r="D535" t="s">
        <v>111</v>
      </c>
      <c r="E535" t="s">
        <v>122</v>
      </c>
      <c r="F535">
        <v>4000</v>
      </c>
      <c r="G535" t="s">
        <v>25</v>
      </c>
      <c r="H535" t="s">
        <v>1497</v>
      </c>
      <c r="I535" t="s">
        <v>71</v>
      </c>
      <c r="J535">
        <v>50400</v>
      </c>
      <c r="K535" t="s">
        <v>3</v>
      </c>
      <c r="L535" t="s">
        <v>1498</v>
      </c>
      <c r="M535" t="s">
        <v>3</v>
      </c>
      <c r="N535" t="s">
        <v>74</v>
      </c>
      <c r="O535" s="25" t="s">
        <v>3827</v>
      </c>
      <c r="P535" s="25">
        <v>1</v>
      </c>
      <c r="Q535" s="25">
        <v>50400</v>
      </c>
      <c r="R535" s="25" t="s">
        <v>26</v>
      </c>
      <c r="S535" s="25" t="s">
        <v>26</v>
      </c>
      <c r="T535" s="25">
        <f t="shared" si="8"/>
        <v>50400</v>
      </c>
    </row>
    <row r="536" spans="1:20">
      <c r="A536" t="s">
        <v>1499</v>
      </c>
      <c r="B536">
        <v>45873</v>
      </c>
      <c r="C536" t="s">
        <v>126</v>
      </c>
      <c r="D536" t="s">
        <v>88</v>
      </c>
      <c r="E536" t="s">
        <v>127</v>
      </c>
      <c r="F536">
        <v>4020</v>
      </c>
      <c r="G536" t="s">
        <v>30</v>
      </c>
      <c r="H536" t="s">
        <v>1500</v>
      </c>
      <c r="I536" t="s">
        <v>72</v>
      </c>
      <c r="J536">
        <v>29.9</v>
      </c>
      <c r="K536" t="s">
        <v>129</v>
      </c>
      <c r="L536" t="s">
        <v>1501</v>
      </c>
      <c r="M536" t="s">
        <v>3</v>
      </c>
      <c r="N536" t="s">
        <v>74</v>
      </c>
      <c r="O536" s="25" t="s">
        <v>3828</v>
      </c>
      <c r="P536" s="25">
        <v>1572</v>
      </c>
      <c r="Q536" s="25">
        <v>47002.799999999996</v>
      </c>
      <c r="R536" s="25" t="s">
        <v>26</v>
      </c>
      <c r="S536" s="25" t="s">
        <v>26</v>
      </c>
      <c r="T536" s="25">
        <f t="shared" si="8"/>
        <v>47002.799999999996</v>
      </c>
    </row>
    <row r="537" spans="1:20">
      <c r="A537" t="s">
        <v>1502</v>
      </c>
      <c r="B537">
        <v>45873</v>
      </c>
      <c r="C537" t="s">
        <v>126</v>
      </c>
      <c r="D537" t="s">
        <v>88</v>
      </c>
      <c r="E537" t="s">
        <v>132</v>
      </c>
      <c r="F537">
        <v>4020</v>
      </c>
      <c r="G537" t="s">
        <v>30</v>
      </c>
      <c r="H537" t="s">
        <v>1503</v>
      </c>
      <c r="I537" t="s">
        <v>71</v>
      </c>
      <c r="J537">
        <v>53400</v>
      </c>
      <c r="K537" t="s">
        <v>134</v>
      </c>
      <c r="L537" t="s">
        <v>1501</v>
      </c>
      <c r="M537" t="s">
        <v>3</v>
      </c>
      <c r="N537" t="s">
        <v>74</v>
      </c>
      <c r="O537" s="25" t="s">
        <v>3827</v>
      </c>
      <c r="P537" s="25">
        <v>1</v>
      </c>
      <c r="Q537" s="25">
        <v>53400</v>
      </c>
      <c r="R537" s="25" t="s">
        <v>26</v>
      </c>
      <c r="S537" s="25" t="s">
        <v>26</v>
      </c>
      <c r="T537" s="25">
        <f t="shared" si="8"/>
        <v>53400</v>
      </c>
    </row>
    <row r="538" spans="1:20">
      <c r="A538" t="s">
        <v>1504</v>
      </c>
      <c r="B538">
        <v>45873</v>
      </c>
      <c r="C538" t="s">
        <v>126</v>
      </c>
      <c r="D538" t="s">
        <v>88</v>
      </c>
      <c r="E538" t="s">
        <v>136</v>
      </c>
      <c r="F538">
        <v>4020</v>
      </c>
      <c r="G538" t="s">
        <v>30</v>
      </c>
      <c r="H538" t="s">
        <v>1505</v>
      </c>
      <c r="I538" t="s">
        <v>71</v>
      </c>
      <c r="J538">
        <v>54900</v>
      </c>
      <c r="K538" t="s">
        <v>138</v>
      </c>
      <c r="L538" t="s">
        <v>1501</v>
      </c>
      <c r="M538" t="s">
        <v>3</v>
      </c>
      <c r="N538" t="s">
        <v>74</v>
      </c>
      <c r="O538" s="25" t="s">
        <v>3827</v>
      </c>
      <c r="P538" s="25">
        <v>1</v>
      </c>
      <c r="Q538" s="25">
        <v>54900</v>
      </c>
      <c r="R538" s="25" t="s">
        <v>26</v>
      </c>
      <c r="S538" s="25" t="s">
        <v>26</v>
      </c>
      <c r="T538" s="25">
        <f t="shared" si="8"/>
        <v>54900</v>
      </c>
    </row>
    <row r="539" spans="1:20">
      <c r="A539" t="s">
        <v>1506</v>
      </c>
      <c r="B539">
        <v>45873</v>
      </c>
      <c r="C539" t="s">
        <v>126</v>
      </c>
      <c r="D539" t="s">
        <v>88</v>
      </c>
      <c r="E539" t="s">
        <v>140</v>
      </c>
      <c r="F539">
        <v>4020</v>
      </c>
      <c r="G539" t="s">
        <v>30</v>
      </c>
      <c r="H539" t="s">
        <v>1507</v>
      </c>
      <c r="I539" t="s">
        <v>71</v>
      </c>
      <c r="J539">
        <v>49700</v>
      </c>
      <c r="K539" t="s">
        <v>3</v>
      </c>
      <c r="L539" t="s">
        <v>1508</v>
      </c>
      <c r="M539" t="s">
        <v>3</v>
      </c>
      <c r="N539" t="s">
        <v>74</v>
      </c>
      <c r="O539" s="25" t="s">
        <v>3827</v>
      </c>
      <c r="P539" s="25">
        <v>1</v>
      </c>
      <c r="Q539" s="25">
        <v>49700</v>
      </c>
      <c r="R539" s="25" t="s">
        <v>26</v>
      </c>
      <c r="S539" s="25" t="s">
        <v>26</v>
      </c>
      <c r="T539" s="25">
        <f t="shared" si="8"/>
        <v>49700</v>
      </c>
    </row>
    <row r="540" spans="1:20">
      <c r="A540" t="s">
        <v>1509</v>
      </c>
      <c r="B540">
        <v>45874</v>
      </c>
      <c r="C540" t="s">
        <v>93</v>
      </c>
      <c r="D540" t="s">
        <v>94</v>
      </c>
      <c r="E540" t="s">
        <v>95</v>
      </c>
      <c r="F540">
        <v>4000</v>
      </c>
      <c r="G540" t="s">
        <v>25</v>
      </c>
      <c r="H540" t="s">
        <v>1510</v>
      </c>
      <c r="I540" t="s">
        <v>71</v>
      </c>
      <c r="J540">
        <v>30600</v>
      </c>
      <c r="K540" t="s">
        <v>3</v>
      </c>
      <c r="L540" t="s">
        <v>1511</v>
      </c>
      <c r="M540" t="s">
        <v>3</v>
      </c>
      <c r="N540" t="s">
        <v>74</v>
      </c>
      <c r="O540" s="25" t="s">
        <v>3827</v>
      </c>
      <c r="P540" s="25">
        <v>1</v>
      </c>
      <c r="Q540" s="25">
        <v>30600</v>
      </c>
      <c r="R540" s="25" t="s">
        <v>26</v>
      </c>
      <c r="S540" s="25" t="s">
        <v>26</v>
      </c>
      <c r="T540" s="25">
        <f t="shared" si="8"/>
        <v>30600</v>
      </c>
    </row>
    <row r="541" spans="1:20">
      <c r="A541" t="s">
        <v>1512</v>
      </c>
      <c r="B541">
        <v>45874</v>
      </c>
      <c r="C541" t="s">
        <v>93</v>
      </c>
      <c r="D541" t="s">
        <v>94</v>
      </c>
      <c r="E541" t="s">
        <v>99</v>
      </c>
      <c r="F541">
        <v>4000</v>
      </c>
      <c r="G541" t="s">
        <v>25</v>
      </c>
      <c r="H541" t="s">
        <v>1513</v>
      </c>
      <c r="I541" t="s">
        <v>71</v>
      </c>
      <c r="J541">
        <v>30500</v>
      </c>
      <c r="K541" t="s">
        <v>3</v>
      </c>
      <c r="L541" t="s">
        <v>1514</v>
      </c>
      <c r="M541" t="s">
        <v>3</v>
      </c>
      <c r="N541" t="s">
        <v>74</v>
      </c>
      <c r="O541" s="25" t="s">
        <v>3827</v>
      </c>
      <c r="P541" s="25">
        <v>1</v>
      </c>
      <c r="Q541" s="25">
        <v>30500</v>
      </c>
      <c r="R541" s="25" t="s">
        <v>26</v>
      </c>
      <c r="S541" s="25" t="s">
        <v>26</v>
      </c>
      <c r="T541" s="25">
        <f t="shared" si="8"/>
        <v>30500</v>
      </c>
    </row>
    <row r="542" spans="1:20">
      <c r="A542" t="s">
        <v>1515</v>
      </c>
      <c r="B542">
        <v>45874</v>
      </c>
      <c r="C542" t="s">
        <v>93</v>
      </c>
      <c r="D542" t="s">
        <v>94</v>
      </c>
      <c r="E542" t="s">
        <v>103</v>
      </c>
      <c r="F542">
        <v>4000</v>
      </c>
      <c r="G542" t="s">
        <v>25</v>
      </c>
      <c r="H542" t="s">
        <v>1516</v>
      </c>
      <c r="I542" t="s">
        <v>71</v>
      </c>
      <c r="J542">
        <v>32000</v>
      </c>
      <c r="K542" t="s">
        <v>3</v>
      </c>
      <c r="L542" t="s">
        <v>1517</v>
      </c>
      <c r="M542" t="s">
        <v>3</v>
      </c>
      <c r="N542" t="s">
        <v>74</v>
      </c>
      <c r="O542" s="25" t="s">
        <v>3827</v>
      </c>
      <c r="P542" s="25">
        <v>1</v>
      </c>
      <c r="Q542" s="25">
        <v>32000</v>
      </c>
      <c r="R542" s="25" t="s">
        <v>26</v>
      </c>
      <c r="S542" s="25" t="s">
        <v>26</v>
      </c>
      <c r="T542" s="25">
        <f t="shared" si="8"/>
        <v>32000</v>
      </c>
    </row>
    <row r="543" spans="1:20">
      <c r="A543" t="s">
        <v>1518</v>
      </c>
      <c r="B543">
        <v>45874</v>
      </c>
      <c r="C543" t="s">
        <v>93</v>
      </c>
      <c r="D543" t="s">
        <v>94</v>
      </c>
      <c r="E543" t="s">
        <v>160</v>
      </c>
      <c r="F543">
        <v>4000</v>
      </c>
      <c r="G543" t="s">
        <v>25</v>
      </c>
      <c r="H543" t="s">
        <v>1519</v>
      </c>
      <c r="I543" t="s">
        <v>71</v>
      </c>
      <c r="J543">
        <v>28300</v>
      </c>
      <c r="K543" t="s">
        <v>3</v>
      </c>
      <c r="L543" t="s">
        <v>1517</v>
      </c>
      <c r="M543" t="s">
        <v>3</v>
      </c>
      <c r="N543" t="s">
        <v>74</v>
      </c>
      <c r="O543" s="25" t="s">
        <v>3827</v>
      </c>
      <c r="P543" s="25">
        <v>1</v>
      </c>
      <c r="Q543" s="25">
        <v>28300</v>
      </c>
      <c r="R543" s="25" t="s">
        <v>26</v>
      </c>
      <c r="S543" s="25" t="s">
        <v>26</v>
      </c>
      <c r="T543" s="25">
        <f t="shared" si="8"/>
        <v>28300</v>
      </c>
    </row>
    <row r="544" spans="1:20">
      <c r="A544" t="s">
        <v>1520</v>
      </c>
      <c r="B544">
        <v>45874</v>
      </c>
      <c r="C544" t="s">
        <v>93</v>
      </c>
      <c r="D544" t="s">
        <v>111</v>
      </c>
      <c r="E544" t="s">
        <v>112</v>
      </c>
      <c r="F544">
        <v>4000</v>
      </c>
      <c r="G544" t="s">
        <v>25</v>
      </c>
      <c r="H544" t="s">
        <v>1521</v>
      </c>
      <c r="I544" t="s">
        <v>71</v>
      </c>
      <c r="J544">
        <v>49700</v>
      </c>
      <c r="K544" t="s">
        <v>3</v>
      </c>
      <c r="L544" t="s">
        <v>1522</v>
      </c>
      <c r="M544" t="s">
        <v>3</v>
      </c>
      <c r="N544" t="s">
        <v>74</v>
      </c>
      <c r="O544" s="25" t="s">
        <v>3827</v>
      </c>
      <c r="P544" s="25">
        <v>1</v>
      </c>
      <c r="Q544" s="25">
        <v>49700</v>
      </c>
      <c r="R544" s="25" t="s">
        <v>26</v>
      </c>
      <c r="S544" s="25" t="s">
        <v>26</v>
      </c>
      <c r="T544" s="25">
        <f t="shared" si="8"/>
        <v>49700</v>
      </c>
    </row>
    <row r="545" spans="1:20">
      <c r="A545" t="s">
        <v>1523</v>
      </c>
      <c r="B545">
        <v>45874</v>
      </c>
      <c r="C545" t="s">
        <v>93</v>
      </c>
      <c r="D545" t="s">
        <v>111</v>
      </c>
      <c r="E545" t="s">
        <v>116</v>
      </c>
      <c r="F545">
        <v>4000</v>
      </c>
      <c r="G545" t="s">
        <v>25</v>
      </c>
      <c r="H545" t="s">
        <v>1524</v>
      </c>
      <c r="I545" t="s">
        <v>71</v>
      </c>
      <c r="J545">
        <v>51400</v>
      </c>
      <c r="K545" t="s">
        <v>3</v>
      </c>
      <c r="L545" t="s">
        <v>1522</v>
      </c>
      <c r="M545" t="s">
        <v>3</v>
      </c>
      <c r="N545" t="s">
        <v>74</v>
      </c>
      <c r="O545" s="25" t="s">
        <v>3827</v>
      </c>
      <c r="P545" s="25">
        <v>1</v>
      </c>
      <c r="Q545" s="25">
        <v>51400</v>
      </c>
      <c r="R545" s="25" t="s">
        <v>26</v>
      </c>
      <c r="S545" s="25" t="s">
        <v>26</v>
      </c>
      <c r="T545" s="25">
        <f t="shared" si="8"/>
        <v>51400</v>
      </c>
    </row>
    <row r="546" spans="1:20">
      <c r="A546" t="s">
        <v>1525</v>
      </c>
      <c r="B546">
        <v>45874</v>
      </c>
      <c r="C546" t="s">
        <v>93</v>
      </c>
      <c r="D546" t="s">
        <v>111</v>
      </c>
      <c r="E546" t="s">
        <v>119</v>
      </c>
      <c r="F546">
        <v>4000</v>
      </c>
      <c r="G546" t="s">
        <v>25</v>
      </c>
      <c r="H546" t="s">
        <v>1526</v>
      </c>
      <c r="I546" t="s">
        <v>71</v>
      </c>
      <c r="J546">
        <v>52200</v>
      </c>
      <c r="K546" t="s">
        <v>3</v>
      </c>
      <c r="L546" t="s">
        <v>1522</v>
      </c>
      <c r="M546" t="s">
        <v>3</v>
      </c>
      <c r="N546" t="s">
        <v>74</v>
      </c>
      <c r="O546" s="25" t="s">
        <v>3827</v>
      </c>
      <c r="P546" s="25">
        <v>1</v>
      </c>
      <c r="Q546" s="25">
        <v>52200</v>
      </c>
      <c r="R546" s="25" t="s">
        <v>26</v>
      </c>
      <c r="S546" s="25" t="s">
        <v>26</v>
      </c>
      <c r="T546" s="25">
        <f t="shared" si="8"/>
        <v>52200</v>
      </c>
    </row>
    <row r="547" spans="1:20">
      <c r="A547" t="s">
        <v>1527</v>
      </c>
      <c r="B547">
        <v>45874</v>
      </c>
      <c r="C547" t="s">
        <v>93</v>
      </c>
      <c r="D547" t="s">
        <v>111</v>
      </c>
      <c r="E547" t="s">
        <v>170</v>
      </c>
      <c r="F547">
        <v>4000</v>
      </c>
      <c r="G547" t="s">
        <v>25</v>
      </c>
      <c r="H547" t="s">
        <v>1528</v>
      </c>
      <c r="I547" t="s">
        <v>71</v>
      </c>
      <c r="J547">
        <v>47900</v>
      </c>
      <c r="K547" t="s">
        <v>3</v>
      </c>
      <c r="L547" t="s">
        <v>1522</v>
      </c>
      <c r="M547" t="s">
        <v>3</v>
      </c>
      <c r="N547" t="s">
        <v>74</v>
      </c>
      <c r="O547" s="25" t="s">
        <v>3827</v>
      </c>
      <c r="P547" s="25">
        <v>1</v>
      </c>
      <c r="Q547" s="25">
        <v>47900</v>
      </c>
      <c r="R547" s="25" t="s">
        <v>26</v>
      </c>
      <c r="S547" s="25" t="s">
        <v>26</v>
      </c>
      <c r="T547" s="25">
        <f t="shared" si="8"/>
        <v>47900</v>
      </c>
    </row>
    <row r="548" spans="1:20">
      <c r="A548" t="s">
        <v>1529</v>
      </c>
      <c r="B548">
        <v>45874</v>
      </c>
      <c r="C548" t="s">
        <v>93</v>
      </c>
      <c r="D548" t="s">
        <v>111</v>
      </c>
      <c r="E548" t="s">
        <v>122</v>
      </c>
      <c r="F548">
        <v>4000</v>
      </c>
      <c r="G548" t="s">
        <v>25</v>
      </c>
      <c r="H548" t="s">
        <v>1530</v>
      </c>
      <c r="I548" t="s">
        <v>71</v>
      </c>
      <c r="J548">
        <v>52100</v>
      </c>
      <c r="K548" t="s">
        <v>3</v>
      </c>
      <c r="L548" t="s">
        <v>1531</v>
      </c>
      <c r="M548" t="s">
        <v>3</v>
      </c>
      <c r="N548" t="s">
        <v>74</v>
      </c>
      <c r="O548" s="25" t="s">
        <v>3827</v>
      </c>
      <c r="P548" s="25">
        <v>1</v>
      </c>
      <c r="Q548" s="25">
        <v>52100</v>
      </c>
      <c r="R548" s="25" t="s">
        <v>26</v>
      </c>
      <c r="S548" s="25" t="s">
        <v>26</v>
      </c>
      <c r="T548" s="25">
        <f t="shared" si="8"/>
        <v>52100</v>
      </c>
    </row>
    <row r="549" spans="1:20">
      <c r="A549" t="s">
        <v>1532</v>
      </c>
      <c r="B549">
        <v>45874</v>
      </c>
      <c r="C549" t="s">
        <v>126</v>
      </c>
      <c r="D549" t="s">
        <v>88</v>
      </c>
      <c r="E549" t="s">
        <v>127</v>
      </c>
      <c r="F549">
        <v>4020</v>
      </c>
      <c r="G549" t="s">
        <v>30</v>
      </c>
      <c r="H549" t="s">
        <v>1533</v>
      </c>
      <c r="I549" t="s">
        <v>71</v>
      </c>
      <c r="J549">
        <v>45000</v>
      </c>
      <c r="K549" t="s">
        <v>129</v>
      </c>
      <c r="L549" t="s">
        <v>1534</v>
      </c>
      <c r="M549" t="s">
        <v>3</v>
      </c>
      <c r="N549" t="s">
        <v>74</v>
      </c>
      <c r="O549" s="25" t="s">
        <v>3827</v>
      </c>
      <c r="P549" s="25">
        <v>1</v>
      </c>
      <c r="Q549" s="25">
        <v>45000</v>
      </c>
      <c r="R549" s="25" t="s">
        <v>26</v>
      </c>
      <c r="S549" s="25" t="s">
        <v>26</v>
      </c>
      <c r="T549" s="25">
        <f t="shared" si="8"/>
        <v>45000</v>
      </c>
    </row>
    <row r="550" spans="1:20">
      <c r="A550" t="s">
        <v>1535</v>
      </c>
      <c r="B550">
        <v>45874</v>
      </c>
      <c r="C550" t="s">
        <v>126</v>
      </c>
      <c r="D550" t="s">
        <v>88</v>
      </c>
      <c r="E550" t="s">
        <v>132</v>
      </c>
      <c r="F550">
        <v>4020</v>
      </c>
      <c r="G550" t="s">
        <v>30</v>
      </c>
      <c r="H550" t="s">
        <v>1536</v>
      </c>
      <c r="I550" t="s">
        <v>71</v>
      </c>
      <c r="J550">
        <v>54100</v>
      </c>
      <c r="K550" t="s">
        <v>134</v>
      </c>
      <c r="L550" t="s">
        <v>1534</v>
      </c>
      <c r="M550" t="s">
        <v>3</v>
      </c>
      <c r="N550" t="s">
        <v>74</v>
      </c>
      <c r="O550" s="25" t="s">
        <v>3827</v>
      </c>
      <c r="P550" s="25">
        <v>1</v>
      </c>
      <c r="Q550" s="25">
        <v>54100</v>
      </c>
      <c r="R550" s="25" t="s">
        <v>26</v>
      </c>
      <c r="S550" s="25" t="s">
        <v>26</v>
      </c>
      <c r="T550" s="25">
        <f t="shared" si="8"/>
        <v>54100</v>
      </c>
    </row>
    <row r="551" spans="1:20">
      <c r="A551" t="s">
        <v>1537</v>
      </c>
      <c r="B551">
        <v>45874</v>
      </c>
      <c r="C551" t="s">
        <v>126</v>
      </c>
      <c r="D551" t="s">
        <v>88</v>
      </c>
      <c r="E551" t="s">
        <v>136</v>
      </c>
      <c r="F551">
        <v>4020</v>
      </c>
      <c r="G551" t="s">
        <v>30</v>
      </c>
      <c r="H551" t="s">
        <v>1538</v>
      </c>
      <c r="I551" t="s">
        <v>72</v>
      </c>
      <c r="J551">
        <v>28.12</v>
      </c>
      <c r="K551" t="s">
        <v>138</v>
      </c>
      <c r="L551" t="s">
        <v>1534</v>
      </c>
      <c r="M551" t="s">
        <v>3</v>
      </c>
      <c r="N551" t="s">
        <v>74</v>
      </c>
      <c r="O551" s="25" t="s">
        <v>3828</v>
      </c>
      <c r="P551" s="25">
        <v>1572</v>
      </c>
      <c r="Q551" s="25">
        <v>44204.639999999999</v>
      </c>
      <c r="R551" s="25" t="s">
        <v>26</v>
      </c>
      <c r="S551" s="25" t="s">
        <v>26</v>
      </c>
      <c r="T551" s="25">
        <f t="shared" si="8"/>
        <v>44204.639999999999</v>
      </c>
    </row>
    <row r="552" spans="1:20">
      <c r="A552" t="s">
        <v>1539</v>
      </c>
      <c r="B552">
        <v>45874</v>
      </c>
      <c r="C552" t="s">
        <v>126</v>
      </c>
      <c r="D552" t="s">
        <v>88</v>
      </c>
      <c r="E552" t="s">
        <v>140</v>
      </c>
      <c r="F552">
        <v>4020</v>
      </c>
      <c r="G552" t="s">
        <v>30</v>
      </c>
      <c r="H552" t="s">
        <v>1540</v>
      </c>
      <c r="I552" t="s">
        <v>71</v>
      </c>
      <c r="J552">
        <v>43400</v>
      </c>
      <c r="K552" t="s">
        <v>3</v>
      </c>
      <c r="L552" t="s">
        <v>1541</v>
      </c>
      <c r="M552" t="s">
        <v>3</v>
      </c>
      <c r="N552" t="s">
        <v>74</v>
      </c>
      <c r="O552" s="25" t="s">
        <v>3827</v>
      </c>
      <c r="P552" s="25">
        <v>1</v>
      </c>
      <c r="Q552" s="25">
        <v>43400</v>
      </c>
      <c r="R552" s="25" t="s">
        <v>26</v>
      </c>
      <c r="S552" s="25" t="s">
        <v>26</v>
      </c>
      <c r="T552" s="25">
        <f t="shared" si="8"/>
        <v>43400</v>
      </c>
    </row>
    <row r="553" spans="1:20">
      <c r="A553" t="s">
        <v>1542</v>
      </c>
      <c r="B553">
        <v>45874</v>
      </c>
      <c r="C553" t="s">
        <v>93</v>
      </c>
      <c r="D553" t="s">
        <v>111</v>
      </c>
      <c r="E553" t="s">
        <v>112</v>
      </c>
      <c r="F553">
        <v>4900</v>
      </c>
      <c r="G553" t="s">
        <v>32</v>
      </c>
      <c r="H553" t="s">
        <v>1543</v>
      </c>
      <c r="I553" t="s">
        <v>71</v>
      </c>
      <c r="J553">
        <v>-118171</v>
      </c>
      <c r="K553" t="s">
        <v>3</v>
      </c>
      <c r="L553" t="s">
        <v>1544</v>
      </c>
      <c r="M553" t="s">
        <v>3</v>
      </c>
      <c r="N553" t="s">
        <v>74</v>
      </c>
      <c r="O553" s="25" t="s">
        <v>3827</v>
      </c>
      <c r="P553" s="25">
        <v>1</v>
      </c>
      <c r="Q553" s="25">
        <v>-118171</v>
      </c>
      <c r="R553" s="25" t="s">
        <v>26</v>
      </c>
      <c r="S553" s="25" t="s">
        <v>26</v>
      </c>
      <c r="T553" s="25">
        <f t="shared" si="8"/>
        <v>-118171</v>
      </c>
    </row>
    <row r="554" spans="1:20">
      <c r="A554" t="s">
        <v>1545</v>
      </c>
      <c r="B554">
        <v>45874</v>
      </c>
      <c r="C554" t="s">
        <v>93</v>
      </c>
      <c r="D554" t="s">
        <v>94</v>
      </c>
      <c r="E554" t="s">
        <v>95</v>
      </c>
      <c r="F554">
        <v>4900</v>
      </c>
      <c r="G554" t="s">
        <v>32</v>
      </c>
      <c r="H554" t="s">
        <v>1546</v>
      </c>
      <c r="I554" t="s">
        <v>71</v>
      </c>
      <c r="J554">
        <v>74787</v>
      </c>
      <c r="K554" t="s">
        <v>3</v>
      </c>
      <c r="L554" t="s">
        <v>1547</v>
      </c>
      <c r="M554" t="s">
        <v>237</v>
      </c>
      <c r="N554" t="s">
        <v>74</v>
      </c>
      <c r="O554" s="25" t="s">
        <v>3827</v>
      </c>
      <c r="P554" s="25">
        <v>1</v>
      </c>
      <c r="Q554" s="25">
        <v>74787</v>
      </c>
      <c r="R554" s="25" t="s">
        <v>26</v>
      </c>
      <c r="S554" s="25" t="s">
        <v>26</v>
      </c>
      <c r="T554" s="25">
        <f t="shared" si="8"/>
        <v>-74787</v>
      </c>
    </row>
    <row r="555" spans="1:20">
      <c r="A555" t="s">
        <v>1548</v>
      </c>
      <c r="B555">
        <v>45874</v>
      </c>
      <c r="C555" t="s">
        <v>87</v>
      </c>
      <c r="D555" t="s">
        <v>94</v>
      </c>
      <c r="E555" t="s">
        <v>3</v>
      </c>
      <c r="F555">
        <v>6010</v>
      </c>
      <c r="G555" t="s">
        <v>50</v>
      </c>
      <c r="H555" t="s">
        <v>1549</v>
      </c>
      <c r="I555" t="s">
        <v>71</v>
      </c>
      <c r="J555">
        <v>-720000</v>
      </c>
      <c r="K555" t="s">
        <v>320</v>
      </c>
      <c r="L555" t="s">
        <v>1550</v>
      </c>
      <c r="M555" t="s">
        <v>3</v>
      </c>
      <c r="N555" t="s">
        <v>74</v>
      </c>
      <c r="O555" s="25" t="s">
        <v>3827</v>
      </c>
      <c r="P555" s="25">
        <v>1</v>
      </c>
      <c r="Q555" s="25">
        <v>-720000</v>
      </c>
      <c r="R555" s="25" t="s">
        <v>48</v>
      </c>
      <c r="S555" s="25" t="s">
        <v>48</v>
      </c>
      <c r="T555" s="25">
        <f t="shared" si="8"/>
        <v>-720000</v>
      </c>
    </row>
    <row r="556" spans="1:20">
      <c r="A556" t="s">
        <v>1551</v>
      </c>
      <c r="B556">
        <v>45874</v>
      </c>
      <c r="C556" t="s">
        <v>87</v>
      </c>
      <c r="D556" t="s">
        <v>111</v>
      </c>
      <c r="E556" t="s">
        <v>3</v>
      </c>
      <c r="F556">
        <v>6010</v>
      </c>
      <c r="G556" t="s">
        <v>50</v>
      </c>
      <c r="H556" t="s">
        <v>1549</v>
      </c>
      <c r="I556" t="s">
        <v>71</v>
      </c>
      <c r="J556">
        <v>-1400000</v>
      </c>
      <c r="K556" t="s">
        <v>320</v>
      </c>
      <c r="L556" t="s">
        <v>1552</v>
      </c>
      <c r="M556" t="s">
        <v>3</v>
      </c>
      <c r="N556" t="s">
        <v>74</v>
      </c>
      <c r="O556" s="25" t="s">
        <v>3827</v>
      </c>
      <c r="P556" s="25">
        <v>1</v>
      </c>
      <c r="Q556" s="25">
        <v>-1400000</v>
      </c>
      <c r="R556" s="25" t="s">
        <v>48</v>
      </c>
      <c r="S556" s="25" t="s">
        <v>48</v>
      </c>
      <c r="T556" s="25">
        <f t="shared" si="8"/>
        <v>-1400000</v>
      </c>
    </row>
    <row r="557" spans="1:20">
      <c r="A557" t="s">
        <v>1553</v>
      </c>
      <c r="B557">
        <v>45874</v>
      </c>
      <c r="C557" t="s">
        <v>87</v>
      </c>
      <c r="D557" t="s">
        <v>88</v>
      </c>
      <c r="E557" t="s">
        <v>3</v>
      </c>
      <c r="F557">
        <v>6010</v>
      </c>
      <c r="G557" t="s">
        <v>50</v>
      </c>
      <c r="H557" t="s">
        <v>1549</v>
      </c>
      <c r="I557" t="s">
        <v>71</v>
      </c>
      <c r="J557">
        <v>-380000</v>
      </c>
      <c r="K557" t="s">
        <v>320</v>
      </c>
      <c r="L557" t="s">
        <v>1554</v>
      </c>
      <c r="M557" t="s">
        <v>3</v>
      </c>
      <c r="N557" t="s">
        <v>74</v>
      </c>
      <c r="O557" s="25" t="s">
        <v>3827</v>
      </c>
      <c r="P557" s="25">
        <v>1</v>
      </c>
      <c r="Q557" s="25">
        <v>-380000</v>
      </c>
      <c r="R557" s="25" t="s">
        <v>48</v>
      </c>
      <c r="S557" s="25" t="s">
        <v>48</v>
      </c>
      <c r="T557" s="25">
        <f t="shared" si="8"/>
        <v>-380000</v>
      </c>
    </row>
    <row r="558" spans="1:20">
      <c r="A558" t="s">
        <v>1555</v>
      </c>
      <c r="B558">
        <v>45875</v>
      </c>
      <c r="C558" t="s">
        <v>93</v>
      </c>
      <c r="D558" t="s">
        <v>94</v>
      </c>
      <c r="E558" t="s">
        <v>95</v>
      </c>
      <c r="F558">
        <v>4000</v>
      </c>
      <c r="G558" t="s">
        <v>25</v>
      </c>
      <c r="H558" t="s">
        <v>1556</v>
      </c>
      <c r="I558" t="s">
        <v>71</v>
      </c>
      <c r="J558">
        <v>32000</v>
      </c>
      <c r="K558" t="s">
        <v>3</v>
      </c>
      <c r="L558" t="s">
        <v>1557</v>
      </c>
      <c r="M558" t="s">
        <v>3</v>
      </c>
      <c r="N558" t="s">
        <v>74</v>
      </c>
      <c r="O558" s="25" t="s">
        <v>3827</v>
      </c>
      <c r="P558" s="25">
        <v>1</v>
      </c>
      <c r="Q558" s="25">
        <v>32000</v>
      </c>
      <c r="R558" s="25" t="s">
        <v>26</v>
      </c>
      <c r="S558" s="25" t="s">
        <v>26</v>
      </c>
      <c r="T558" s="25">
        <f t="shared" si="8"/>
        <v>32000</v>
      </c>
    </row>
    <row r="559" spans="1:20">
      <c r="A559" t="s">
        <v>1558</v>
      </c>
      <c r="B559">
        <v>45875</v>
      </c>
      <c r="C559" t="s">
        <v>93</v>
      </c>
      <c r="D559" t="s">
        <v>94</v>
      </c>
      <c r="E559" t="s">
        <v>99</v>
      </c>
      <c r="F559">
        <v>4000</v>
      </c>
      <c r="G559" t="s">
        <v>25</v>
      </c>
      <c r="H559" t="s">
        <v>1559</v>
      </c>
      <c r="I559" t="s">
        <v>71</v>
      </c>
      <c r="J559">
        <v>29300</v>
      </c>
      <c r="K559" t="s">
        <v>3</v>
      </c>
      <c r="L559" t="s">
        <v>1560</v>
      </c>
      <c r="M559" t="s">
        <v>3</v>
      </c>
      <c r="N559" t="s">
        <v>74</v>
      </c>
      <c r="O559" s="25" t="s">
        <v>3827</v>
      </c>
      <c r="P559" s="25">
        <v>1</v>
      </c>
      <c r="Q559" s="25">
        <v>29300</v>
      </c>
      <c r="R559" s="25" t="s">
        <v>26</v>
      </c>
      <c r="S559" s="25" t="s">
        <v>26</v>
      </c>
      <c r="T559" s="25">
        <f t="shared" si="8"/>
        <v>29300</v>
      </c>
    </row>
    <row r="560" spans="1:20">
      <c r="A560" t="s">
        <v>1561</v>
      </c>
      <c r="B560">
        <v>45875</v>
      </c>
      <c r="C560" t="s">
        <v>93</v>
      </c>
      <c r="D560" t="s">
        <v>94</v>
      </c>
      <c r="E560" t="s">
        <v>103</v>
      </c>
      <c r="F560">
        <v>4000</v>
      </c>
      <c r="G560" t="s">
        <v>25</v>
      </c>
      <c r="H560" t="s">
        <v>1562</v>
      </c>
      <c r="I560" t="s">
        <v>71</v>
      </c>
      <c r="J560">
        <v>27500</v>
      </c>
      <c r="K560" t="s">
        <v>3</v>
      </c>
      <c r="L560" t="s">
        <v>1563</v>
      </c>
      <c r="M560" t="s">
        <v>3</v>
      </c>
      <c r="N560" t="s">
        <v>74</v>
      </c>
      <c r="O560" s="25" t="s">
        <v>3827</v>
      </c>
      <c r="P560" s="25">
        <v>1</v>
      </c>
      <c r="Q560" s="25">
        <v>27500</v>
      </c>
      <c r="R560" s="25" t="s">
        <v>26</v>
      </c>
      <c r="S560" s="25" t="s">
        <v>26</v>
      </c>
      <c r="T560" s="25">
        <f t="shared" si="8"/>
        <v>27500</v>
      </c>
    </row>
    <row r="561" spans="1:20">
      <c r="A561" t="s">
        <v>1564</v>
      </c>
      <c r="B561">
        <v>45875</v>
      </c>
      <c r="C561" t="s">
        <v>93</v>
      </c>
      <c r="D561" t="s">
        <v>94</v>
      </c>
      <c r="E561" t="s">
        <v>160</v>
      </c>
      <c r="F561">
        <v>4000</v>
      </c>
      <c r="G561" t="s">
        <v>25</v>
      </c>
      <c r="H561" t="s">
        <v>1565</v>
      </c>
      <c r="I561" t="s">
        <v>71</v>
      </c>
      <c r="J561">
        <v>32000</v>
      </c>
      <c r="K561" t="s">
        <v>3</v>
      </c>
      <c r="L561" t="s">
        <v>1563</v>
      </c>
      <c r="M561" t="s">
        <v>3</v>
      </c>
      <c r="N561" t="s">
        <v>74</v>
      </c>
      <c r="O561" s="25" t="s">
        <v>3827</v>
      </c>
      <c r="P561" s="25">
        <v>1</v>
      </c>
      <c r="Q561" s="25">
        <v>32000</v>
      </c>
      <c r="R561" s="25" t="s">
        <v>26</v>
      </c>
      <c r="S561" s="25" t="s">
        <v>26</v>
      </c>
      <c r="T561" s="25">
        <f t="shared" si="8"/>
        <v>32000</v>
      </c>
    </row>
    <row r="562" spans="1:20">
      <c r="A562" t="s">
        <v>1566</v>
      </c>
      <c r="B562">
        <v>45875</v>
      </c>
      <c r="C562" t="s">
        <v>93</v>
      </c>
      <c r="D562" t="s">
        <v>94</v>
      </c>
      <c r="E562" t="s">
        <v>107</v>
      </c>
      <c r="F562">
        <v>4000</v>
      </c>
      <c r="G562" t="s">
        <v>25</v>
      </c>
      <c r="H562" t="s">
        <v>1567</v>
      </c>
      <c r="I562" t="s">
        <v>71</v>
      </c>
      <c r="J562">
        <v>32400</v>
      </c>
      <c r="K562" t="s">
        <v>3</v>
      </c>
      <c r="L562" t="s">
        <v>1568</v>
      </c>
      <c r="M562" t="s">
        <v>3</v>
      </c>
      <c r="N562" t="s">
        <v>74</v>
      </c>
      <c r="O562" s="25" t="s">
        <v>3827</v>
      </c>
      <c r="P562" s="25">
        <v>1</v>
      </c>
      <c r="Q562" s="25">
        <v>32400</v>
      </c>
      <c r="R562" s="25" t="s">
        <v>26</v>
      </c>
      <c r="S562" s="25" t="s">
        <v>26</v>
      </c>
      <c r="T562" s="25">
        <f t="shared" si="8"/>
        <v>32400</v>
      </c>
    </row>
    <row r="563" spans="1:20">
      <c r="A563" t="s">
        <v>1569</v>
      </c>
      <c r="B563">
        <v>45875</v>
      </c>
      <c r="C563" t="s">
        <v>93</v>
      </c>
      <c r="D563" t="s">
        <v>111</v>
      </c>
      <c r="E563" t="s">
        <v>112</v>
      </c>
      <c r="F563">
        <v>4000</v>
      </c>
      <c r="G563" t="s">
        <v>25</v>
      </c>
      <c r="H563" t="s">
        <v>1570</v>
      </c>
      <c r="I563" t="s">
        <v>71</v>
      </c>
      <c r="J563">
        <v>51100</v>
      </c>
      <c r="K563" t="s">
        <v>3</v>
      </c>
      <c r="L563" t="s">
        <v>1571</v>
      </c>
      <c r="M563" t="s">
        <v>3</v>
      </c>
      <c r="N563" t="s">
        <v>74</v>
      </c>
      <c r="O563" s="25" t="s">
        <v>3827</v>
      </c>
      <c r="P563" s="25">
        <v>1</v>
      </c>
      <c r="Q563" s="25">
        <v>51100</v>
      </c>
      <c r="R563" s="25" t="s">
        <v>26</v>
      </c>
      <c r="S563" s="25" t="s">
        <v>26</v>
      </c>
      <c r="T563" s="25">
        <f t="shared" si="8"/>
        <v>51100</v>
      </c>
    </row>
    <row r="564" spans="1:20">
      <c r="A564" t="s">
        <v>1572</v>
      </c>
      <c r="B564">
        <v>45875</v>
      </c>
      <c r="C564" t="s">
        <v>93</v>
      </c>
      <c r="D564" t="s">
        <v>111</v>
      </c>
      <c r="E564" t="s">
        <v>116</v>
      </c>
      <c r="F564">
        <v>4000</v>
      </c>
      <c r="G564" t="s">
        <v>25</v>
      </c>
      <c r="H564" t="s">
        <v>1573</v>
      </c>
      <c r="I564" t="s">
        <v>71</v>
      </c>
      <c r="J564">
        <v>53000</v>
      </c>
      <c r="K564" t="s">
        <v>3</v>
      </c>
      <c r="L564" t="s">
        <v>1571</v>
      </c>
      <c r="M564" t="s">
        <v>3</v>
      </c>
      <c r="N564" t="s">
        <v>74</v>
      </c>
      <c r="O564" s="25" t="s">
        <v>3827</v>
      </c>
      <c r="P564" s="25">
        <v>1</v>
      </c>
      <c r="Q564" s="25">
        <v>53000</v>
      </c>
      <c r="R564" s="25" t="s">
        <v>26</v>
      </c>
      <c r="S564" s="25" t="s">
        <v>26</v>
      </c>
      <c r="T564" s="25">
        <f t="shared" si="8"/>
        <v>53000</v>
      </c>
    </row>
    <row r="565" spans="1:20">
      <c r="A565" t="s">
        <v>1574</v>
      </c>
      <c r="B565">
        <v>45875</v>
      </c>
      <c r="C565" t="s">
        <v>93</v>
      </c>
      <c r="D565" t="s">
        <v>111</v>
      </c>
      <c r="E565" t="s">
        <v>119</v>
      </c>
      <c r="F565">
        <v>4000</v>
      </c>
      <c r="G565" t="s">
        <v>25</v>
      </c>
      <c r="H565" t="s">
        <v>1575</v>
      </c>
      <c r="I565" t="s">
        <v>71</v>
      </c>
      <c r="J565">
        <v>50400</v>
      </c>
      <c r="K565" t="s">
        <v>3</v>
      </c>
      <c r="L565" t="s">
        <v>1571</v>
      </c>
      <c r="M565" t="s">
        <v>3</v>
      </c>
      <c r="N565" t="s">
        <v>74</v>
      </c>
      <c r="O565" s="25" t="s">
        <v>3827</v>
      </c>
      <c r="P565" s="25">
        <v>1</v>
      </c>
      <c r="Q565" s="25">
        <v>50400</v>
      </c>
      <c r="R565" s="25" t="s">
        <v>26</v>
      </c>
      <c r="S565" s="25" t="s">
        <v>26</v>
      </c>
      <c r="T565" s="25">
        <f t="shared" si="8"/>
        <v>50400</v>
      </c>
    </row>
    <row r="566" spans="1:20">
      <c r="A566" t="s">
        <v>1576</v>
      </c>
      <c r="B566">
        <v>45875</v>
      </c>
      <c r="C566" t="s">
        <v>93</v>
      </c>
      <c r="D566" t="s">
        <v>111</v>
      </c>
      <c r="E566" t="s">
        <v>122</v>
      </c>
      <c r="F566">
        <v>4000</v>
      </c>
      <c r="G566" t="s">
        <v>25</v>
      </c>
      <c r="H566" t="s">
        <v>1577</v>
      </c>
      <c r="I566" t="s">
        <v>71</v>
      </c>
      <c r="J566">
        <v>49300</v>
      </c>
      <c r="K566" t="s">
        <v>3</v>
      </c>
      <c r="L566" t="s">
        <v>1578</v>
      </c>
      <c r="M566" t="s">
        <v>3</v>
      </c>
      <c r="N566" t="s">
        <v>74</v>
      </c>
      <c r="O566" s="25" t="s">
        <v>3827</v>
      </c>
      <c r="P566" s="25">
        <v>1</v>
      </c>
      <c r="Q566" s="25">
        <v>49300</v>
      </c>
      <c r="R566" s="25" t="s">
        <v>26</v>
      </c>
      <c r="S566" s="25" t="s">
        <v>26</v>
      </c>
      <c r="T566" s="25">
        <f t="shared" si="8"/>
        <v>49300</v>
      </c>
    </row>
    <row r="567" spans="1:20">
      <c r="A567" t="s">
        <v>1579</v>
      </c>
      <c r="B567">
        <v>45875</v>
      </c>
      <c r="C567" t="s">
        <v>126</v>
      </c>
      <c r="D567" t="s">
        <v>88</v>
      </c>
      <c r="E567" t="s">
        <v>127</v>
      </c>
      <c r="F567">
        <v>4020</v>
      </c>
      <c r="G567" t="s">
        <v>30</v>
      </c>
      <c r="H567" t="s">
        <v>1580</v>
      </c>
      <c r="I567" t="s">
        <v>71</v>
      </c>
      <c r="J567">
        <v>43700</v>
      </c>
      <c r="K567" t="s">
        <v>129</v>
      </c>
      <c r="L567" t="s">
        <v>1581</v>
      </c>
      <c r="M567" t="s">
        <v>3</v>
      </c>
      <c r="N567" t="s">
        <v>74</v>
      </c>
      <c r="O567" s="25" t="s">
        <v>3827</v>
      </c>
      <c r="P567" s="25">
        <v>1</v>
      </c>
      <c r="Q567" s="25">
        <v>43700</v>
      </c>
      <c r="R567" s="25" t="s">
        <v>26</v>
      </c>
      <c r="S567" s="25" t="s">
        <v>26</v>
      </c>
      <c r="T567" s="25">
        <f t="shared" si="8"/>
        <v>43700</v>
      </c>
    </row>
    <row r="568" spans="1:20">
      <c r="A568" t="s">
        <v>1582</v>
      </c>
      <c r="B568">
        <v>45875</v>
      </c>
      <c r="C568" t="s">
        <v>126</v>
      </c>
      <c r="D568" t="s">
        <v>88</v>
      </c>
      <c r="E568" t="s">
        <v>132</v>
      </c>
      <c r="F568">
        <v>4020</v>
      </c>
      <c r="G568" t="s">
        <v>30</v>
      </c>
      <c r="H568" t="s">
        <v>1583</v>
      </c>
      <c r="I568" t="s">
        <v>71</v>
      </c>
      <c r="J568">
        <v>51300</v>
      </c>
      <c r="K568" t="s">
        <v>134</v>
      </c>
      <c r="L568" t="s">
        <v>1581</v>
      </c>
      <c r="M568" t="s">
        <v>3</v>
      </c>
      <c r="N568" t="s">
        <v>74</v>
      </c>
      <c r="O568" s="25" t="s">
        <v>3827</v>
      </c>
      <c r="P568" s="25">
        <v>1</v>
      </c>
      <c r="Q568" s="25">
        <v>51300</v>
      </c>
      <c r="R568" s="25" t="s">
        <v>26</v>
      </c>
      <c r="S568" s="25" t="s">
        <v>26</v>
      </c>
      <c r="T568" s="25">
        <f t="shared" si="8"/>
        <v>51300</v>
      </c>
    </row>
    <row r="569" spans="1:20">
      <c r="A569" t="s">
        <v>1584</v>
      </c>
      <c r="B569">
        <v>45875</v>
      </c>
      <c r="C569" t="s">
        <v>126</v>
      </c>
      <c r="D569" t="s">
        <v>88</v>
      </c>
      <c r="E569" t="s">
        <v>136</v>
      </c>
      <c r="F569">
        <v>4020</v>
      </c>
      <c r="G569" t="s">
        <v>30</v>
      </c>
      <c r="H569" t="s">
        <v>1585</v>
      </c>
      <c r="I569" t="s">
        <v>71</v>
      </c>
      <c r="J569">
        <v>53100</v>
      </c>
      <c r="K569" t="s">
        <v>138</v>
      </c>
      <c r="L569" t="s">
        <v>1581</v>
      </c>
      <c r="M569" t="s">
        <v>3</v>
      </c>
      <c r="N569" t="s">
        <v>74</v>
      </c>
      <c r="O569" s="25" t="s">
        <v>3827</v>
      </c>
      <c r="P569" s="25">
        <v>1</v>
      </c>
      <c r="Q569" s="25">
        <v>53100</v>
      </c>
      <c r="R569" s="25" t="s">
        <v>26</v>
      </c>
      <c r="S569" s="25" t="s">
        <v>26</v>
      </c>
      <c r="T569" s="25">
        <f t="shared" si="8"/>
        <v>53100</v>
      </c>
    </row>
    <row r="570" spans="1:20">
      <c r="A570" t="s">
        <v>1586</v>
      </c>
      <c r="B570">
        <v>45875</v>
      </c>
      <c r="C570" t="s">
        <v>126</v>
      </c>
      <c r="D570" t="s">
        <v>88</v>
      </c>
      <c r="E570" t="s">
        <v>140</v>
      </c>
      <c r="F570">
        <v>4020</v>
      </c>
      <c r="G570" t="s">
        <v>30</v>
      </c>
      <c r="H570" t="s">
        <v>1587</v>
      </c>
      <c r="I570" t="s">
        <v>71</v>
      </c>
      <c r="J570">
        <v>48200</v>
      </c>
      <c r="K570" t="s">
        <v>3</v>
      </c>
      <c r="L570" t="s">
        <v>1588</v>
      </c>
      <c r="M570" t="s">
        <v>3</v>
      </c>
      <c r="N570" t="s">
        <v>74</v>
      </c>
      <c r="O570" s="25" t="s">
        <v>3827</v>
      </c>
      <c r="P570" s="25">
        <v>1</v>
      </c>
      <c r="Q570" s="25">
        <v>48200</v>
      </c>
      <c r="R570" s="25" t="s">
        <v>26</v>
      </c>
      <c r="S570" s="25" t="s">
        <v>26</v>
      </c>
      <c r="T570" s="25">
        <f t="shared" si="8"/>
        <v>48200</v>
      </c>
    </row>
    <row r="571" spans="1:20">
      <c r="A571" t="s">
        <v>1589</v>
      </c>
      <c r="B571">
        <v>45875</v>
      </c>
      <c r="C571" t="s">
        <v>93</v>
      </c>
      <c r="D571" t="s">
        <v>111</v>
      </c>
      <c r="E571" t="s">
        <v>112</v>
      </c>
      <c r="F571">
        <v>4900</v>
      </c>
      <c r="G571" t="s">
        <v>32</v>
      </c>
      <c r="H571" t="s">
        <v>1590</v>
      </c>
      <c r="I571" t="s">
        <v>71</v>
      </c>
      <c r="J571">
        <v>106876</v>
      </c>
      <c r="K571" t="s">
        <v>3</v>
      </c>
      <c r="L571" t="s">
        <v>1591</v>
      </c>
      <c r="M571" t="s">
        <v>237</v>
      </c>
      <c r="N571" t="s">
        <v>74</v>
      </c>
      <c r="O571" s="25" t="s">
        <v>3827</v>
      </c>
      <c r="P571" s="25">
        <v>1</v>
      </c>
      <c r="Q571" s="25">
        <v>106876</v>
      </c>
      <c r="R571" s="25" t="s">
        <v>26</v>
      </c>
      <c r="S571" s="25" t="s">
        <v>26</v>
      </c>
      <c r="T571" s="25">
        <f t="shared" si="8"/>
        <v>-106876</v>
      </c>
    </row>
    <row r="572" spans="1:20">
      <c r="A572" t="s">
        <v>1592</v>
      </c>
      <c r="B572">
        <v>45875</v>
      </c>
      <c r="C572" t="s">
        <v>87</v>
      </c>
      <c r="D572" t="s">
        <v>111</v>
      </c>
      <c r="E572" t="s">
        <v>3</v>
      </c>
      <c r="F572">
        <v>5010</v>
      </c>
      <c r="G572" t="s">
        <v>37</v>
      </c>
      <c r="H572" t="s">
        <v>1593</v>
      </c>
      <c r="I572" t="s">
        <v>71</v>
      </c>
      <c r="J572">
        <v>-1309000</v>
      </c>
      <c r="K572" t="s">
        <v>987</v>
      </c>
      <c r="L572" t="s">
        <v>1594</v>
      </c>
      <c r="M572" t="s">
        <v>3</v>
      </c>
      <c r="N572" t="s">
        <v>74</v>
      </c>
      <c r="O572" s="25" t="s">
        <v>3827</v>
      </c>
      <c r="P572" s="25">
        <v>1</v>
      </c>
      <c r="Q572" s="25">
        <v>-1309000</v>
      </c>
      <c r="R572" s="25" t="s">
        <v>35</v>
      </c>
      <c r="S572" s="25" t="s">
        <v>35</v>
      </c>
      <c r="T572" s="25">
        <f t="shared" si="8"/>
        <v>-1309000</v>
      </c>
    </row>
    <row r="573" spans="1:20">
      <c r="A573" t="s">
        <v>1595</v>
      </c>
      <c r="B573">
        <v>45876</v>
      </c>
      <c r="C573" t="s">
        <v>93</v>
      </c>
      <c r="D573" t="s">
        <v>94</v>
      </c>
      <c r="E573" t="s">
        <v>95</v>
      </c>
      <c r="F573">
        <v>4000</v>
      </c>
      <c r="G573" t="s">
        <v>25</v>
      </c>
      <c r="H573" t="s">
        <v>1596</v>
      </c>
      <c r="I573" t="s">
        <v>71</v>
      </c>
      <c r="J573">
        <v>29000</v>
      </c>
      <c r="K573" t="s">
        <v>3</v>
      </c>
      <c r="L573" t="s">
        <v>1597</v>
      </c>
      <c r="M573" t="s">
        <v>3</v>
      </c>
      <c r="N573" t="s">
        <v>74</v>
      </c>
      <c r="O573" s="25" t="s">
        <v>3827</v>
      </c>
      <c r="P573" s="25">
        <v>1</v>
      </c>
      <c r="Q573" s="25">
        <v>29000</v>
      </c>
      <c r="R573" s="25" t="s">
        <v>26</v>
      </c>
      <c r="S573" s="25" t="s">
        <v>26</v>
      </c>
      <c r="T573" s="25">
        <f t="shared" si="8"/>
        <v>29000</v>
      </c>
    </row>
    <row r="574" spans="1:20">
      <c r="A574" t="s">
        <v>1598</v>
      </c>
      <c r="B574">
        <v>45876</v>
      </c>
      <c r="C574" t="s">
        <v>93</v>
      </c>
      <c r="D574" t="s">
        <v>94</v>
      </c>
      <c r="E574" t="s">
        <v>99</v>
      </c>
      <c r="F574">
        <v>4000</v>
      </c>
      <c r="G574" t="s">
        <v>25</v>
      </c>
      <c r="H574" t="s">
        <v>1599</v>
      </c>
      <c r="I574" t="s">
        <v>71</v>
      </c>
      <c r="J574">
        <v>29800</v>
      </c>
      <c r="K574" t="s">
        <v>3</v>
      </c>
      <c r="L574" t="s">
        <v>1600</v>
      </c>
      <c r="M574" t="s">
        <v>3</v>
      </c>
      <c r="N574" t="s">
        <v>74</v>
      </c>
      <c r="O574" s="25" t="s">
        <v>3827</v>
      </c>
      <c r="P574" s="25">
        <v>1</v>
      </c>
      <c r="Q574" s="25">
        <v>29800</v>
      </c>
      <c r="R574" s="25" t="s">
        <v>26</v>
      </c>
      <c r="S574" s="25" t="s">
        <v>26</v>
      </c>
      <c r="T574" s="25">
        <f t="shared" si="8"/>
        <v>29800</v>
      </c>
    </row>
    <row r="575" spans="1:20">
      <c r="A575" t="s">
        <v>1601</v>
      </c>
      <c r="B575">
        <v>45876</v>
      </c>
      <c r="C575" t="s">
        <v>93</v>
      </c>
      <c r="D575" t="s">
        <v>94</v>
      </c>
      <c r="E575" t="s">
        <v>103</v>
      </c>
      <c r="F575">
        <v>4000</v>
      </c>
      <c r="G575" t="s">
        <v>25</v>
      </c>
      <c r="H575" t="s">
        <v>1602</v>
      </c>
      <c r="I575" t="s">
        <v>71</v>
      </c>
      <c r="J575">
        <v>32200</v>
      </c>
      <c r="K575" t="s">
        <v>3</v>
      </c>
      <c r="L575" t="s">
        <v>1603</v>
      </c>
      <c r="M575" t="s">
        <v>3</v>
      </c>
      <c r="N575" t="s">
        <v>74</v>
      </c>
      <c r="O575" s="25" t="s">
        <v>3827</v>
      </c>
      <c r="P575" s="25">
        <v>1</v>
      </c>
      <c r="Q575" s="25">
        <v>32200</v>
      </c>
      <c r="R575" s="25" t="s">
        <v>26</v>
      </c>
      <c r="S575" s="25" t="s">
        <v>26</v>
      </c>
      <c r="T575" s="25">
        <f t="shared" si="8"/>
        <v>32200</v>
      </c>
    </row>
    <row r="576" spans="1:20">
      <c r="A576" t="s">
        <v>1604</v>
      </c>
      <c r="B576">
        <v>45876</v>
      </c>
      <c r="C576" t="s">
        <v>93</v>
      </c>
      <c r="D576" t="s">
        <v>94</v>
      </c>
      <c r="E576" t="s">
        <v>160</v>
      </c>
      <c r="F576">
        <v>4000</v>
      </c>
      <c r="G576" t="s">
        <v>25</v>
      </c>
      <c r="H576" t="s">
        <v>1605</v>
      </c>
      <c r="I576" t="s">
        <v>71</v>
      </c>
      <c r="J576">
        <v>31400</v>
      </c>
      <c r="K576" t="s">
        <v>3</v>
      </c>
      <c r="L576" t="s">
        <v>1603</v>
      </c>
      <c r="M576" t="s">
        <v>3</v>
      </c>
      <c r="N576" t="s">
        <v>74</v>
      </c>
      <c r="O576" s="25" t="s">
        <v>3827</v>
      </c>
      <c r="P576" s="25">
        <v>1</v>
      </c>
      <c r="Q576" s="25">
        <v>31400</v>
      </c>
      <c r="R576" s="25" t="s">
        <v>26</v>
      </c>
      <c r="S576" s="25" t="s">
        <v>26</v>
      </c>
      <c r="T576" s="25">
        <f t="shared" si="8"/>
        <v>31400</v>
      </c>
    </row>
    <row r="577" spans="1:20">
      <c r="A577" t="s">
        <v>1606</v>
      </c>
      <c r="B577">
        <v>45876</v>
      </c>
      <c r="C577" t="s">
        <v>93</v>
      </c>
      <c r="D577" t="s">
        <v>94</v>
      </c>
      <c r="E577" t="s">
        <v>107</v>
      </c>
      <c r="F577">
        <v>4000</v>
      </c>
      <c r="G577" t="s">
        <v>25</v>
      </c>
      <c r="H577" t="s">
        <v>1607</v>
      </c>
      <c r="I577" t="s">
        <v>71</v>
      </c>
      <c r="J577">
        <v>30000</v>
      </c>
      <c r="K577" t="s">
        <v>3</v>
      </c>
      <c r="L577" t="s">
        <v>1608</v>
      </c>
      <c r="M577" t="s">
        <v>3</v>
      </c>
      <c r="N577" t="s">
        <v>74</v>
      </c>
      <c r="O577" s="25" t="s">
        <v>3827</v>
      </c>
      <c r="P577" s="25">
        <v>1</v>
      </c>
      <c r="Q577" s="25">
        <v>30000</v>
      </c>
      <c r="R577" s="25" t="s">
        <v>26</v>
      </c>
      <c r="S577" s="25" t="s">
        <v>26</v>
      </c>
      <c r="T577" s="25">
        <f t="shared" si="8"/>
        <v>30000</v>
      </c>
    </row>
    <row r="578" spans="1:20">
      <c r="A578" t="s">
        <v>1609</v>
      </c>
      <c r="B578">
        <v>45876</v>
      </c>
      <c r="C578" t="s">
        <v>93</v>
      </c>
      <c r="D578" t="s">
        <v>111</v>
      </c>
      <c r="E578" t="s">
        <v>112</v>
      </c>
      <c r="F578">
        <v>4000</v>
      </c>
      <c r="G578" t="s">
        <v>25</v>
      </c>
      <c r="H578" t="s">
        <v>1610</v>
      </c>
      <c r="I578" t="s">
        <v>71</v>
      </c>
      <c r="J578">
        <v>50300</v>
      </c>
      <c r="K578" t="s">
        <v>3</v>
      </c>
      <c r="L578" t="s">
        <v>1611</v>
      </c>
      <c r="M578" t="s">
        <v>3</v>
      </c>
      <c r="N578" t="s">
        <v>74</v>
      </c>
      <c r="O578" s="25" t="s">
        <v>3827</v>
      </c>
      <c r="P578" s="25">
        <v>1</v>
      </c>
      <c r="Q578" s="25">
        <v>50300</v>
      </c>
      <c r="R578" s="25" t="s">
        <v>26</v>
      </c>
      <c r="S578" s="25" t="s">
        <v>26</v>
      </c>
      <c r="T578" s="25">
        <f t="shared" ref="T578:T641" si="9">IF(AND(S578="Revenue",G578&lt;&gt;"Refunds &amp; Chargebacks"),ABS(Q578),-ABS(Q578))</f>
        <v>50300</v>
      </c>
    </row>
    <row r="579" spans="1:20">
      <c r="A579" t="s">
        <v>1612</v>
      </c>
      <c r="B579">
        <v>45876</v>
      </c>
      <c r="C579" t="s">
        <v>93</v>
      </c>
      <c r="D579" t="s">
        <v>111</v>
      </c>
      <c r="E579" t="s">
        <v>116</v>
      </c>
      <c r="F579">
        <v>4000</v>
      </c>
      <c r="G579" t="s">
        <v>25</v>
      </c>
      <c r="H579" t="s">
        <v>1613</v>
      </c>
      <c r="I579" t="s">
        <v>71</v>
      </c>
      <c r="J579">
        <v>53600</v>
      </c>
      <c r="K579" t="s">
        <v>3</v>
      </c>
      <c r="L579" t="s">
        <v>1611</v>
      </c>
      <c r="M579" t="s">
        <v>3</v>
      </c>
      <c r="N579" t="s">
        <v>74</v>
      </c>
      <c r="O579" s="25" t="s">
        <v>3827</v>
      </c>
      <c r="P579" s="25">
        <v>1</v>
      </c>
      <c r="Q579" s="25">
        <v>53600</v>
      </c>
      <c r="R579" s="25" t="s">
        <v>26</v>
      </c>
      <c r="S579" s="25" t="s">
        <v>26</v>
      </c>
      <c r="T579" s="25">
        <f t="shared" si="9"/>
        <v>53600</v>
      </c>
    </row>
    <row r="580" spans="1:20">
      <c r="A580" t="s">
        <v>1614</v>
      </c>
      <c r="B580">
        <v>45876</v>
      </c>
      <c r="C580" t="s">
        <v>93</v>
      </c>
      <c r="D580" t="s">
        <v>111</v>
      </c>
      <c r="E580" t="s">
        <v>119</v>
      </c>
      <c r="F580">
        <v>4000</v>
      </c>
      <c r="G580" t="s">
        <v>25</v>
      </c>
      <c r="H580" t="s">
        <v>1615</v>
      </c>
      <c r="I580" t="s">
        <v>71</v>
      </c>
      <c r="J580">
        <v>49900</v>
      </c>
      <c r="K580" t="s">
        <v>3</v>
      </c>
      <c r="L580" t="s">
        <v>1611</v>
      </c>
      <c r="M580" t="s">
        <v>3</v>
      </c>
      <c r="N580" t="s">
        <v>74</v>
      </c>
      <c r="O580" s="25" t="s">
        <v>3827</v>
      </c>
      <c r="P580" s="25">
        <v>1</v>
      </c>
      <c r="Q580" s="25">
        <v>49900</v>
      </c>
      <c r="R580" s="25" t="s">
        <v>26</v>
      </c>
      <c r="S580" s="25" t="s">
        <v>26</v>
      </c>
      <c r="T580" s="25">
        <f t="shared" si="9"/>
        <v>49900</v>
      </c>
    </row>
    <row r="581" spans="1:20">
      <c r="A581" t="s">
        <v>1616</v>
      </c>
      <c r="B581">
        <v>45876</v>
      </c>
      <c r="C581" t="s">
        <v>93</v>
      </c>
      <c r="D581" t="s">
        <v>111</v>
      </c>
      <c r="E581" t="s">
        <v>122</v>
      </c>
      <c r="F581">
        <v>4000</v>
      </c>
      <c r="G581" t="s">
        <v>25</v>
      </c>
      <c r="H581" t="s">
        <v>1617</v>
      </c>
      <c r="I581" t="s">
        <v>71</v>
      </c>
      <c r="J581">
        <v>52000</v>
      </c>
      <c r="K581" t="s">
        <v>3</v>
      </c>
      <c r="L581" t="s">
        <v>1618</v>
      </c>
      <c r="M581" t="s">
        <v>3</v>
      </c>
      <c r="N581" t="s">
        <v>74</v>
      </c>
      <c r="O581" s="25" t="s">
        <v>3827</v>
      </c>
      <c r="P581" s="25">
        <v>1</v>
      </c>
      <c r="Q581" s="25">
        <v>52000</v>
      </c>
      <c r="R581" s="25" t="s">
        <v>26</v>
      </c>
      <c r="S581" s="25" t="s">
        <v>26</v>
      </c>
      <c r="T581" s="25">
        <f t="shared" si="9"/>
        <v>52000</v>
      </c>
    </row>
    <row r="582" spans="1:20">
      <c r="A582" t="s">
        <v>1619</v>
      </c>
      <c r="B582">
        <v>45876</v>
      </c>
      <c r="C582" t="s">
        <v>126</v>
      </c>
      <c r="D582" t="s">
        <v>88</v>
      </c>
      <c r="E582" t="s">
        <v>127</v>
      </c>
      <c r="F582">
        <v>4020</v>
      </c>
      <c r="G582" t="s">
        <v>30</v>
      </c>
      <c r="H582" t="s">
        <v>1620</v>
      </c>
      <c r="I582" t="s">
        <v>72</v>
      </c>
      <c r="J582">
        <v>31.93</v>
      </c>
      <c r="K582" t="s">
        <v>129</v>
      </c>
      <c r="L582" t="s">
        <v>1621</v>
      </c>
      <c r="M582" t="s">
        <v>3</v>
      </c>
      <c r="N582" t="s">
        <v>74</v>
      </c>
      <c r="O582" s="25" t="s">
        <v>3828</v>
      </c>
      <c r="P582" s="25">
        <v>1572</v>
      </c>
      <c r="Q582" s="25">
        <v>50193.96</v>
      </c>
      <c r="R582" s="25" t="s">
        <v>26</v>
      </c>
      <c r="S582" s="25" t="s">
        <v>26</v>
      </c>
      <c r="T582" s="25">
        <f t="shared" si="9"/>
        <v>50193.96</v>
      </c>
    </row>
    <row r="583" spans="1:20">
      <c r="A583" t="s">
        <v>1622</v>
      </c>
      <c r="B583">
        <v>45876</v>
      </c>
      <c r="C583" t="s">
        <v>126</v>
      </c>
      <c r="D583" t="s">
        <v>88</v>
      </c>
      <c r="E583" t="s">
        <v>132</v>
      </c>
      <c r="F583">
        <v>4020</v>
      </c>
      <c r="G583" t="s">
        <v>30</v>
      </c>
      <c r="H583" t="s">
        <v>1623</v>
      </c>
      <c r="I583" t="s">
        <v>71</v>
      </c>
      <c r="J583">
        <v>53600</v>
      </c>
      <c r="K583" t="s">
        <v>134</v>
      </c>
      <c r="L583" t="s">
        <v>1621</v>
      </c>
      <c r="M583" t="s">
        <v>3</v>
      </c>
      <c r="N583" t="s">
        <v>74</v>
      </c>
      <c r="O583" s="25" t="s">
        <v>3827</v>
      </c>
      <c r="P583" s="25">
        <v>1</v>
      </c>
      <c r="Q583" s="25">
        <v>53600</v>
      </c>
      <c r="R583" s="25" t="s">
        <v>26</v>
      </c>
      <c r="S583" s="25" t="s">
        <v>26</v>
      </c>
      <c r="T583" s="25">
        <f t="shared" si="9"/>
        <v>53600</v>
      </c>
    </row>
    <row r="584" spans="1:20">
      <c r="A584" t="s">
        <v>1624</v>
      </c>
      <c r="B584">
        <v>45876</v>
      </c>
      <c r="C584" t="s">
        <v>126</v>
      </c>
      <c r="D584" t="s">
        <v>88</v>
      </c>
      <c r="E584" t="s">
        <v>136</v>
      </c>
      <c r="F584">
        <v>4020</v>
      </c>
      <c r="G584" t="s">
        <v>30</v>
      </c>
      <c r="H584" t="s">
        <v>1625</v>
      </c>
      <c r="I584" t="s">
        <v>72</v>
      </c>
      <c r="J584">
        <v>34.99</v>
      </c>
      <c r="K584" t="s">
        <v>138</v>
      </c>
      <c r="L584" t="s">
        <v>1621</v>
      </c>
      <c r="M584" t="s">
        <v>3</v>
      </c>
      <c r="N584" t="s">
        <v>74</v>
      </c>
      <c r="O584" s="25" t="s">
        <v>3828</v>
      </c>
      <c r="P584" s="25">
        <v>1572</v>
      </c>
      <c r="Q584" s="25">
        <v>55004.280000000006</v>
      </c>
      <c r="R584" s="25" t="s">
        <v>26</v>
      </c>
      <c r="S584" s="25" t="s">
        <v>26</v>
      </c>
      <c r="T584" s="25">
        <f t="shared" si="9"/>
        <v>55004.280000000006</v>
      </c>
    </row>
    <row r="585" spans="1:20">
      <c r="A585" t="s">
        <v>1626</v>
      </c>
      <c r="B585">
        <v>45876</v>
      </c>
      <c r="C585" t="s">
        <v>126</v>
      </c>
      <c r="D585" t="s">
        <v>88</v>
      </c>
      <c r="E585" t="s">
        <v>140</v>
      </c>
      <c r="F585">
        <v>4020</v>
      </c>
      <c r="G585" t="s">
        <v>30</v>
      </c>
      <c r="H585" t="s">
        <v>1627</v>
      </c>
      <c r="I585" t="s">
        <v>71</v>
      </c>
      <c r="J585">
        <v>50400</v>
      </c>
      <c r="K585" t="s">
        <v>3</v>
      </c>
      <c r="L585" t="s">
        <v>1628</v>
      </c>
      <c r="M585" t="s">
        <v>3</v>
      </c>
      <c r="N585" t="s">
        <v>74</v>
      </c>
      <c r="O585" s="25" t="s">
        <v>3827</v>
      </c>
      <c r="P585" s="25">
        <v>1</v>
      </c>
      <c r="Q585" s="25">
        <v>50400</v>
      </c>
      <c r="R585" s="25" t="s">
        <v>26</v>
      </c>
      <c r="S585" s="25" t="s">
        <v>26</v>
      </c>
      <c r="T585" s="25">
        <f t="shared" si="9"/>
        <v>50400</v>
      </c>
    </row>
    <row r="586" spans="1:20">
      <c r="A586" t="s">
        <v>1629</v>
      </c>
      <c r="B586">
        <v>45876</v>
      </c>
      <c r="C586" t="s">
        <v>87</v>
      </c>
      <c r="D586" t="s">
        <v>94</v>
      </c>
      <c r="E586" t="s">
        <v>3</v>
      </c>
      <c r="F586">
        <v>5000</v>
      </c>
      <c r="G586" t="s">
        <v>34</v>
      </c>
      <c r="H586" t="s">
        <v>1630</v>
      </c>
      <c r="I586" t="s">
        <v>71</v>
      </c>
      <c r="J586">
        <v>-619000</v>
      </c>
      <c r="K586" t="s">
        <v>316</v>
      </c>
      <c r="L586" t="s">
        <v>1631</v>
      </c>
      <c r="M586" t="s">
        <v>3</v>
      </c>
      <c r="N586" t="s">
        <v>74</v>
      </c>
      <c r="O586" s="25" t="s">
        <v>3827</v>
      </c>
      <c r="P586" s="25">
        <v>1</v>
      </c>
      <c r="Q586" s="25">
        <v>-619000</v>
      </c>
      <c r="R586" s="25" t="s">
        <v>35</v>
      </c>
      <c r="S586" s="25" t="s">
        <v>35</v>
      </c>
      <c r="T586" s="25">
        <f t="shared" si="9"/>
        <v>-619000</v>
      </c>
    </row>
    <row r="587" spans="1:20">
      <c r="A587" t="s">
        <v>1632</v>
      </c>
      <c r="B587">
        <v>45876</v>
      </c>
      <c r="C587" t="s">
        <v>87</v>
      </c>
      <c r="D587" t="s">
        <v>94</v>
      </c>
      <c r="E587" t="s">
        <v>3</v>
      </c>
      <c r="F587">
        <v>5000</v>
      </c>
      <c r="G587" t="s">
        <v>34</v>
      </c>
      <c r="H587" t="s">
        <v>1630</v>
      </c>
      <c r="I587" t="s">
        <v>71</v>
      </c>
      <c r="J587">
        <v>-687000</v>
      </c>
      <c r="K587" t="s">
        <v>316</v>
      </c>
      <c r="L587" t="s">
        <v>1633</v>
      </c>
      <c r="M587" t="s">
        <v>3</v>
      </c>
      <c r="N587" t="s">
        <v>74</v>
      </c>
      <c r="O587" s="25" t="s">
        <v>3827</v>
      </c>
      <c r="P587" s="25">
        <v>1</v>
      </c>
      <c r="Q587" s="25">
        <v>-687000</v>
      </c>
      <c r="R587" s="25" t="s">
        <v>35</v>
      </c>
      <c r="S587" s="25" t="s">
        <v>35</v>
      </c>
      <c r="T587" s="25">
        <f t="shared" si="9"/>
        <v>-687000</v>
      </c>
    </row>
    <row r="588" spans="1:20">
      <c r="A588" t="s">
        <v>1634</v>
      </c>
      <c r="B588">
        <v>45876</v>
      </c>
      <c r="C588" t="s">
        <v>87</v>
      </c>
      <c r="D588" t="s">
        <v>88</v>
      </c>
      <c r="E588" t="s">
        <v>3</v>
      </c>
      <c r="F588">
        <v>5030</v>
      </c>
      <c r="G588" t="s">
        <v>41</v>
      </c>
      <c r="H588" t="s">
        <v>1428</v>
      </c>
      <c r="I588" t="s">
        <v>71</v>
      </c>
      <c r="J588">
        <v>-564000</v>
      </c>
      <c r="K588" t="s">
        <v>90</v>
      </c>
      <c r="L588" t="s">
        <v>1635</v>
      </c>
      <c r="M588" t="s">
        <v>3</v>
      </c>
      <c r="N588" t="s">
        <v>74</v>
      </c>
      <c r="O588" s="25" t="s">
        <v>3827</v>
      </c>
      <c r="P588" s="25">
        <v>1</v>
      </c>
      <c r="Q588" s="25">
        <v>-564000</v>
      </c>
      <c r="R588" s="25" t="s">
        <v>35</v>
      </c>
      <c r="S588" s="25" t="s">
        <v>35</v>
      </c>
      <c r="T588" s="25">
        <f t="shared" si="9"/>
        <v>-564000</v>
      </c>
    </row>
    <row r="589" spans="1:20">
      <c r="A589" t="s">
        <v>1636</v>
      </c>
      <c r="B589">
        <v>45877</v>
      </c>
      <c r="C589" t="s">
        <v>93</v>
      </c>
      <c r="D589" t="s">
        <v>94</v>
      </c>
      <c r="E589" t="s">
        <v>95</v>
      </c>
      <c r="F589">
        <v>4000</v>
      </c>
      <c r="G589" t="s">
        <v>25</v>
      </c>
      <c r="H589" t="s">
        <v>1637</v>
      </c>
      <c r="I589" t="s">
        <v>71</v>
      </c>
      <c r="J589">
        <v>27500</v>
      </c>
      <c r="K589" t="s">
        <v>3</v>
      </c>
      <c r="L589" t="s">
        <v>1638</v>
      </c>
      <c r="M589" t="s">
        <v>3</v>
      </c>
      <c r="N589" t="s">
        <v>74</v>
      </c>
      <c r="O589" s="25" t="s">
        <v>3827</v>
      </c>
      <c r="P589" s="25">
        <v>1</v>
      </c>
      <c r="Q589" s="25">
        <v>27500</v>
      </c>
      <c r="R589" s="25" t="s">
        <v>26</v>
      </c>
      <c r="S589" s="25" t="s">
        <v>26</v>
      </c>
      <c r="T589" s="25">
        <f t="shared" si="9"/>
        <v>27500</v>
      </c>
    </row>
    <row r="590" spans="1:20">
      <c r="A590" t="s">
        <v>1639</v>
      </c>
      <c r="B590">
        <v>45877</v>
      </c>
      <c r="C590" t="s">
        <v>93</v>
      </c>
      <c r="D590" t="s">
        <v>94</v>
      </c>
      <c r="E590" t="s">
        <v>99</v>
      </c>
      <c r="F590">
        <v>4000</v>
      </c>
      <c r="G590" t="s">
        <v>25</v>
      </c>
      <c r="H590" t="s">
        <v>1640</v>
      </c>
      <c r="I590" t="s">
        <v>71</v>
      </c>
      <c r="J590">
        <v>29400</v>
      </c>
      <c r="K590" t="s">
        <v>3</v>
      </c>
      <c r="L590" t="s">
        <v>1641</v>
      </c>
      <c r="M590" t="s">
        <v>3</v>
      </c>
      <c r="N590" t="s">
        <v>74</v>
      </c>
      <c r="O590" s="25" t="s">
        <v>3827</v>
      </c>
      <c r="P590" s="25">
        <v>1</v>
      </c>
      <c r="Q590" s="25">
        <v>29400</v>
      </c>
      <c r="R590" s="25" t="s">
        <v>26</v>
      </c>
      <c r="S590" s="25" t="s">
        <v>26</v>
      </c>
      <c r="T590" s="25">
        <f t="shared" si="9"/>
        <v>29400</v>
      </c>
    </row>
    <row r="591" spans="1:20">
      <c r="A591" t="s">
        <v>1642</v>
      </c>
      <c r="B591">
        <v>45877</v>
      </c>
      <c r="C591" t="s">
        <v>93</v>
      </c>
      <c r="D591" t="s">
        <v>94</v>
      </c>
      <c r="E591" t="s">
        <v>103</v>
      </c>
      <c r="F591">
        <v>4000</v>
      </c>
      <c r="G591" t="s">
        <v>25</v>
      </c>
      <c r="H591" t="s">
        <v>1643</v>
      </c>
      <c r="I591" t="s">
        <v>71</v>
      </c>
      <c r="J591">
        <v>31900</v>
      </c>
      <c r="K591" t="s">
        <v>3</v>
      </c>
      <c r="L591" t="s">
        <v>1644</v>
      </c>
      <c r="M591" t="s">
        <v>3</v>
      </c>
      <c r="N591" t="s">
        <v>74</v>
      </c>
      <c r="O591" s="25" t="s">
        <v>3827</v>
      </c>
      <c r="P591" s="25">
        <v>1</v>
      </c>
      <c r="Q591" s="25">
        <v>31900</v>
      </c>
      <c r="R591" s="25" t="s">
        <v>26</v>
      </c>
      <c r="S591" s="25" t="s">
        <v>26</v>
      </c>
      <c r="T591" s="25">
        <f t="shared" si="9"/>
        <v>31900</v>
      </c>
    </row>
    <row r="592" spans="1:20">
      <c r="A592" t="s">
        <v>1645</v>
      </c>
      <c r="B592">
        <v>45877</v>
      </c>
      <c r="C592" t="s">
        <v>93</v>
      </c>
      <c r="D592" t="s">
        <v>94</v>
      </c>
      <c r="E592" t="s">
        <v>160</v>
      </c>
      <c r="F592">
        <v>4000</v>
      </c>
      <c r="G592" t="s">
        <v>25</v>
      </c>
      <c r="H592" t="s">
        <v>1646</v>
      </c>
      <c r="I592" t="s">
        <v>71</v>
      </c>
      <c r="J592">
        <v>32700</v>
      </c>
      <c r="K592" t="s">
        <v>3</v>
      </c>
      <c r="L592" t="s">
        <v>1644</v>
      </c>
      <c r="M592" t="s">
        <v>3</v>
      </c>
      <c r="N592" t="s">
        <v>74</v>
      </c>
      <c r="O592" s="25" t="s">
        <v>3827</v>
      </c>
      <c r="P592" s="25">
        <v>1</v>
      </c>
      <c r="Q592" s="25">
        <v>32700</v>
      </c>
      <c r="R592" s="25" t="s">
        <v>26</v>
      </c>
      <c r="S592" s="25" t="s">
        <v>26</v>
      </c>
      <c r="T592" s="25">
        <f t="shared" si="9"/>
        <v>32700</v>
      </c>
    </row>
    <row r="593" spans="1:20">
      <c r="A593" t="s">
        <v>1647</v>
      </c>
      <c r="B593">
        <v>45877</v>
      </c>
      <c r="C593" t="s">
        <v>93</v>
      </c>
      <c r="D593" t="s">
        <v>94</v>
      </c>
      <c r="E593" t="s">
        <v>107</v>
      </c>
      <c r="F593">
        <v>4000</v>
      </c>
      <c r="G593" t="s">
        <v>25</v>
      </c>
      <c r="H593" t="s">
        <v>1648</v>
      </c>
      <c r="I593" t="s">
        <v>71</v>
      </c>
      <c r="J593">
        <v>29000</v>
      </c>
      <c r="K593" t="s">
        <v>3</v>
      </c>
      <c r="L593" t="s">
        <v>1649</v>
      </c>
      <c r="M593" t="s">
        <v>3</v>
      </c>
      <c r="N593" t="s">
        <v>74</v>
      </c>
      <c r="O593" s="25" t="s">
        <v>3827</v>
      </c>
      <c r="P593" s="25">
        <v>1</v>
      </c>
      <c r="Q593" s="25">
        <v>29000</v>
      </c>
      <c r="R593" s="25" t="s">
        <v>26</v>
      </c>
      <c r="S593" s="25" t="s">
        <v>26</v>
      </c>
      <c r="T593" s="25">
        <f t="shared" si="9"/>
        <v>29000</v>
      </c>
    </row>
    <row r="594" spans="1:20">
      <c r="A594" t="s">
        <v>1650</v>
      </c>
      <c r="B594">
        <v>45877</v>
      </c>
      <c r="C594" t="s">
        <v>93</v>
      </c>
      <c r="D594" t="s">
        <v>111</v>
      </c>
      <c r="E594" t="s">
        <v>112</v>
      </c>
      <c r="F594">
        <v>4000</v>
      </c>
      <c r="G594" t="s">
        <v>25</v>
      </c>
      <c r="H594" t="s">
        <v>1651</v>
      </c>
      <c r="I594" t="s">
        <v>71</v>
      </c>
      <c r="J594">
        <v>52700</v>
      </c>
      <c r="K594" t="s">
        <v>3</v>
      </c>
      <c r="L594" t="s">
        <v>1652</v>
      </c>
      <c r="M594" t="s">
        <v>3</v>
      </c>
      <c r="N594" t="s">
        <v>74</v>
      </c>
      <c r="O594" s="25" t="s">
        <v>3827</v>
      </c>
      <c r="P594" s="25">
        <v>1</v>
      </c>
      <c r="Q594" s="25">
        <v>52700</v>
      </c>
      <c r="R594" s="25" t="s">
        <v>26</v>
      </c>
      <c r="S594" s="25" t="s">
        <v>26</v>
      </c>
      <c r="T594" s="25">
        <f t="shared" si="9"/>
        <v>52700</v>
      </c>
    </row>
    <row r="595" spans="1:20">
      <c r="A595" t="s">
        <v>1653</v>
      </c>
      <c r="B595">
        <v>45877</v>
      </c>
      <c r="C595" t="s">
        <v>93</v>
      </c>
      <c r="D595" t="s">
        <v>111</v>
      </c>
      <c r="E595" t="s">
        <v>116</v>
      </c>
      <c r="F595">
        <v>4000</v>
      </c>
      <c r="G595" t="s">
        <v>25</v>
      </c>
      <c r="H595" t="s">
        <v>1654</v>
      </c>
      <c r="I595" t="s">
        <v>71</v>
      </c>
      <c r="J595">
        <v>49000</v>
      </c>
      <c r="K595" t="s">
        <v>3</v>
      </c>
      <c r="L595" t="s">
        <v>1652</v>
      </c>
      <c r="M595" t="s">
        <v>3</v>
      </c>
      <c r="N595" t="s">
        <v>74</v>
      </c>
      <c r="O595" s="25" t="s">
        <v>3827</v>
      </c>
      <c r="P595" s="25">
        <v>1</v>
      </c>
      <c r="Q595" s="25">
        <v>49000</v>
      </c>
      <c r="R595" s="25" t="s">
        <v>26</v>
      </c>
      <c r="S595" s="25" t="s">
        <v>26</v>
      </c>
      <c r="T595" s="25">
        <f t="shared" si="9"/>
        <v>49000</v>
      </c>
    </row>
    <row r="596" spans="1:20">
      <c r="A596" t="s">
        <v>1655</v>
      </c>
      <c r="B596">
        <v>45877</v>
      </c>
      <c r="C596" t="s">
        <v>93</v>
      </c>
      <c r="D596" t="s">
        <v>111</v>
      </c>
      <c r="E596" t="s">
        <v>119</v>
      </c>
      <c r="F596">
        <v>4000</v>
      </c>
      <c r="G596" t="s">
        <v>25</v>
      </c>
      <c r="H596" t="s">
        <v>1656</v>
      </c>
      <c r="I596" t="s">
        <v>71</v>
      </c>
      <c r="J596">
        <v>53500</v>
      </c>
      <c r="K596" t="s">
        <v>3</v>
      </c>
      <c r="L596" t="s">
        <v>1652</v>
      </c>
      <c r="M596" t="s">
        <v>3</v>
      </c>
      <c r="N596" t="s">
        <v>74</v>
      </c>
      <c r="O596" s="25" t="s">
        <v>3827</v>
      </c>
      <c r="P596" s="25">
        <v>1</v>
      </c>
      <c r="Q596" s="25">
        <v>53500</v>
      </c>
      <c r="R596" s="25" t="s">
        <v>26</v>
      </c>
      <c r="S596" s="25" t="s">
        <v>26</v>
      </c>
      <c r="T596" s="25">
        <f t="shared" si="9"/>
        <v>53500</v>
      </c>
    </row>
    <row r="597" spans="1:20">
      <c r="A597" t="s">
        <v>1657</v>
      </c>
      <c r="B597">
        <v>45877</v>
      </c>
      <c r="C597" t="s">
        <v>93</v>
      </c>
      <c r="D597" t="s">
        <v>111</v>
      </c>
      <c r="E597" t="s">
        <v>170</v>
      </c>
      <c r="F597">
        <v>4000</v>
      </c>
      <c r="G597" t="s">
        <v>25</v>
      </c>
      <c r="H597" t="s">
        <v>1658</v>
      </c>
      <c r="I597" t="s">
        <v>71</v>
      </c>
      <c r="J597">
        <v>52900</v>
      </c>
      <c r="K597" t="s">
        <v>3</v>
      </c>
      <c r="L597" t="s">
        <v>1652</v>
      </c>
      <c r="M597" t="s">
        <v>3</v>
      </c>
      <c r="N597" t="s">
        <v>74</v>
      </c>
      <c r="O597" s="25" t="s">
        <v>3827</v>
      </c>
      <c r="P597" s="25">
        <v>1</v>
      </c>
      <c r="Q597" s="25">
        <v>52900</v>
      </c>
      <c r="R597" s="25" t="s">
        <v>26</v>
      </c>
      <c r="S597" s="25" t="s">
        <v>26</v>
      </c>
      <c r="T597" s="25">
        <f t="shared" si="9"/>
        <v>52900</v>
      </c>
    </row>
    <row r="598" spans="1:20">
      <c r="A598" t="s">
        <v>1659</v>
      </c>
      <c r="B598">
        <v>45877</v>
      </c>
      <c r="C598" t="s">
        <v>93</v>
      </c>
      <c r="D598" t="s">
        <v>111</v>
      </c>
      <c r="E598" t="s">
        <v>122</v>
      </c>
      <c r="F598">
        <v>4000</v>
      </c>
      <c r="G598" t="s">
        <v>25</v>
      </c>
      <c r="H598" t="s">
        <v>1660</v>
      </c>
      <c r="I598" t="s">
        <v>71</v>
      </c>
      <c r="J598">
        <v>51200</v>
      </c>
      <c r="K598" t="s">
        <v>3</v>
      </c>
      <c r="L598" t="s">
        <v>1661</v>
      </c>
      <c r="M598" t="s">
        <v>3</v>
      </c>
      <c r="N598" t="s">
        <v>74</v>
      </c>
      <c r="O598" s="25" t="s">
        <v>3827</v>
      </c>
      <c r="P598" s="25">
        <v>1</v>
      </c>
      <c r="Q598" s="25">
        <v>51200</v>
      </c>
      <c r="R598" s="25" t="s">
        <v>26</v>
      </c>
      <c r="S598" s="25" t="s">
        <v>26</v>
      </c>
      <c r="T598" s="25">
        <f t="shared" si="9"/>
        <v>51200</v>
      </c>
    </row>
    <row r="599" spans="1:20">
      <c r="A599" t="s">
        <v>1662</v>
      </c>
      <c r="B599">
        <v>45877</v>
      </c>
      <c r="C599" t="s">
        <v>126</v>
      </c>
      <c r="D599" t="s">
        <v>88</v>
      </c>
      <c r="E599" t="s">
        <v>127</v>
      </c>
      <c r="F599">
        <v>4020</v>
      </c>
      <c r="G599" t="s">
        <v>30</v>
      </c>
      <c r="H599" t="s">
        <v>1663</v>
      </c>
      <c r="I599" t="s">
        <v>71</v>
      </c>
      <c r="J599">
        <v>52000</v>
      </c>
      <c r="K599" t="s">
        <v>129</v>
      </c>
      <c r="L599" t="s">
        <v>1664</v>
      </c>
      <c r="M599" t="s">
        <v>3</v>
      </c>
      <c r="N599" t="s">
        <v>74</v>
      </c>
      <c r="O599" s="25" t="s">
        <v>3827</v>
      </c>
      <c r="P599" s="25">
        <v>1</v>
      </c>
      <c r="Q599" s="25">
        <v>52000</v>
      </c>
      <c r="R599" s="25" t="s">
        <v>26</v>
      </c>
      <c r="S599" s="25" t="s">
        <v>26</v>
      </c>
      <c r="T599" s="25">
        <f t="shared" si="9"/>
        <v>52000</v>
      </c>
    </row>
    <row r="600" spans="1:20">
      <c r="A600" t="s">
        <v>1665</v>
      </c>
      <c r="B600">
        <v>45877</v>
      </c>
      <c r="C600" t="s">
        <v>126</v>
      </c>
      <c r="D600" t="s">
        <v>88</v>
      </c>
      <c r="E600" t="s">
        <v>132</v>
      </c>
      <c r="F600">
        <v>4020</v>
      </c>
      <c r="G600" t="s">
        <v>30</v>
      </c>
      <c r="H600" t="s">
        <v>1666</v>
      </c>
      <c r="I600" t="s">
        <v>71</v>
      </c>
      <c r="J600">
        <v>51100</v>
      </c>
      <c r="K600" t="s">
        <v>134</v>
      </c>
      <c r="L600" t="s">
        <v>1664</v>
      </c>
      <c r="M600" t="s">
        <v>3</v>
      </c>
      <c r="N600" t="s">
        <v>74</v>
      </c>
      <c r="O600" s="25" t="s">
        <v>3827</v>
      </c>
      <c r="P600" s="25">
        <v>1</v>
      </c>
      <c r="Q600" s="25">
        <v>51100</v>
      </c>
      <c r="R600" s="25" t="s">
        <v>26</v>
      </c>
      <c r="S600" s="25" t="s">
        <v>26</v>
      </c>
      <c r="T600" s="25">
        <f t="shared" si="9"/>
        <v>51100</v>
      </c>
    </row>
    <row r="601" spans="1:20">
      <c r="A601" t="s">
        <v>1667</v>
      </c>
      <c r="B601">
        <v>45877</v>
      </c>
      <c r="C601" t="s">
        <v>126</v>
      </c>
      <c r="D601" t="s">
        <v>88</v>
      </c>
      <c r="E601" t="s">
        <v>140</v>
      </c>
      <c r="F601">
        <v>4020</v>
      </c>
      <c r="G601" t="s">
        <v>30</v>
      </c>
      <c r="H601" t="s">
        <v>1668</v>
      </c>
      <c r="I601" t="s">
        <v>71</v>
      </c>
      <c r="J601">
        <v>49000</v>
      </c>
      <c r="K601" t="s">
        <v>3</v>
      </c>
      <c r="L601" t="s">
        <v>1669</v>
      </c>
      <c r="M601" t="s">
        <v>3</v>
      </c>
      <c r="N601" t="s">
        <v>74</v>
      </c>
      <c r="O601" s="25" t="s">
        <v>3827</v>
      </c>
      <c r="P601" s="25">
        <v>1</v>
      </c>
      <c r="Q601" s="25">
        <v>49000</v>
      </c>
      <c r="R601" s="25" t="s">
        <v>26</v>
      </c>
      <c r="S601" s="25" t="s">
        <v>26</v>
      </c>
      <c r="T601" s="25">
        <f t="shared" si="9"/>
        <v>49000</v>
      </c>
    </row>
    <row r="602" spans="1:20">
      <c r="A602" t="s">
        <v>1670</v>
      </c>
      <c r="B602">
        <v>45878</v>
      </c>
      <c r="C602" t="s">
        <v>93</v>
      </c>
      <c r="D602" t="s">
        <v>94</v>
      </c>
      <c r="E602" t="s">
        <v>95</v>
      </c>
      <c r="F602">
        <v>4000</v>
      </c>
      <c r="G602" t="s">
        <v>25</v>
      </c>
      <c r="H602" t="s">
        <v>1671</v>
      </c>
      <c r="I602" t="s">
        <v>71</v>
      </c>
      <c r="J602">
        <v>40800</v>
      </c>
      <c r="K602" t="s">
        <v>3</v>
      </c>
      <c r="L602" t="s">
        <v>1672</v>
      </c>
      <c r="M602" t="s">
        <v>3</v>
      </c>
      <c r="N602" t="s">
        <v>74</v>
      </c>
      <c r="O602" s="25" t="s">
        <v>3827</v>
      </c>
      <c r="P602" s="25">
        <v>1</v>
      </c>
      <c r="Q602" s="25">
        <v>40800</v>
      </c>
      <c r="R602" s="25" t="s">
        <v>26</v>
      </c>
      <c r="S602" s="25" t="s">
        <v>26</v>
      </c>
      <c r="T602" s="25">
        <f t="shared" si="9"/>
        <v>40800</v>
      </c>
    </row>
    <row r="603" spans="1:20">
      <c r="A603" t="s">
        <v>1673</v>
      </c>
      <c r="B603">
        <v>45878</v>
      </c>
      <c r="C603" t="s">
        <v>93</v>
      </c>
      <c r="D603" t="s">
        <v>94</v>
      </c>
      <c r="E603" t="s">
        <v>99</v>
      </c>
      <c r="F603">
        <v>4000</v>
      </c>
      <c r="G603" t="s">
        <v>25</v>
      </c>
      <c r="H603" t="s">
        <v>1674</v>
      </c>
      <c r="I603" t="s">
        <v>71</v>
      </c>
      <c r="J603">
        <v>41100</v>
      </c>
      <c r="K603" t="s">
        <v>3</v>
      </c>
      <c r="L603" t="s">
        <v>1675</v>
      </c>
      <c r="M603" t="s">
        <v>3</v>
      </c>
      <c r="N603" t="s">
        <v>74</v>
      </c>
      <c r="O603" s="25" t="s">
        <v>3827</v>
      </c>
      <c r="P603" s="25">
        <v>1</v>
      </c>
      <c r="Q603" s="25">
        <v>41100</v>
      </c>
      <c r="R603" s="25" t="s">
        <v>26</v>
      </c>
      <c r="S603" s="25" t="s">
        <v>26</v>
      </c>
      <c r="T603" s="25">
        <f t="shared" si="9"/>
        <v>41100</v>
      </c>
    </row>
    <row r="604" spans="1:20">
      <c r="A604" t="s">
        <v>1676</v>
      </c>
      <c r="B604">
        <v>45878</v>
      </c>
      <c r="C604" t="s">
        <v>93</v>
      </c>
      <c r="D604" t="s">
        <v>94</v>
      </c>
      <c r="E604" t="s">
        <v>103</v>
      </c>
      <c r="F604">
        <v>4000</v>
      </c>
      <c r="G604" t="s">
        <v>25</v>
      </c>
      <c r="H604" t="s">
        <v>1677</v>
      </c>
      <c r="I604" t="s">
        <v>71</v>
      </c>
      <c r="J604">
        <v>36100</v>
      </c>
      <c r="K604" t="s">
        <v>3</v>
      </c>
      <c r="L604" t="s">
        <v>1678</v>
      </c>
      <c r="M604" t="s">
        <v>3</v>
      </c>
      <c r="N604" t="s">
        <v>74</v>
      </c>
      <c r="O604" s="25" t="s">
        <v>3827</v>
      </c>
      <c r="P604" s="25">
        <v>1</v>
      </c>
      <c r="Q604" s="25">
        <v>36100</v>
      </c>
      <c r="R604" s="25" t="s">
        <v>26</v>
      </c>
      <c r="S604" s="25" t="s">
        <v>26</v>
      </c>
      <c r="T604" s="25">
        <f t="shared" si="9"/>
        <v>36100</v>
      </c>
    </row>
    <row r="605" spans="1:20">
      <c r="A605" t="s">
        <v>1679</v>
      </c>
      <c r="B605">
        <v>45878</v>
      </c>
      <c r="C605" t="s">
        <v>93</v>
      </c>
      <c r="D605" t="s">
        <v>94</v>
      </c>
      <c r="E605" t="s">
        <v>160</v>
      </c>
      <c r="F605">
        <v>4000</v>
      </c>
      <c r="G605" t="s">
        <v>25</v>
      </c>
      <c r="H605" t="s">
        <v>1680</v>
      </c>
      <c r="I605" t="s">
        <v>71</v>
      </c>
      <c r="J605">
        <v>38700</v>
      </c>
      <c r="K605" t="s">
        <v>3</v>
      </c>
      <c r="L605" t="s">
        <v>1678</v>
      </c>
      <c r="M605" t="s">
        <v>3</v>
      </c>
      <c r="N605" t="s">
        <v>74</v>
      </c>
      <c r="O605" s="25" t="s">
        <v>3827</v>
      </c>
      <c r="P605" s="25">
        <v>1</v>
      </c>
      <c r="Q605" s="25">
        <v>38700</v>
      </c>
      <c r="R605" s="25" t="s">
        <v>26</v>
      </c>
      <c r="S605" s="25" t="s">
        <v>26</v>
      </c>
      <c r="T605" s="25">
        <f t="shared" si="9"/>
        <v>38700</v>
      </c>
    </row>
    <row r="606" spans="1:20">
      <c r="A606" t="s">
        <v>1681</v>
      </c>
      <c r="B606">
        <v>45878</v>
      </c>
      <c r="C606" t="s">
        <v>93</v>
      </c>
      <c r="D606" t="s">
        <v>94</v>
      </c>
      <c r="E606" t="s">
        <v>107</v>
      </c>
      <c r="F606">
        <v>4000</v>
      </c>
      <c r="G606" t="s">
        <v>25</v>
      </c>
      <c r="H606" t="s">
        <v>1682</v>
      </c>
      <c r="I606" t="s">
        <v>71</v>
      </c>
      <c r="J606">
        <v>38500</v>
      </c>
      <c r="K606" t="s">
        <v>3</v>
      </c>
      <c r="L606" t="s">
        <v>1683</v>
      </c>
      <c r="M606" t="s">
        <v>3</v>
      </c>
      <c r="N606" t="s">
        <v>74</v>
      </c>
      <c r="O606" s="25" t="s">
        <v>3827</v>
      </c>
      <c r="P606" s="25">
        <v>1</v>
      </c>
      <c r="Q606" s="25">
        <v>38500</v>
      </c>
      <c r="R606" s="25" t="s">
        <v>26</v>
      </c>
      <c r="S606" s="25" t="s">
        <v>26</v>
      </c>
      <c r="T606" s="25">
        <f t="shared" si="9"/>
        <v>38500</v>
      </c>
    </row>
    <row r="607" spans="1:20">
      <c r="A607" t="s">
        <v>1684</v>
      </c>
      <c r="B607">
        <v>45878</v>
      </c>
      <c r="C607" t="s">
        <v>93</v>
      </c>
      <c r="D607" t="s">
        <v>111</v>
      </c>
      <c r="E607" t="s">
        <v>112</v>
      </c>
      <c r="F607">
        <v>4000</v>
      </c>
      <c r="G607" t="s">
        <v>25</v>
      </c>
      <c r="H607" t="s">
        <v>1685</v>
      </c>
      <c r="I607" t="s">
        <v>71</v>
      </c>
      <c r="J607">
        <v>65100</v>
      </c>
      <c r="K607" t="s">
        <v>3</v>
      </c>
      <c r="L607" t="s">
        <v>1686</v>
      </c>
      <c r="M607" t="s">
        <v>3</v>
      </c>
      <c r="N607" t="s">
        <v>74</v>
      </c>
      <c r="O607" s="25" t="s">
        <v>3827</v>
      </c>
      <c r="P607" s="25">
        <v>1</v>
      </c>
      <c r="Q607" s="25">
        <v>65100</v>
      </c>
      <c r="R607" s="25" t="s">
        <v>26</v>
      </c>
      <c r="S607" s="25" t="s">
        <v>26</v>
      </c>
      <c r="T607" s="25">
        <f t="shared" si="9"/>
        <v>65100</v>
      </c>
    </row>
    <row r="608" spans="1:20">
      <c r="A608" t="s">
        <v>1687</v>
      </c>
      <c r="B608">
        <v>45878</v>
      </c>
      <c r="C608" t="s">
        <v>93</v>
      </c>
      <c r="D608" t="s">
        <v>111</v>
      </c>
      <c r="E608" t="s">
        <v>116</v>
      </c>
      <c r="F608">
        <v>4000</v>
      </c>
      <c r="G608" t="s">
        <v>25</v>
      </c>
      <c r="H608" t="s">
        <v>1688</v>
      </c>
      <c r="I608" t="s">
        <v>71</v>
      </c>
      <c r="J608">
        <v>67100</v>
      </c>
      <c r="K608" t="s">
        <v>3</v>
      </c>
      <c r="L608" t="s">
        <v>1686</v>
      </c>
      <c r="M608" t="s">
        <v>3</v>
      </c>
      <c r="N608" t="s">
        <v>74</v>
      </c>
      <c r="O608" s="25" t="s">
        <v>3827</v>
      </c>
      <c r="P608" s="25">
        <v>1</v>
      </c>
      <c r="Q608" s="25">
        <v>67100</v>
      </c>
      <c r="R608" s="25" t="s">
        <v>26</v>
      </c>
      <c r="S608" s="25" t="s">
        <v>26</v>
      </c>
      <c r="T608" s="25">
        <f t="shared" si="9"/>
        <v>67100</v>
      </c>
    </row>
    <row r="609" spans="1:20">
      <c r="A609" t="s">
        <v>1689</v>
      </c>
      <c r="B609">
        <v>45878</v>
      </c>
      <c r="C609" t="s">
        <v>93</v>
      </c>
      <c r="D609" t="s">
        <v>111</v>
      </c>
      <c r="E609" t="s">
        <v>119</v>
      </c>
      <c r="F609">
        <v>4000</v>
      </c>
      <c r="G609" t="s">
        <v>25</v>
      </c>
      <c r="H609" t="s">
        <v>1690</v>
      </c>
      <c r="I609" t="s">
        <v>71</v>
      </c>
      <c r="J609">
        <v>62000</v>
      </c>
      <c r="K609" t="s">
        <v>3</v>
      </c>
      <c r="L609" t="s">
        <v>1686</v>
      </c>
      <c r="M609" t="s">
        <v>3</v>
      </c>
      <c r="N609" t="s">
        <v>74</v>
      </c>
      <c r="O609" s="25" t="s">
        <v>3827</v>
      </c>
      <c r="P609" s="25">
        <v>1</v>
      </c>
      <c r="Q609" s="25">
        <v>62000</v>
      </c>
      <c r="R609" s="25" t="s">
        <v>26</v>
      </c>
      <c r="S609" s="25" t="s">
        <v>26</v>
      </c>
      <c r="T609" s="25">
        <f t="shared" si="9"/>
        <v>62000</v>
      </c>
    </row>
    <row r="610" spans="1:20">
      <c r="A610" t="s">
        <v>1691</v>
      </c>
      <c r="B610">
        <v>45878</v>
      </c>
      <c r="C610" t="s">
        <v>93</v>
      </c>
      <c r="D610" t="s">
        <v>111</v>
      </c>
      <c r="E610" t="s">
        <v>170</v>
      </c>
      <c r="F610">
        <v>4000</v>
      </c>
      <c r="G610" t="s">
        <v>25</v>
      </c>
      <c r="H610" t="s">
        <v>1692</v>
      </c>
      <c r="I610" t="s">
        <v>71</v>
      </c>
      <c r="J610">
        <v>64800</v>
      </c>
      <c r="K610" t="s">
        <v>3</v>
      </c>
      <c r="L610" t="s">
        <v>1686</v>
      </c>
      <c r="M610" t="s">
        <v>3</v>
      </c>
      <c r="N610" t="s">
        <v>74</v>
      </c>
      <c r="O610" s="25" t="s">
        <v>3827</v>
      </c>
      <c r="P610" s="25">
        <v>1</v>
      </c>
      <c r="Q610" s="25">
        <v>64800</v>
      </c>
      <c r="R610" s="25" t="s">
        <v>26</v>
      </c>
      <c r="S610" s="25" t="s">
        <v>26</v>
      </c>
      <c r="T610" s="25">
        <f t="shared" si="9"/>
        <v>64800</v>
      </c>
    </row>
    <row r="611" spans="1:20">
      <c r="A611" t="s">
        <v>1693</v>
      </c>
      <c r="B611">
        <v>45878</v>
      </c>
      <c r="C611" t="s">
        <v>93</v>
      </c>
      <c r="D611" t="s">
        <v>111</v>
      </c>
      <c r="E611" t="s">
        <v>122</v>
      </c>
      <c r="F611">
        <v>4000</v>
      </c>
      <c r="G611" t="s">
        <v>25</v>
      </c>
      <c r="H611" t="s">
        <v>1694</v>
      </c>
      <c r="I611" t="s">
        <v>71</v>
      </c>
      <c r="J611">
        <v>62800</v>
      </c>
      <c r="K611" t="s">
        <v>3</v>
      </c>
      <c r="L611" t="s">
        <v>1695</v>
      </c>
      <c r="M611" t="s">
        <v>3</v>
      </c>
      <c r="N611" t="s">
        <v>74</v>
      </c>
      <c r="O611" s="25" t="s">
        <v>3827</v>
      </c>
      <c r="P611" s="25">
        <v>1</v>
      </c>
      <c r="Q611" s="25">
        <v>62800</v>
      </c>
      <c r="R611" s="25" t="s">
        <v>26</v>
      </c>
      <c r="S611" s="25" t="s">
        <v>26</v>
      </c>
      <c r="T611" s="25">
        <f t="shared" si="9"/>
        <v>62800</v>
      </c>
    </row>
    <row r="612" spans="1:20">
      <c r="A612" t="s">
        <v>1696</v>
      </c>
      <c r="B612">
        <v>45878</v>
      </c>
      <c r="C612" t="s">
        <v>126</v>
      </c>
      <c r="D612" t="s">
        <v>88</v>
      </c>
      <c r="E612" t="s">
        <v>127</v>
      </c>
      <c r="F612">
        <v>4020</v>
      </c>
      <c r="G612" t="s">
        <v>30</v>
      </c>
      <c r="H612" t="s">
        <v>1697</v>
      </c>
      <c r="I612" t="s">
        <v>72</v>
      </c>
      <c r="J612">
        <v>31.04</v>
      </c>
      <c r="K612" t="s">
        <v>129</v>
      </c>
      <c r="L612" t="s">
        <v>1698</v>
      </c>
      <c r="M612" t="s">
        <v>3</v>
      </c>
      <c r="N612" t="s">
        <v>74</v>
      </c>
      <c r="O612" s="25" t="s">
        <v>3828</v>
      </c>
      <c r="P612" s="25">
        <v>1572</v>
      </c>
      <c r="Q612" s="25">
        <v>48794.879999999997</v>
      </c>
      <c r="R612" s="25" t="s">
        <v>26</v>
      </c>
      <c r="S612" s="25" t="s">
        <v>26</v>
      </c>
      <c r="T612" s="25">
        <f t="shared" si="9"/>
        <v>48794.879999999997</v>
      </c>
    </row>
    <row r="613" spans="1:20">
      <c r="A613" t="s">
        <v>1699</v>
      </c>
      <c r="B613">
        <v>45878</v>
      </c>
      <c r="C613" t="s">
        <v>126</v>
      </c>
      <c r="D613" t="s">
        <v>88</v>
      </c>
      <c r="E613" t="s">
        <v>132</v>
      </c>
      <c r="F613">
        <v>4020</v>
      </c>
      <c r="G613" t="s">
        <v>30</v>
      </c>
      <c r="H613" t="s">
        <v>1700</v>
      </c>
      <c r="I613" t="s">
        <v>72</v>
      </c>
      <c r="J613">
        <v>29.07</v>
      </c>
      <c r="K613" t="s">
        <v>134</v>
      </c>
      <c r="L613" t="s">
        <v>1698</v>
      </c>
      <c r="M613" t="s">
        <v>3</v>
      </c>
      <c r="N613" t="s">
        <v>74</v>
      </c>
      <c r="O613" s="25" t="s">
        <v>3828</v>
      </c>
      <c r="P613" s="25">
        <v>1572</v>
      </c>
      <c r="Q613" s="25">
        <v>45698.04</v>
      </c>
      <c r="R613" s="25" t="s">
        <v>26</v>
      </c>
      <c r="S613" s="25" t="s">
        <v>26</v>
      </c>
      <c r="T613" s="25">
        <f t="shared" si="9"/>
        <v>45698.04</v>
      </c>
    </row>
    <row r="614" spans="1:20">
      <c r="A614" t="s">
        <v>1701</v>
      </c>
      <c r="B614">
        <v>45878</v>
      </c>
      <c r="C614" t="s">
        <v>126</v>
      </c>
      <c r="D614" t="s">
        <v>88</v>
      </c>
      <c r="E614" t="s">
        <v>136</v>
      </c>
      <c r="F614">
        <v>4020</v>
      </c>
      <c r="G614" t="s">
        <v>30</v>
      </c>
      <c r="H614" t="s">
        <v>1702</v>
      </c>
      <c r="I614" t="s">
        <v>72</v>
      </c>
      <c r="J614">
        <v>29.07</v>
      </c>
      <c r="K614" t="s">
        <v>138</v>
      </c>
      <c r="L614" t="s">
        <v>1698</v>
      </c>
      <c r="M614" t="s">
        <v>3</v>
      </c>
      <c r="N614" t="s">
        <v>74</v>
      </c>
      <c r="O614" s="25" t="s">
        <v>3828</v>
      </c>
      <c r="P614" s="25">
        <v>1572</v>
      </c>
      <c r="Q614" s="25">
        <v>45698.04</v>
      </c>
      <c r="R614" s="25" t="s">
        <v>26</v>
      </c>
      <c r="S614" s="25" t="s">
        <v>26</v>
      </c>
      <c r="T614" s="25">
        <f t="shared" si="9"/>
        <v>45698.04</v>
      </c>
    </row>
    <row r="615" spans="1:20">
      <c r="A615" t="s">
        <v>1703</v>
      </c>
      <c r="B615">
        <v>45878</v>
      </c>
      <c r="C615" t="s">
        <v>126</v>
      </c>
      <c r="D615" t="s">
        <v>88</v>
      </c>
      <c r="E615" t="s">
        <v>140</v>
      </c>
      <c r="F615">
        <v>4020</v>
      </c>
      <c r="G615" t="s">
        <v>30</v>
      </c>
      <c r="H615" t="s">
        <v>1704</v>
      </c>
      <c r="I615" t="s">
        <v>71</v>
      </c>
      <c r="J615">
        <v>52100</v>
      </c>
      <c r="K615" t="s">
        <v>3</v>
      </c>
      <c r="L615" t="s">
        <v>1705</v>
      </c>
      <c r="M615" t="s">
        <v>3</v>
      </c>
      <c r="N615" t="s">
        <v>74</v>
      </c>
      <c r="O615" s="25" t="s">
        <v>3827</v>
      </c>
      <c r="P615" s="25">
        <v>1</v>
      </c>
      <c r="Q615" s="25">
        <v>52100</v>
      </c>
      <c r="R615" s="25" t="s">
        <v>26</v>
      </c>
      <c r="S615" s="25" t="s">
        <v>26</v>
      </c>
      <c r="T615" s="25">
        <f t="shared" si="9"/>
        <v>52100</v>
      </c>
    </row>
    <row r="616" spans="1:20">
      <c r="A616" t="s">
        <v>1706</v>
      </c>
      <c r="B616">
        <v>45878</v>
      </c>
      <c r="C616" t="s">
        <v>87</v>
      </c>
      <c r="D616" t="s">
        <v>94</v>
      </c>
      <c r="E616" t="s">
        <v>3</v>
      </c>
      <c r="F616">
        <v>5000</v>
      </c>
      <c r="G616" t="s">
        <v>34</v>
      </c>
      <c r="H616" t="s">
        <v>1630</v>
      </c>
      <c r="I616" t="s">
        <v>71</v>
      </c>
      <c r="J616">
        <v>-545000</v>
      </c>
      <c r="K616" t="s">
        <v>316</v>
      </c>
      <c r="L616" t="s">
        <v>1707</v>
      </c>
      <c r="M616" t="s">
        <v>3</v>
      </c>
      <c r="N616" t="s">
        <v>74</v>
      </c>
      <c r="O616" s="25" t="s">
        <v>3827</v>
      </c>
      <c r="P616" s="25">
        <v>1</v>
      </c>
      <c r="Q616" s="25">
        <v>-545000</v>
      </c>
      <c r="R616" s="25" t="s">
        <v>35</v>
      </c>
      <c r="S616" s="25" t="s">
        <v>35</v>
      </c>
      <c r="T616" s="25">
        <f t="shared" si="9"/>
        <v>-545000</v>
      </c>
    </row>
    <row r="617" spans="1:20">
      <c r="A617" t="s">
        <v>1708</v>
      </c>
      <c r="B617">
        <v>45878</v>
      </c>
      <c r="C617" t="s">
        <v>87</v>
      </c>
      <c r="D617" t="s">
        <v>94</v>
      </c>
      <c r="E617" t="s">
        <v>3</v>
      </c>
      <c r="F617">
        <v>5000</v>
      </c>
      <c r="G617" t="s">
        <v>34</v>
      </c>
      <c r="H617" t="s">
        <v>1630</v>
      </c>
      <c r="I617" t="s">
        <v>71</v>
      </c>
      <c r="J617">
        <v>-711000</v>
      </c>
      <c r="K617" t="s">
        <v>316</v>
      </c>
      <c r="L617" t="s">
        <v>1709</v>
      </c>
      <c r="M617" t="s">
        <v>3</v>
      </c>
      <c r="N617" t="s">
        <v>74</v>
      </c>
      <c r="O617" s="25" t="s">
        <v>3827</v>
      </c>
      <c r="P617" s="25">
        <v>1</v>
      </c>
      <c r="Q617" s="25">
        <v>-711000</v>
      </c>
      <c r="R617" s="25" t="s">
        <v>35</v>
      </c>
      <c r="S617" s="25" t="s">
        <v>35</v>
      </c>
      <c r="T617" s="25">
        <f t="shared" si="9"/>
        <v>-711000</v>
      </c>
    </row>
    <row r="618" spans="1:20">
      <c r="A618" t="s">
        <v>1710</v>
      </c>
      <c r="B618">
        <v>45878</v>
      </c>
      <c r="C618" t="s">
        <v>87</v>
      </c>
      <c r="D618" t="s">
        <v>94</v>
      </c>
      <c r="E618" t="s">
        <v>3</v>
      </c>
      <c r="F618">
        <v>5050</v>
      </c>
      <c r="G618" t="s">
        <v>45</v>
      </c>
      <c r="H618" t="s">
        <v>1711</v>
      </c>
      <c r="I618" t="s">
        <v>71</v>
      </c>
      <c r="J618">
        <v>-167000</v>
      </c>
      <c r="K618" t="s">
        <v>191</v>
      </c>
      <c r="L618" t="s">
        <v>1712</v>
      </c>
      <c r="M618" t="s">
        <v>3</v>
      </c>
      <c r="N618" t="s">
        <v>74</v>
      </c>
      <c r="O618" s="25" t="s">
        <v>3827</v>
      </c>
      <c r="P618" s="25">
        <v>1</v>
      </c>
      <c r="Q618" s="25">
        <v>-167000</v>
      </c>
      <c r="R618" s="25" t="s">
        <v>35</v>
      </c>
      <c r="S618" s="25" t="s">
        <v>35</v>
      </c>
      <c r="T618" s="25">
        <f t="shared" si="9"/>
        <v>-167000</v>
      </c>
    </row>
    <row r="619" spans="1:20">
      <c r="A619" t="s">
        <v>1713</v>
      </c>
      <c r="B619">
        <v>45878</v>
      </c>
      <c r="C619" t="s">
        <v>87</v>
      </c>
      <c r="D619" t="s">
        <v>111</v>
      </c>
      <c r="E619" t="s">
        <v>3</v>
      </c>
      <c r="F619">
        <v>5010</v>
      </c>
      <c r="G619" t="s">
        <v>37</v>
      </c>
      <c r="H619" t="s">
        <v>1593</v>
      </c>
      <c r="I619" t="s">
        <v>71</v>
      </c>
      <c r="J619">
        <v>-1000000</v>
      </c>
      <c r="K619" t="s">
        <v>987</v>
      </c>
      <c r="L619" t="s">
        <v>1714</v>
      </c>
      <c r="M619" t="s">
        <v>3</v>
      </c>
      <c r="N619" t="s">
        <v>74</v>
      </c>
      <c r="O619" s="25" t="s">
        <v>3827</v>
      </c>
      <c r="P619" s="25">
        <v>1</v>
      </c>
      <c r="Q619" s="25">
        <v>-1000000</v>
      </c>
      <c r="R619" s="25" t="s">
        <v>35</v>
      </c>
      <c r="S619" s="25" t="s">
        <v>35</v>
      </c>
      <c r="T619" s="25">
        <f t="shared" si="9"/>
        <v>-1000000</v>
      </c>
    </row>
    <row r="620" spans="1:20">
      <c r="A620" t="s">
        <v>1715</v>
      </c>
      <c r="B620">
        <v>45878</v>
      </c>
      <c r="C620" t="s">
        <v>87</v>
      </c>
      <c r="D620" t="s">
        <v>111</v>
      </c>
      <c r="E620" t="s">
        <v>3</v>
      </c>
      <c r="F620">
        <v>5020</v>
      </c>
      <c r="G620" t="s">
        <v>39</v>
      </c>
      <c r="H620" t="s">
        <v>1423</v>
      </c>
      <c r="I620" t="s">
        <v>71</v>
      </c>
      <c r="J620">
        <v>-62000</v>
      </c>
      <c r="K620" t="s">
        <v>276</v>
      </c>
      <c r="L620" t="s">
        <v>1716</v>
      </c>
      <c r="M620" t="s">
        <v>3</v>
      </c>
      <c r="N620" t="s">
        <v>74</v>
      </c>
      <c r="O620" s="25" t="s">
        <v>3827</v>
      </c>
      <c r="P620" s="25">
        <v>1</v>
      </c>
      <c r="Q620" s="25">
        <v>-62000</v>
      </c>
      <c r="R620" s="25" t="s">
        <v>35</v>
      </c>
      <c r="S620" s="25" t="s">
        <v>35</v>
      </c>
      <c r="T620" s="25">
        <f t="shared" si="9"/>
        <v>-62000</v>
      </c>
    </row>
    <row r="621" spans="1:20">
      <c r="A621" t="s">
        <v>1717</v>
      </c>
      <c r="B621">
        <v>45879</v>
      </c>
      <c r="C621" t="s">
        <v>93</v>
      </c>
      <c r="D621" t="s">
        <v>94</v>
      </c>
      <c r="E621" t="s">
        <v>95</v>
      </c>
      <c r="F621">
        <v>4000</v>
      </c>
      <c r="G621" t="s">
        <v>25</v>
      </c>
      <c r="H621" t="s">
        <v>1718</v>
      </c>
      <c r="I621" t="s">
        <v>71</v>
      </c>
      <c r="J621">
        <v>39700</v>
      </c>
      <c r="K621" t="s">
        <v>3</v>
      </c>
      <c r="L621" t="s">
        <v>1719</v>
      </c>
      <c r="M621" t="s">
        <v>3</v>
      </c>
      <c r="N621" t="s">
        <v>74</v>
      </c>
      <c r="O621" s="25" t="s">
        <v>3827</v>
      </c>
      <c r="P621" s="25">
        <v>1</v>
      </c>
      <c r="Q621" s="25">
        <v>39700</v>
      </c>
      <c r="R621" s="25" t="s">
        <v>26</v>
      </c>
      <c r="S621" s="25" t="s">
        <v>26</v>
      </c>
      <c r="T621" s="25">
        <f t="shared" si="9"/>
        <v>39700</v>
      </c>
    </row>
    <row r="622" spans="1:20">
      <c r="A622" t="s">
        <v>1720</v>
      </c>
      <c r="B622">
        <v>45879</v>
      </c>
      <c r="C622" t="s">
        <v>93</v>
      </c>
      <c r="D622" t="s">
        <v>94</v>
      </c>
      <c r="E622" t="s">
        <v>99</v>
      </c>
      <c r="F622">
        <v>4000</v>
      </c>
      <c r="G622" t="s">
        <v>25</v>
      </c>
      <c r="H622" t="s">
        <v>1721</v>
      </c>
      <c r="I622" t="s">
        <v>71</v>
      </c>
      <c r="J622">
        <v>37700</v>
      </c>
      <c r="K622" t="s">
        <v>3</v>
      </c>
      <c r="L622" t="s">
        <v>1722</v>
      </c>
      <c r="M622" t="s">
        <v>3</v>
      </c>
      <c r="N622" t="s">
        <v>74</v>
      </c>
      <c r="O622" s="25" t="s">
        <v>3827</v>
      </c>
      <c r="P622" s="25">
        <v>1</v>
      </c>
      <c r="Q622" s="25">
        <v>37700</v>
      </c>
      <c r="R622" s="25" t="s">
        <v>26</v>
      </c>
      <c r="S622" s="25" t="s">
        <v>26</v>
      </c>
      <c r="T622" s="25">
        <f t="shared" si="9"/>
        <v>37700</v>
      </c>
    </row>
    <row r="623" spans="1:20">
      <c r="A623" t="s">
        <v>1723</v>
      </c>
      <c r="B623">
        <v>45879</v>
      </c>
      <c r="C623" t="s">
        <v>93</v>
      </c>
      <c r="D623" t="s">
        <v>94</v>
      </c>
      <c r="E623" t="s">
        <v>103</v>
      </c>
      <c r="F623">
        <v>4000</v>
      </c>
      <c r="G623" t="s">
        <v>25</v>
      </c>
      <c r="H623" t="s">
        <v>1724</v>
      </c>
      <c r="I623" t="s">
        <v>71</v>
      </c>
      <c r="J623">
        <v>39600</v>
      </c>
      <c r="K623" t="s">
        <v>3</v>
      </c>
      <c r="L623" t="s">
        <v>1725</v>
      </c>
      <c r="M623" t="s">
        <v>3</v>
      </c>
      <c r="N623" t="s">
        <v>74</v>
      </c>
      <c r="O623" s="25" t="s">
        <v>3827</v>
      </c>
      <c r="P623" s="25">
        <v>1</v>
      </c>
      <c r="Q623" s="25">
        <v>39600</v>
      </c>
      <c r="R623" s="25" t="s">
        <v>26</v>
      </c>
      <c r="S623" s="25" t="s">
        <v>26</v>
      </c>
      <c r="T623" s="25">
        <f t="shared" si="9"/>
        <v>39600</v>
      </c>
    </row>
    <row r="624" spans="1:20">
      <c r="A624" t="s">
        <v>1726</v>
      </c>
      <c r="B624">
        <v>45879</v>
      </c>
      <c r="C624" t="s">
        <v>93</v>
      </c>
      <c r="D624" t="s">
        <v>94</v>
      </c>
      <c r="E624" t="s">
        <v>107</v>
      </c>
      <c r="F624">
        <v>4000</v>
      </c>
      <c r="G624" t="s">
        <v>25</v>
      </c>
      <c r="H624" t="s">
        <v>1727</v>
      </c>
      <c r="I624" t="s">
        <v>71</v>
      </c>
      <c r="J624">
        <v>36100</v>
      </c>
      <c r="K624" t="s">
        <v>3</v>
      </c>
      <c r="L624" t="s">
        <v>1728</v>
      </c>
      <c r="M624" t="s">
        <v>3</v>
      </c>
      <c r="N624" t="s">
        <v>74</v>
      </c>
      <c r="O624" s="25" t="s">
        <v>3827</v>
      </c>
      <c r="P624" s="25">
        <v>1</v>
      </c>
      <c r="Q624" s="25">
        <v>36100</v>
      </c>
      <c r="R624" s="25" t="s">
        <v>26</v>
      </c>
      <c r="S624" s="25" t="s">
        <v>26</v>
      </c>
      <c r="T624" s="25">
        <f t="shared" si="9"/>
        <v>36100</v>
      </c>
    </row>
    <row r="625" spans="1:20">
      <c r="A625" t="s">
        <v>1729</v>
      </c>
      <c r="B625">
        <v>45879</v>
      </c>
      <c r="C625" t="s">
        <v>93</v>
      </c>
      <c r="D625" t="s">
        <v>111</v>
      </c>
      <c r="E625" t="s">
        <v>112</v>
      </c>
      <c r="F625">
        <v>4000</v>
      </c>
      <c r="G625" t="s">
        <v>25</v>
      </c>
      <c r="H625" t="s">
        <v>1730</v>
      </c>
      <c r="I625" t="s">
        <v>71</v>
      </c>
      <c r="J625">
        <v>66900</v>
      </c>
      <c r="K625" t="s">
        <v>3</v>
      </c>
      <c r="L625" t="s">
        <v>1731</v>
      </c>
      <c r="M625" t="s">
        <v>3</v>
      </c>
      <c r="N625" t="s">
        <v>74</v>
      </c>
      <c r="O625" s="25" t="s">
        <v>3827</v>
      </c>
      <c r="P625" s="25">
        <v>1</v>
      </c>
      <c r="Q625" s="25">
        <v>66900</v>
      </c>
      <c r="R625" s="25" t="s">
        <v>26</v>
      </c>
      <c r="S625" s="25" t="s">
        <v>26</v>
      </c>
      <c r="T625" s="25">
        <f t="shared" si="9"/>
        <v>66900</v>
      </c>
    </row>
    <row r="626" spans="1:20">
      <c r="A626" t="s">
        <v>1732</v>
      </c>
      <c r="B626">
        <v>45879</v>
      </c>
      <c r="C626" t="s">
        <v>93</v>
      </c>
      <c r="D626" t="s">
        <v>111</v>
      </c>
      <c r="E626" t="s">
        <v>116</v>
      </c>
      <c r="F626">
        <v>4000</v>
      </c>
      <c r="G626" t="s">
        <v>25</v>
      </c>
      <c r="H626" t="s">
        <v>1733</v>
      </c>
      <c r="I626" t="s">
        <v>71</v>
      </c>
      <c r="J626">
        <v>66900</v>
      </c>
      <c r="K626" t="s">
        <v>3</v>
      </c>
      <c r="L626" t="s">
        <v>1731</v>
      </c>
      <c r="M626" t="s">
        <v>3</v>
      </c>
      <c r="N626" t="s">
        <v>74</v>
      </c>
      <c r="O626" s="25" t="s">
        <v>3827</v>
      </c>
      <c r="P626" s="25">
        <v>1</v>
      </c>
      <c r="Q626" s="25">
        <v>66900</v>
      </c>
      <c r="R626" s="25" t="s">
        <v>26</v>
      </c>
      <c r="S626" s="25" t="s">
        <v>26</v>
      </c>
      <c r="T626" s="25">
        <f t="shared" si="9"/>
        <v>66900</v>
      </c>
    </row>
    <row r="627" spans="1:20">
      <c r="A627" t="s">
        <v>1734</v>
      </c>
      <c r="B627">
        <v>45879</v>
      </c>
      <c r="C627" t="s">
        <v>93</v>
      </c>
      <c r="D627" t="s">
        <v>111</v>
      </c>
      <c r="E627" t="s">
        <v>119</v>
      </c>
      <c r="F627">
        <v>4000</v>
      </c>
      <c r="G627" t="s">
        <v>25</v>
      </c>
      <c r="H627" t="s">
        <v>1735</v>
      </c>
      <c r="I627" t="s">
        <v>71</v>
      </c>
      <c r="J627">
        <v>65100</v>
      </c>
      <c r="K627" t="s">
        <v>3</v>
      </c>
      <c r="L627" t="s">
        <v>1731</v>
      </c>
      <c r="M627" t="s">
        <v>3</v>
      </c>
      <c r="N627" t="s">
        <v>74</v>
      </c>
      <c r="O627" s="25" t="s">
        <v>3827</v>
      </c>
      <c r="P627" s="25">
        <v>1</v>
      </c>
      <c r="Q627" s="25">
        <v>65100</v>
      </c>
      <c r="R627" s="25" t="s">
        <v>26</v>
      </c>
      <c r="S627" s="25" t="s">
        <v>26</v>
      </c>
      <c r="T627" s="25">
        <f t="shared" si="9"/>
        <v>65100</v>
      </c>
    </row>
    <row r="628" spans="1:20">
      <c r="A628" t="s">
        <v>1736</v>
      </c>
      <c r="B628">
        <v>45879</v>
      </c>
      <c r="C628" t="s">
        <v>93</v>
      </c>
      <c r="D628" t="s">
        <v>111</v>
      </c>
      <c r="E628" t="s">
        <v>170</v>
      </c>
      <c r="F628">
        <v>4000</v>
      </c>
      <c r="G628" t="s">
        <v>25</v>
      </c>
      <c r="H628" t="s">
        <v>1737</v>
      </c>
      <c r="I628" t="s">
        <v>71</v>
      </c>
      <c r="J628">
        <v>60600</v>
      </c>
      <c r="K628" t="s">
        <v>3</v>
      </c>
      <c r="L628" t="s">
        <v>1731</v>
      </c>
      <c r="M628" t="s">
        <v>3</v>
      </c>
      <c r="N628" t="s">
        <v>74</v>
      </c>
      <c r="O628" s="25" t="s">
        <v>3827</v>
      </c>
      <c r="P628" s="25">
        <v>1</v>
      </c>
      <c r="Q628" s="25">
        <v>60600</v>
      </c>
      <c r="R628" s="25" t="s">
        <v>26</v>
      </c>
      <c r="S628" s="25" t="s">
        <v>26</v>
      </c>
      <c r="T628" s="25">
        <f t="shared" si="9"/>
        <v>60600</v>
      </c>
    </row>
    <row r="629" spans="1:20">
      <c r="A629" t="s">
        <v>1738</v>
      </c>
      <c r="B629">
        <v>45879</v>
      </c>
      <c r="C629" t="s">
        <v>93</v>
      </c>
      <c r="D629" t="s">
        <v>111</v>
      </c>
      <c r="E629" t="s">
        <v>122</v>
      </c>
      <c r="F629">
        <v>4000</v>
      </c>
      <c r="G629" t="s">
        <v>25</v>
      </c>
      <c r="H629" t="s">
        <v>1739</v>
      </c>
      <c r="I629" t="s">
        <v>73</v>
      </c>
      <c r="J629">
        <v>657.58</v>
      </c>
      <c r="K629" t="s">
        <v>3</v>
      </c>
      <c r="L629" t="s">
        <v>1740</v>
      </c>
      <c r="M629" t="s">
        <v>3</v>
      </c>
      <c r="N629" t="s">
        <v>74</v>
      </c>
      <c r="O629" s="25" t="s">
        <v>3829</v>
      </c>
      <c r="P629" s="25">
        <v>99</v>
      </c>
      <c r="Q629" s="25">
        <v>65100.420000000006</v>
      </c>
      <c r="R629" s="25" t="s">
        <v>26</v>
      </c>
      <c r="S629" s="25" t="s">
        <v>26</v>
      </c>
      <c r="T629" s="25">
        <f t="shared" si="9"/>
        <v>65100.420000000006</v>
      </c>
    </row>
    <row r="630" spans="1:20">
      <c r="A630" t="s">
        <v>1741</v>
      </c>
      <c r="B630">
        <v>45879</v>
      </c>
      <c r="C630" t="s">
        <v>126</v>
      </c>
      <c r="D630" t="s">
        <v>88</v>
      </c>
      <c r="E630" t="s">
        <v>127</v>
      </c>
      <c r="F630">
        <v>4020</v>
      </c>
      <c r="G630" t="s">
        <v>30</v>
      </c>
      <c r="H630" t="s">
        <v>1742</v>
      </c>
      <c r="I630" t="s">
        <v>72</v>
      </c>
      <c r="J630">
        <v>34.729999999999997</v>
      </c>
      <c r="K630" t="s">
        <v>129</v>
      </c>
      <c r="L630" t="s">
        <v>1743</v>
      </c>
      <c r="M630" t="s">
        <v>3</v>
      </c>
      <c r="N630" t="s">
        <v>74</v>
      </c>
      <c r="O630" s="25" t="s">
        <v>3828</v>
      </c>
      <c r="P630" s="25">
        <v>1572</v>
      </c>
      <c r="Q630" s="25">
        <v>54595.56</v>
      </c>
      <c r="R630" s="25" t="s">
        <v>26</v>
      </c>
      <c r="S630" s="25" t="s">
        <v>26</v>
      </c>
      <c r="T630" s="25">
        <f t="shared" si="9"/>
        <v>54595.56</v>
      </c>
    </row>
    <row r="631" spans="1:20">
      <c r="A631" t="s">
        <v>1744</v>
      </c>
      <c r="B631">
        <v>45879</v>
      </c>
      <c r="C631" t="s">
        <v>126</v>
      </c>
      <c r="D631" t="s">
        <v>88</v>
      </c>
      <c r="E631" t="s">
        <v>132</v>
      </c>
      <c r="F631">
        <v>4020</v>
      </c>
      <c r="G631" t="s">
        <v>30</v>
      </c>
      <c r="H631" t="s">
        <v>1745</v>
      </c>
      <c r="I631" t="s">
        <v>71</v>
      </c>
      <c r="J631">
        <v>48500</v>
      </c>
      <c r="K631" t="s">
        <v>134</v>
      </c>
      <c r="L631" t="s">
        <v>1743</v>
      </c>
      <c r="M631" t="s">
        <v>3</v>
      </c>
      <c r="N631" t="s">
        <v>74</v>
      </c>
      <c r="O631" s="25" t="s">
        <v>3827</v>
      </c>
      <c r="P631" s="25">
        <v>1</v>
      </c>
      <c r="Q631" s="25">
        <v>48500</v>
      </c>
      <c r="R631" s="25" t="s">
        <v>26</v>
      </c>
      <c r="S631" s="25" t="s">
        <v>26</v>
      </c>
      <c r="T631" s="25">
        <f t="shared" si="9"/>
        <v>48500</v>
      </c>
    </row>
    <row r="632" spans="1:20">
      <c r="A632" t="s">
        <v>1746</v>
      </c>
      <c r="B632">
        <v>45879</v>
      </c>
      <c r="C632" t="s">
        <v>126</v>
      </c>
      <c r="D632" t="s">
        <v>88</v>
      </c>
      <c r="E632" t="s">
        <v>136</v>
      </c>
      <c r="F632">
        <v>4020</v>
      </c>
      <c r="G632" t="s">
        <v>30</v>
      </c>
      <c r="H632" t="s">
        <v>1747</v>
      </c>
      <c r="I632" t="s">
        <v>71</v>
      </c>
      <c r="J632">
        <v>51300</v>
      </c>
      <c r="K632" t="s">
        <v>138</v>
      </c>
      <c r="L632" t="s">
        <v>1743</v>
      </c>
      <c r="M632" t="s">
        <v>3</v>
      </c>
      <c r="N632" t="s">
        <v>74</v>
      </c>
      <c r="O632" s="25" t="s">
        <v>3827</v>
      </c>
      <c r="P632" s="25">
        <v>1</v>
      </c>
      <c r="Q632" s="25">
        <v>51300</v>
      </c>
      <c r="R632" s="25" t="s">
        <v>26</v>
      </c>
      <c r="S632" s="25" t="s">
        <v>26</v>
      </c>
      <c r="T632" s="25">
        <f t="shared" si="9"/>
        <v>51300</v>
      </c>
    </row>
    <row r="633" spans="1:20">
      <c r="A633" t="s">
        <v>1748</v>
      </c>
      <c r="B633">
        <v>45879</v>
      </c>
      <c r="C633" t="s">
        <v>126</v>
      </c>
      <c r="D633" t="s">
        <v>88</v>
      </c>
      <c r="E633" t="s">
        <v>140</v>
      </c>
      <c r="F633">
        <v>4020</v>
      </c>
      <c r="G633" t="s">
        <v>30</v>
      </c>
      <c r="H633" t="s">
        <v>1749</v>
      </c>
      <c r="I633" t="s">
        <v>71</v>
      </c>
      <c r="J633">
        <v>47800</v>
      </c>
      <c r="K633" t="s">
        <v>3</v>
      </c>
      <c r="L633" t="s">
        <v>1750</v>
      </c>
      <c r="M633" t="s">
        <v>3</v>
      </c>
      <c r="N633" t="s">
        <v>74</v>
      </c>
      <c r="O633" s="25" t="s">
        <v>3827</v>
      </c>
      <c r="P633" s="25">
        <v>1</v>
      </c>
      <c r="Q633" s="25">
        <v>47800</v>
      </c>
      <c r="R633" s="25" t="s">
        <v>26</v>
      </c>
      <c r="S633" s="25" t="s">
        <v>26</v>
      </c>
      <c r="T633" s="25">
        <f t="shared" si="9"/>
        <v>47800</v>
      </c>
    </row>
    <row r="634" spans="1:20">
      <c r="A634" t="s">
        <v>1751</v>
      </c>
      <c r="B634">
        <v>45879</v>
      </c>
      <c r="C634" t="s">
        <v>87</v>
      </c>
      <c r="D634" t="s">
        <v>94</v>
      </c>
      <c r="E634" t="s">
        <v>3</v>
      </c>
      <c r="F634">
        <v>6020</v>
      </c>
      <c r="G634" t="s">
        <v>52</v>
      </c>
      <c r="H634" t="s">
        <v>1752</v>
      </c>
      <c r="I634" t="s">
        <v>71</v>
      </c>
      <c r="J634">
        <v>-194087</v>
      </c>
      <c r="K634" t="s">
        <v>514</v>
      </c>
      <c r="L634" t="s">
        <v>1753</v>
      </c>
      <c r="M634" t="s">
        <v>3</v>
      </c>
      <c r="N634" t="s">
        <v>74</v>
      </c>
      <c r="O634" s="25" t="s">
        <v>3827</v>
      </c>
      <c r="P634" s="25">
        <v>1</v>
      </c>
      <c r="Q634" s="25">
        <v>-194087</v>
      </c>
      <c r="R634" s="25" t="s">
        <v>48</v>
      </c>
      <c r="S634" s="25" t="s">
        <v>48</v>
      </c>
      <c r="T634" s="25">
        <f t="shared" si="9"/>
        <v>-194087</v>
      </c>
    </row>
    <row r="635" spans="1:20">
      <c r="A635" t="s">
        <v>1754</v>
      </c>
      <c r="B635">
        <v>45879</v>
      </c>
      <c r="C635" t="s">
        <v>87</v>
      </c>
      <c r="D635" t="s">
        <v>111</v>
      </c>
      <c r="E635" t="s">
        <v>3</v>
      </c>
      <c r="F635">
        <v>6020</v>
      </c>
      <c r="G635" t="s">
        <v>52</v>
      </c>
      <c r="H635" t="s">
        <v>1752</v>
      </c>
      <c r="I635" t="s">
        <v>71</v>
      </c>
      <c r="J635">
        <v>-412462</v>
      </c>
      <c r="K635" t="s">
        <v>514</v>
      </c>
      <c r="L635" t="s">
        <v>1755</v>
      </c>
      <c r="M635" t="s">
        <v>3</v>
      </c>
      <c r="N635" t="s">
        <v>74</v>
      </c>
      <c r="O635" s="25" t="s">
        <v>3827</v>
      </c>
      <c r="P635" s="25">
        <v>1</v>
      </c>
      <c r="Q635" s="25">
        <v>-412462</v>
      </c>
      <c r="R635" s="25" t="s">
        <v>48</v>
      </c>
      <c r="S635" s="25" t="s">
        <v>48</v>
      </c>
      <c r="T635" s="25">
        <f t="shared" si="9"/>
        <v>-412462</v>
      </c>
    </row>
    <row r="636" spans="1:20">
      <c r="A636" t="s">
        <v>1756</v>
      </c>
      <c r="B636">
        <v>45879</v>
      </c>
      <c r="C636" t="s">
        <v>87</v>
      </c>
      <c r="D636" t="s">
        <v>88</v>
      </c>
      <c r="E636" t="s">
        <v>3</v>
      </c>
      <c r="F636">
        <v>6020</v>
      </c>
      <c r="G636" t="s">
        <v>52</v>
      </c>
      <c r="H636" t="s">
        <v>1752</v>
      </c>
      <c r="I636" t="s">
        <v>71</v>
      </c>
      <c r="J636">
        <v>-175075</v>
      </c>
      <c r="K636" t="s">
        <v>514</v>
      </c>
      <c r="L636" t="s">
        <v>1757</v>
      </c>
      <c r="M636" t="s">
        <v>3</v>
      </c>
      <c r="N636" t="s">
        <v>74</v>
      </c>
      <c r="O636" s="25" t="s">
        <v>3827</v>
      </c>
      <c r="P636" s="25">
        <v>1</v>
      </c>
      <c r="Q636" s="25">
        <v>-175075</v>
      </c>
      <c r="R636" s="25" t="s">
        <v>48</v>
      </c>
      <c r="S636" s="25" t="s">
        <v>48</v>
      </c>
      <c r="T636" s="25">
        <f t="shared" si="9"/>
        <v>-175075</v>
      </c>
    </row>
    <row r="637" spans="1:20">
      <c r="A637" t="s">
        <v>1758</v>
      </c>
      <c r="B637">
        <v>45880</v>
      </c>
      <c r="C637" t="s">
        <v>93</v>
      </c>
      <c r="D637" t="s">
        <v>94</v>
      </c>
      <c r="E637" t="s">
        <v>99</v>
      </c>
      <c r="F637">
        <v>4000</v>
      </c>
      <c r="G637" t="s">
        <v>25</v>
      </c>
      <c r="H637" t="s">
        <v>1759</v>
      </c>
      <c r="I637" t="s">
        <v>71</v>
      </c>
      <c r="J637">
        <v>28300</v>
      </c>
      <c r="K637" t="s">
        <v>3</v>
      </c>
      <c r="L637" t="s">
        <v>1760</v>
      </c>
      <c r="M637" t="s">
        <v>3</v>
      </c>
      <c r="N637" t="s">
        <v>74</v>
      </c>
      <c r="O637" s="25" t="s">
        <v>3827</v>
      </c>
      <c r="P637" s="25">
        <v>1</v>
      </c>
      <c r="Q637" s="25">
        <v>28300</v>
      </c>
      <c r="R637" s="25" t="s">
        <v>26</v>
      </c>
      <c r="S637" s="25" t="s">
        <v>26</v>
      </c>
      <c r="T637" s="25">
        <f t="shared" si="9"/>
        <v>28300</v>
      </c>
    </row>
    <row r="638" spans="1:20">
      <c r="A638" t="s">
        <v>1761</v>
      </c>
      <c r="B638">
        <v>45880</v>
      </c>
      <c r="C638" t="s">
        <v>93</v>
      </c>
      <c r="D638" t="s">
        <v>94</v>
      </c>
      <c r="E638" t="s">
        <v>160</v>
      </c>
      <c r="F638">
        <v>4000</v>
      </c>
      <c r="G638" t="s">
        <v>25</v>
      </c>
      <c r="H638" t="s">
        <v>1762</v>
      </c>
      <c r="I638" t="s">
        <v>71</v>
      </c>
      <c r="J638">
        <v>28800</v>
      </c>
      <c r="K638" t="s">
        <v>3</v>
      </c>
      <c r="L638" t="s">
        <v>1763</v>
      </c>
      <c r="M638" t="s">
        <v>3</v>
      </c>
      <c r="N638" t="s">
        <v>74</v>
      </c>
      <c r="O638" s="25" t="s">
        <v>3827</v>
      </c>
      <c r="P638" s="25">
        <v>1</v>
      </c>
      <c r="Q638" s="25">
        <v>28800</v>
      </c>
      <c r="R638" s="25" t="s">
        <v>26</v>
      </c>
      <c r="S638" s="25" t="s">
        <v>26</v>
      </c>
      <c r="T638" s="25">
        <f t="shared" si="9"/>
        <v>28800</v>
      </c>
    </row>
    <row r="639" spans="1:20">
      <c r="A639" t="s">
        <v>1764</v>
      </c>
      <c r="B639">
        <v>45880</v>
      </c>
      <c r="C639" t="s">
        <v>93</v>
      </c>
      <c r="D639" t="s">
        <v>94</v>
      </c>
      <c r="E639" t="s">
        <v>107</v>
      </c>
      <c r="F639">
        <v>4000</v>
      </c>
      <c r="G639" t="s">
        <v>25</v>
      </c>
      <c r="H639" t="s">
        <v>1765</v>
      </c>
      <c r="I639" t="s">
        <v>71</v>
      </c>
      <c r="J639">
        <v>32300</v>
      </c>
      <c r="K639" t="s">
        <v>3</v>
      </c>
      <c r="L639" t="s">
        <v>1766</v>
      </c>
      <c r="M639" t="s">
        <v>3</v>
      </c>
      <c r="N639" t="s">
        <v>74</v>
      </c>
      <c r="O639" s="25" t="s">
        <v>3827</v>
      </c>
      <c r="P639" s="25">
        <v>1</v>
      </c>
      <c r="Q639" s="25">
        <v>32300</v>
      </c>
      <c r="R639" s="25" t="s">
        <v>26</v>
      </c>
      <c r="S639" s="25" t="s">
        <v>26</v>
      </c>
      <c r="T639" s="25">
        <f t="shared" si="9"/>
        <v>32300</v>
      </c>
    </row>
    <row r="640" spans="1:20">
      <c r="A640" t="s">
        <v>1767</v>
      </c>
      <c r="B640">
        <v>45880</v>
      </c>
      <c r="C640" t="s">
        <v>93</v>
      </c>
      <c r="D640" t="s">
        <v>111</v>
      </c>
      <c r="E640" t="s">
        <v>112</v>
      </c>
      <c r="F640">
        <v>4000</v>
      </c>
      <c r="G640" t="s">
        <v>25</v>
      </c>
      <c r="H640" t="s">
        <v>1768</v>
      </c>
      <c r="I640" t="s">
        <v>71</v>
      </c>
      <c r="J640">
        <v>51100</v>
      </c>
      <c r="K640" t="s">
        <v>3</v>
      </c>
      <c r="L640" t="s">
        <v>1769</v>
      </c>
      <c r="M640" t="s">
        <v>3</v>
      </c>
      <c r="N640" t="s">
        <v>74</v>
      </c>
      <c r="O640" s="25" t="s">
        <v>3827</v>
      </c>
      <c r="P640" s="25">
        <v>1</v>
      </c>
      <c r="Q640" s="25">
        <v>51100</v>
      </c>
      <c r="R640" s="25" t="s">
        <v>26</v>
      </c>
      <c r="S640" s="25" t="s">
        <v>26</v>
      </c>
      <c r="T640" s="25">
        <f t="shared" si="9"/>
        <v>51100</v>
      </c>
    </row>
    <row r="641" spans="1:20">
      <c r="A641" t="s">
        <v>1770</v>
      </c>
      <c r="B641">
        <v>45880</v>
      </c>
      <c r="C641" t="s">
        <v>93</v>
      </c>
      <c r="D641" t="s">
        <v>111</v>
      </c>
      <c r="E641" t="s">
        <v>116</v>
      </c>
      <c r="F641">
        <v>4000</v>
      </c>
      <c r="G641" t="s">
        <v>25</v>
      </c>
      <c r="H641" t="s">
        <v>1771</v>
      </c>
      <c r="I641" t="s">
        <v>71</v>
      </c>
      <c r="J641">
        <v>52700</v>
      </c>
      <c r="K641" t="s">
        <v>3</v>
      </c>
      <c r="L641" t="s">
        <v>1769</v>
      </c>
      <c r="M641" t="s">
        <v>3</v>
      </c>
      <c r="N641" t="s">
        <v>74</v>
      </c>
      <c r="O641" s="25" t="s">
        <v>3827</v>
      </c>
      <c r="P641" s="25">
        <v>1</v>
      </c>
      <c r="Q641" s="25">
        <v>52700</v>
      </c>
      <c r="R641" s="25" t="s">
        <v>26</v>
      </c>
      <c r="S641" s="25" t="s">
        <v>26</v>
      </c>
      <c r="T641" s="25">
        <f t="shared" si="9"/>
        <v>52700</v>
      </c>
    </row>
    <row r="642" spans="1:20">
      <c r="A642" t="s">
        <v>1772</v>
      </c>
      <c r="B642">
        <v>45880</v>
      </c>
      <c r="C642" t="s">
        <v>93</v>
      </c>
      <c r="D642" t="s">
        <v>111</v>
      </c>
      <c r="E642" t="s">
        <v>119</v>
      </c>
      <c r="F642">
        <v>4000</v>
      </c>
      <c r="G642" t="s">
        <v>25</v>
      </c>
      <c r="H642" t="s">
        <v>1773</v>
      </c>
      <c r="I642" t="s">
        <v>71</v>
      </c>
      <c r="J642">
        <v>53000</v>
      </c>
      <c r="K642" t="s">
        <v>3</v>
      </c>
      <c r="L642" t="s">
        <v>1769</v>
      </c>
      <c r="M642" t="s">
        <v>3</v>
      </c>
      <c r="N642" t="s">
        <v>74</v>
      </c>
      <c r="O642" s="25" t="s">
        <v>3827</v>
      </c>
      <c r="P642" s="25">
        <v>1</v>
      </c>
      <c r="Q642" s="25">
        <v>53000</v>
      </c>
      <c r="R642" s="25" t="s">
        <v>26</v>
      </c>
      <c r="S642" s="25" t="s">
        <v>26</v>
      </c>
      <c r="T642" s="25">
        <f t="shared" ref="T642:T705" si="10">IF(AND(S642="Revenue",G642&lt;&gt;"Refunds &amp; Chargebacks"),ABS(Q642),-ABS(Q642))</f>
        <v>53000</v>
      </c>
    </row>
    <row r="643" spans="1:20">
      <c r="A643" t="s">
        <v>1774</v>
      </c>
      <c r="B643">
        <v>45880</v>
      </c>
      <c r="C643" t="s">
        <v>93</v>
      </c>
      <c r="D643" t="s">
        <v>111</v>
      </c>
      <c r="E643" t="s">
        <v>170</v>
      </c>
      <c r="F643">
        <v>4000</v>
      </c>
      <c r="G643" t="s">
        <v>25</v>
      </c>
      <c r="H643" t="s">
        <v>1775</v>
      </c>
      <c r="I643" t="s">
        <v>71</v>
      </c>
      <c r="J643">
        <v>52000</v>
      </c>
      <c r="K643" t="s">
        <v>3</v>
      </c>
      <c r="L643" t="s">
        <v>1769</v>
      </c>
      <c r="M643" t="s">
        <v>3</v>
      </c>
      <c r="N643" t="s">
        <v>74</v>
      </c>
      <c r="O643" s="25" t="s">
        <v>3827</v>
      </c>
      <c r="P643" s="25">
        <v>1</v>
      </c>
      <c r="Q643" s="25">
        <v>52000</v>
      </c>
      <c r="R643" s="25" t="s">
        <v>26</v>
      </c>
      <c r="S643" s="25" t="s">
        <v>26</v>
      </c>
      <c r="T643" s="25">
        <f t="shared" si="10"/>
        <v>52000</v>
      </c>
    </row>
    <row r="644" spans="1:20">
      <c r="A644" t="s">
        <v>1776</v>
      </c>
      <c r="B644">
        <v>45880</v>
      </c>
      <c r="C644" t="s">
        <v>93</v>
      </c>
      <c r="D644" t="s">
        <v>111</v>
      </c>
      <c r="E644" t="s">
        <v>122</v>
      </c>
      <c r="F644">
        <v>4000</v>
      </c>
      <c r="G644" t="s">
        <v>25</v>
      </c>
      <c r="H644" t="s">
        <v>1777</v>
      </c>
      <c r="I644" t="s">
        <v>71</v>
      </c>
      <c r="J644">
        <v>49900</v>
      </c>
      <c r="K644" t="s">
        <v>3</v>
      </c>
      <c r="L644" t="s">
        <v>1778</v>
      </c>
      <c r="M644" t="s">
        <v>3</v>
      </c>
      <c r="N644" t="s">
        <v>74</v>
      </c>
      <c r="O644" s="25" t="s">
        <v>3827</v>
      </c>
      <c r="P644" s="25">
        <v>1</v>
      </c>
      <c r="Q644" s="25">
        <v>49900</v>
      </c>
      <c r="R644" s="25" t="s">
        <v>26</v>
      </c>
      <c r="S644" s="25" t="s">
        <v>26</v>
      </c>
      <c r="T644" s="25">
        <f t="shared" si="10"/>
        <v>49900</v>
      </c>
    </row>
    <row r="645" spans="1:20">
      <c r="A645" t="s">
        <v>1779</v>
      </c>
      <c r="B645">
        <v>45880</v>
      </c>
      <c r="C645" t="s">
        <v>126</v>
      </c>
      <c r="D645" t="s">
        <v>88</v>
      </c>
      <c r="E645" t="s">
        <v>132</v>
      </c>
      <c r="F645">
        <v>4020</v>
      </c>
      <c r="G645" t="s">
        <v>30</v>
      </c>
      <c r="H645" t="s">
        <v>1780</v>
      </c>
      <c r="I645" t="s">
        <v>71</v>
      </c>
      <c r="J645">
        <v>51100</v>
      </c>
      <c r="K645" t="s">
        <v>134</v>
      </c>
      <c r="L645" t="s">
        <v>1781</v>
      </c>
      <c r="M645" t="s">
        <v>3</v>
      </c>
      <c r="N645" t="s">
        <v>74</v>
      </c>
      <c r="O645" s="25" t="s">
        <v>3827</v>
      </c>
      <c r="P645" s="25">
        <v>1</v>
      </c>
      <c r="Q645" s="25">
        <v>51100</v>
      </c>
      <c r="R645" s="25" t="s">
        <v>26</v>
      </c>
      <c r="S645" s="25" t="s">
        <v>26</v>
      </c>
      <c r="T645" s="25">
        <f t="shared" si="10"/>
        <v>51100</v>
      </c>
    </row>
    <row r="646" spans="1:20">
      <c r="A646" t="s">
        <v>1782</v>
      </c>
      <c r="B646">
        <v>45880</v>
      </c>
      <c r="C646" t="s">
        <v>126</v>
      </c>
      <c r="D646" t="s">
        <v>88</v>
      </c>
      <c r="E646" t="s">
        <v>136</v>
      </c>
      <c r="F646">
        <v>4020</v>
      </c>
      <c r="G646" t="s">
        <v>30</v>
      </c>
      <c r="H646" t="s">
        <v>1783</v>
      </c>
      <c r="I646" t="s">
        <v>72</v>
      </c>
      <c r="J646">
        <v>27.35</v>
      </c>
      <c r="K646" t="s">
        <v>138</v>
      </c>
      <c r="L646" t="s">
        <v>1781</v>
      </c>
      <c r="M646" t="s">
        <v>3</v>
      </c>
      <c r="N646" t="s">
        <v>74</v>
      </c>
      <c r="O646" s="25" t="s">
        <v>3828</v>
      </c>
      <c r="P646" s="25">
        <v>1572</v>
      </c>
      <c r="Q646" s="25">
        <v>42994.200000000004</v>
      </c>
      <c r="R646" s="25" t="s">
        <v>26</v>
      </c>
      <c r="S646" s="25" t="s">
        <v>26</v>
      </c>
      <c r="T646" s="25">
        <f t="shared" si="10"/>
        <v>42994.200000000004</v>
      </c>
    </row>
    <row r="647" spans="1:20">
      <c r="A647" t="s">
        <v>1784</v>
      </c>
      <c r="B647">
        <v>45880</v>
      </c>
      <c r="C647" t="s">
        <v>93</v>
      </c>
      <c r="D647" t="s">
        <v>111</v>
      </c>
      <c r="E647" t="s">
        <v>112</v>
      </c>
      <c r="F647">
        <v>4900</v>
      </c>
      <c r="G647" t="s">
        <v>32</v>
      </c>
      <c r="H647" t="s">
        <v>1785</v>
      </c>
      <c r="I647" t="s">
        <v>71</v>
      </c>
      <c r="J647">
        <v>-86014</v>
      </c>
      <c r="K647" t="s">
        <v>3</v>
      </c>
      <c r="L647" t="s">
        <v>1786</v>
      </c>
      <c r="M647" t="s">
        <v>3</v>
      </c>
      <c r="N647" t="s">
        <v>74</v>
      </c>
      <c r="O647" s="25" t="s">
        <v>3827</v>
      </c>
      <c r="P647" s="25">
        <v>1</v>
      </c>
      <c r="Q647" s="25">
        <v>-86014</v>
      </c>
      <c r="R647" s="25" t="s">
        <v>26</v>
      </c>
      <c r="S647" s="25" t="s">
        <v>26</v>
      </c>
      <c r="T647" s="25">
        <f t="shared" si="10"/>
        <v>-86014</v>
      </c>
    </row>
    <row r="648" spans="1:20">
      <c r="A648" t="s">
        <v>1787</v>
      </c>
      <c r="B648">
        <v>45880</v>
      </c>
      <c r="C648" t="s">
        <v>87</v>
      </c>
      <c r="D648" t="s">
        <v>94</v>
      </c>
      <c r="E648" t="s">
        <v>3</v>
      </c>
      <c r="F648">
        <v>5020</v>
      </c>
      <c r="G648" t="s">
        <v>39</v>
      </c>
      <c r="H648" t="s">
        <v>1423</v>
      </c>
      <c r="I648" t="s">
        <v>71</v>
      </c>
      <c r="J648">
        <v>-172000</v>
      </c>
      <c r="K648" t="s">
        <v>276</v>
      </c>
      <c r="L648" t="s">
        <v>1788</v>
      </c>
      <c r="M648" t="s">
        <v>3</v>
      </c>
      <c r="N648" t="s">
        <v>74</v>
      </c>
      <c r="O648" s="25" t="s">
        <v>3827</v>
      </c>
      <c r="P648" s="25">
        <v>1</v>
      </c>
      <c r="Q648" s="25">
        <v>-172000</v>
      </c>
      <c r="R648" s="25" t="s">
        <v>35</v>
      </c>
      <c r="S648" s="25" t="s">
        <v>35</v>
      </c>
      <c r="T648" s="25">
        <f t="shared" si="10"/>
        <v>-172000</v>
      </c>
    </row>
    <row r="649" spans="1:20">
      <c r="A649" t="s">
        <v>1789</v>
      </c>
      <c r="B649">
        <v>45880</v>
      </c>
      <c r="C649" t="s">
        <v>87</v>
      </c>
      <c r="D649" t="s">
        <v>94</v>
      </c>
      <c r="E649" t="s">
        <v>3</v>
      </c>
      <c r="F649">
        <v>5020</v>
      </c>
      <c r="G649" t="s">
        <v>39</v>
      </c>
      <c r="H649" t="s">
        <v>1423</v>
      </c>
      <c r="I649" t="s">
        <v>71</v>
      </c>
      <c r="J649">
        <v>-132000</v>
      </c>
      <c r="K649" t="s">
        <v>276</v>
      </c>
      <c r="L649" t="s">
        <v>1790</v>
      </c>
      <c r="M649" t="s">
        <v>3</v>
      </c>
      <c r="N649" t="s">
        <v>74</v>
      </c>
      <c r="O649" s="25" t="s">
        <v>3827</v>
      </c>
      <c r="P649" s="25">
        <v>1</v>
      </c>
      <c r="Q649" s="25">
        <v>-132000</v>
      </c>
      <c r="R649" s="25" t="s">
        <v>35</v>
      </c>
      <c r="S649" s="25" t="s">
        <v>35</v>
      </c>
      <c r="T649" s="25">
        <f t="shared" si="10"/>
        <v>-132000</v>
      </c>
    </row>
    <row r="650" spans="1:20">
      <c r="A650" t="s">
        <v>1791</v>
      </c>
      <c r="B650">
        <v>45880</v>
      </c>
      <c r="C650" t="s">
        <v>87</v>
      </c>
      <c r="D650" t="s">
        <v>111</v>
      </c>
      <c r="E650" t="s">
        <v>3</v>
      </c>
      <c r="F650">
        <v>5010</v>
      </c>
      <c r="G650" t="s">
        <v>37</v>
      </c>
      <c r="H650" t="s">
        <v>1792</v>
      </c>
      <c r="I650" t="s">
        <v>71</v>
      </c>
      <c r="J650">
        <v>-641000</v>
      </c>
      <c r="K650" t="s">
        <v>195</v>
      </c>
      <c r="L650" t="s">
        <v>1793</v>
      </c>
      <c r="M650" t="s">
        <v>3</v>
      </c>
      <c r="N650" t="s">
        <v>74</v>
      </c>
      <c r="O650" s="25" t="s">
        <v>3827</v>
      </c>
      <c r="P650" s="25">
        <v>1</v>
      </c>
      <c r="Q650" s="25">
        <v>-641000</v>
      </c>
      <c r="R650" s="25" t="s">
        <v>35</v>
      </c>
      <c r="S650" s="25" t="s">
        <v>35</v>
      </c>
      <c r="T650" s="25">
        <f t="shared" si="10"/>
        <v>-641000</v>
      </c>
    </row>
    <row r="651" spans="1:20">
      <c r="A651" t="s">
        <v>1794</v>
      </c>
      <c r="B651">
        <v>45881</v>
      </c>
      <c r="C651" t="s">
        <v>93</v>
      </c>
      <c r="D651" t="s">
        <v>94</v>
      </c>
      <c r="E651" t="s">
        <v>95</v>
      </c>
      <c r="F651">
        <v>4000</v>
      </c>
      <c r="G651" t="s">
        <v>25</v>
      </c>
      <c r="H651" t="s">
        <v>1795</v>
      </c>
      <c r="I651" t="s">
        <v>71</v>
      </c>
      <c r="J651">
        <v>30900</v>
      </c>
      <c r="K651" t="s">
        <v>3</v>
      </c>
      <c r="L651" t="s">
        <v>1796</v>
      </c>
      <c r="M651" t="s">
        <v>3</v>
      </c>
      <c r="N651" t="s">
        <v>74</v>
      </c>
      <c r="O651" s="25" t="s">
        <v>3827</v>
      </c>
      <c r="P651" s="25">
        <v>1</v>
      </c>
      <c r="Q651" s="25">
        <v>30900</v>
      </c>
      <c r="R651" s="25" t="s">
        <v>26</v>
      </c>
      <c r="S651" s="25" t="s">
        <v>26</v>
      </c>
      <c r="T651" s="25">
        <f t="shared" si="10"/>
        <v>30900</v>
      </c>
    </row>
    <row r="652" spans="1:20">
      <c r="A652" t="s">
        <v>1797</v>
      </c>
      <c r="B652">
        <v>45881</v>
      </c>
      <c r="C652" t="s">
        <v>93</v>
      </c>
      <c r="D652" t="s">
        <v>94</v>
      </c>
      <c r="E652" t="s">
        <v>99</v>
      </c>
      <c r="F652">
        <v>4000</v>
      </c>
      <c r="G652" t="s">
        <v>25</v>
      </c>
      <c r="H652" t="s">
        <v>1798</v>
      </c>
      <c r="I652" t="s">
        <v>71</v>
      </c>
      <c r="J652">
        <v>30600</v>
      </c>
      <c r="K652" t="s">
        <v>3</v>
      </c>
      <c r="L652" t="s">
        <v>1799</v>
      </c>
      <c r="M652" t="s">
        <v>3</v>
      </c>
      <c r="N652" t="s">
        <v>74</v>
      </c>
      <c r="O652" s="25" t="s">
        <v>3827</v>
      </c>
      <c r="P652" s="25">
        <v>1</v>
      </c>
      <c r="Q652" s="25">
        <v>30600</v>
      </c>
      <c r="R652" s="25" t="s">
        <v>26</v>
      </c>
      <c r="S652" s="25" t="s">
        <v>26</v>
      </c>
      <c r="T652" s="25">
        <f t="shared" si="10"/>
        <v>30600</v>
      </c>
    </row>
    <row r="653" spans="1:20">
      <c r="A653" t="s">
        <v>1800</v>
      </c>
      <c r="B653">
        <v>45881</v>
      </c>
      <c r="C653" t="s">
        <v>93</v>
      </c>
      <c r="D653" t="s">
        <v>94</v>
      </c>
      <c r="E653" t="s">
        <v>103</v>
      </c>
      <c r="F653">
        <v>4000</v>
      </c>
      <c r="G653" t="s">
        <v>25</v>
      </c>
      <c r="H653" t="s">
        <v>1801</v>
      </c>
      <c r="I653" t="s">
        <v>71</v>
      </c>
      <c r="J653">
        <v>28600</v>
      </c>
      <c r="K653" t="s">
        <v>3</v>
      </c>
      <c r="L653" t="s">
        <v>1802</v>
      </c>
      <c r="M653" t="s">
        <v>3</v>
      </c>
      <c r="N653" t="s">
        <v>74</v>
      </c>
      <c r="O653" s="25" t="s">
        <v>3827</v>
      </c>
      <c r="P653" s="25">
        <v>1</v>
      </c>
      <c r="Q653" s="25">
        <v>28600</v>
      </c>
      <c r="R653" s="25" t="s">
        <v>26</v>
      </c>
      <c r="S653" s="25" t="s">
        <v>26</v>
      </c>
      <c r="T653" s="25">
        <f t="shared" si="10"/>
        <v>28600</v>
      </c>
    </row>
    <row r="654" spans="1:20">
      <c r="A654" t="s">
        <v>1803</v>
      </c>
      <c r="B654">
        <v>45881</v>
      </c>
      <c r="C654" t="s">
        <v>93</v>
      </c>
      <c r="D654" t="s">
        <v>94</v>
      </c>
      <c r="E654" t="s">
        <v>160</v>
      </c>
      <c r="F654">
        <v>4000</v>
      </c>
      <c r="G654" t="s">
        <v>25</v>
      </c>
      <c r="H654" t="s">
        <v>1804</v>
      </c>
      <c r="I654" t="s">
        <v>71</v>
      </c>
      <c r="J654">
        <v>28100</v>
      </c>
      <c r="K654" t="s">
        <v>3</v>
      </c>
      <c r="L654" t="s">
        <v>1802</v>
      </c>
      <c r="M654" t="s">
        <v>3</v>
      </c>
      <c r="N654" t="s">
        <v>74</v>
      </c>
      <c r="O654" s="25" t="s">
        <v>3827</v>
      </c>
      <c r="P654" s="25">
        <v>1</v>
      </c>
      <c r="Q654" s="25">
        <v>28100</v>
      </c>
      <c r="R654" s="25" t="s">
        <v>26</v>
      </c>
      <c r="S654" s="25" t="s">
        <v>26</v>
      </c>
      <c r="T654" s="25">
        <f t="shared" si="10"/>
        <v>28100</v>
      </c>
    </row>
    <row r="655" spans="1:20">
      <c r="A655" t="s">
        <v>1805</v>
      </c>
      <c r="B655">
        <v>45881</v>
      </c>
      <c r="C655" t="s">
        <v>93</v>
      </c>
      <c r="D655" t="s">
        <v>94</v>
      </c>
      <c r="E655" t="s">
        <v>107</v>
      </c>
      <c r="F655">
        <v>4000</v>
      </c>
      <c r="G655" t="s">
        <v>25</v>
      </c>
      <c r="H655" t="s">
        <v>1806</v>
      </c>
      <c r="I655" t="s">
        <v>71</v>
      </c>
      <c r="J655">
        <v>28200</v>
      </c>
      <c r="K655" t="s">
        <v>3</v>
      </c>
      <c r="L655" t="s">
        <v>1807</v>
      </c>
      <c r="M655" t="s">
        <v>3</v>
      </c>
      <c r="N655" t="s">
        <v>74</v>
      </c>
      <c r="O655" s="25" t="s">
        <v>3827</v>
      </c>
      <c r="P655" s="25">
        <v>1</v>
      </c>
      <c r="Q655" s="25">
        <v>28200</v>
      </c>
      <c r="R655" s="25" t="s">
        <v>26</v>
      </c>
      <c r="S655" s="25" t="s">
        <v>26</v>
      </c>
      <c r="T655" s="25">
        <f t="shared" si="10"/>
        <v>28200</v>
      </c>
    </row>
    <row r="656" spans="1:20">
      <c r="A656" t="s">
        <v>1808</v>
      </c>
      <c r="B656">
        <v>45881</v>
      </c>
      <c r="C656" t="s">
        <v>93</v>
      </c>
      <c r="D656" t="s">
        <v>111</v>
      </c>
      <c r="E656" t="s">
        <v>112</v>
      </c>
      <c r="F656">
        <v>4000</v>
      </c>
      <c r="G656" t="s">
        <v>25</v>
      </c>
      <c r="H656" t="s">
        <v>1809</v>
      </c>
      <c r="I656" t="s">
        <v>71</v>
      </c>
      <c r="J656">
        <v>53100</v>
      </c>
      <c r="K656" t="s">
        <v>3</v>
      </c>
      <c r="L656" t="s">
        <v>1810</v>
      </c>
      <c r="M656" t="s">
        <v>3</v>
      </c>
      <c r="N656" t="s">
        <v>74</v>
      </c>
      <c r="O656" s="25" t="s">
        <v>3827</v>
      </c>
      <c r="P656" s="25">
        <v>1</v>
      </c>
      <c r="Q656" s="25">
        <v>53100</v>
      </c>
      <c r="R656" s="25" t="s">
        <v>26</v>
      </c>
      <c r="S656" s="25" t="s">
        <v>26</v>
      </c>
      <c r="T656" s="25">
        <f t="shared" si="10"/>
        <v>53100</v>
      </c>
    </row>
    <row r="657" spans="1:20">
      <c r="A657" t="s">
        <v>1811</v>
      </c>
      <c r="B657">
        <v>45881</v>
      </c>
      <c r="C657" t="s">
        <v>93</v>
      </c>
      <c r="D657" t="s">
        <v>111</v>
      </c>
      <c r="E657" t="s">
        <v>116</v>
      </c>
      <c r="F657">
        <v>4000</v>
      </c>
      <c r="G657" t="s">
        <v>25</v>
      </c>
      <c r="H657" t="s">
        <v>1812</v>
      </c>
      <c r="I657" t="s">
        <v>71</v>
      </c>
      <c r="J657">
        <v>51500</v>
      </c>
      <c r="K657" t="s">
        <v>3</v>
      </c>
      <c r="L657" t="s">
        <v>1810</v>
      </c>
      <c r="M657" t="s">
        <v>3</v>
      </c>
      <c r="N657" t="s">
        <v>74</v>
      </c>
      <c r="O657" s="25" t="s">
        <v>3827</v>
      </c>
      <c r="P657" s="25">
        <v>1</v>
      </c>
      <c r="Q657" s="25">
        <v>51500</v>
      </c>
      <c r="R657" s="25" t="s">
        <v>26</v>
      </c>
      <c r="S657" s="25" t="s">
        <v>26</v>
      </c>
      <c r="T657" s="25">
        <f t="shared" si="10"/>
        <v>51500</v>
      </c>
    </row>
    <row r="658" spans="1:20">
      <c r="A658" t="s">
        <v>1813</v>
      </c>
      <c r="B658">
        <v>45881</v>
      </c>
      <c r="C658" t="s">
        <v>93</v>
      </c>
      <c r="D658" t="s">
        <v>111</v>
      </c>
      <c r="E658" t="s">
        <v>119</v>
      </c>
      <c r="F658">
        <v>4000</v>
      </c>
      <c r="G658" t="s">
        <v>25</v>
      </c>
      <c r="H658" t="s">
        <v>1814</v>
      </c>
      <c r="I658" t="s">
        <v>71</v>
      </c>
      <c r="J658">
        <v>49700</v>
      </c>
      <c r="K658" t="s">
        <v>3</v>
      </c>
      <c r="L658" t="s">
        <v>1810</v>
      </c>
      <c r="M658" t="s">
        <v>3</v>
      </c>
      <c r="N658" t="s">
        <v>74</v>
      </c>
      <c r="O658" s="25" t="s">
        <v>3827</v>
      </c>
      <c r="P658" s="25">
        <v>1</v>
      </c>
      <c r="Q658" s="25">
        <v>49700</v>
      </c>
      <c r="R658" s="25" t="s">
        <v>26</v>
      </c>
      <c r="S658" s="25" t="s">
        <v>26</v>
      </c>
      <c r="T658" s="25">
        <f t="shared" si="10"/>
        <v>49700</v>
      </c>
    </row>
    <row r="659" spans="1:20">
      <c r="A659" t="s">
        <v>1815</v>
      </c>
      <c r="B659">
        <v>45881</v>
      </c>
      <c r="C659" t="s">
        <v>93</v>
      </c>
      <c r="D659" t="s">
        <v>111</v>
      </c>
      <c r="E659" t="s">
        <v>170</v>
      </c>
      <c r="F659">
        <v>4000</v>
      </c>
      <c r="G659" t="s">
        <v>25</v>
      </c>
      <c r="H659" t="s">
        <v>1816</v>
      </c>
      <c r="I659" t="s">
        <v>71</v>
      </c>
      <c r="J659">
        <v>51000</v>
      </c>
      <c r="K659" t="s">
        <v>3</v>
      </c>
      <c r="L659" t="s">
        <v>1810</v>
      </c>
      <c r="M659" t="s">
        <v>3</v>
      </c>
      <c r="N659" t="s">
        <v>74</v>
      </c>
      <c r="O659" s="25" t="s">
        <v>3827</v>
      </c>
      <c r="P659" s="25">
        <v>1</v>
      </c>
      <c r="Q659" s="25">
        <v>51000</v>
      </c>
      <c r="R659" s="25" t="s">
        <v>26</v>
      </c>
      <c r="S659" s="25" t="s">
        <v>26</v>
      </c>
      <c r="T659" s="25">
        <f t="shared" si="10"/>
        <v>51000</v>
      </c>
    </row>
    <row r="660" spans="1:20">
      <c r="A660" t="s">
        <v>1817</v>
      </c>
      <c r="B660">
        <v>45881</v>
      </c>
      <c r="C660" t="s">
        <v>126</v>
      </c>
      <c r="D660" t="s">
        <v>88</v>
      </c>
      <c r="E660" t="s">
        <v>127</v>
      </c>
      <c r="F660">
        <v>4020</v>
      </c>
      <c r="G660" t="s">
        <v>30</v>
      </c>
      <c r="H660" t="s">
        <v>1818</v>
      </c>
      <c r="I660" t="s">
        <v>71</v>
      </c>
      <c r="J660">
        <v>49100</v>
      </c>
      <c r="K660" t="s">
        <v>129</v>
      </c>
      <c r="L660" t="s">
        <v>1819</v>
      </c>
      <c r="M660" t="s">
        <v>3</v>
      </c>
      <c r="N660" t="s">
        <v>74</v>
      </c>
      <c r="O660" s="25" t="s">
        <v>3827</v>
      </c>
      <c r="P660" s="25">
        <v>1</v>
      </c>
      <c r="Q660" s="25">
        <v>49100</v>
      </c>
      <c r="R660" s="25" t="s">
        <v>26</v>
      </c>
      <c r="S660" s="25" t="s">
        <v>26</v>
      </c>
      <c r="T660" s="25">
        <f t="shared" si="10"/>
        <v>49100</v>
      </c>
    </row>
    <row r="661" spans="1:20">
      <c r="A661" t="s">
        <v>1820</v>
      </c>
      <c r="B661">
        <v>45881</v>
      </c>
      <c r="C661" t="s">
        <v>126</v>
      </c>
      <c r="D661" t="s">
        <v>88</v>
      </c>
      <c r="E661" t="s">
        <v>132</v>
      </c>
      <c r="F661">
        <v>4020</v>
      </c>
      <c r="G661" t="s">
        <v>30</v>
      </c>
      <c r="H661" t="s">
        <v>1821</v>
      </c>
      <c r="I661" t="s">
        <v>71</v>
      </c>
      <c r="J661">
        <v>55000</v>
      </c>
      <c r="K661" t="s">
        <v>134</v>
      </c>
      <c r="L661" t="s">
        <v>1819</v>
      </c>
      <c r="M661" t="s">
        <v>3</v>
      </c>
      <c r="N661" t="s">
        <v>74</v>
      </c>
      <c r="O661" s="25" t="s">
        <v>3827</v>
      </c>
      <c r="P661" s="25">
        <v>1</v>
      </c>
      <c r="Q661" s="25">
        <v>55000</v>
      </c>
      <c r="R661" s="25" t="s">
        <v>26</v>
      </c>
      <c r="S661" s="25" t="s">
        <v>26</v>
      </c>
      <c r="T661" s="25">
        <f t="shared" si="10"/>
        <v>55000</v>
      </c>
    </row>
    <row r="662" spans="1:20">
      <c r="A662" t="s">
        <v>1822</v>
      </c>
      <c r="B662">
        <v>45881</v>
      </c>
      <c r="C662" t="s">
        <v>126</v>
      </c>
      <c r="D662" t="s">
        <v>88</v>
      </c>
      <c r="E662" t="s">
        <v>136</v>
      </c>
      <c r="F662">
        <v>4020</v>
      </c>
      <c r="G662" t="s">
        <v>30</v>
      </c>
      <c r="H662" t="s">
        <v>1823</v>
      </c>
      <c r="I662" t="s">
        <v>71</v>
      </c>
      <c r="J662">
        <v>45100</v>
      </c>
      <c r="K662" t="s">
        <v>138</v>
      </c>
      <c r="L662" t="s">
        <v>1819</v>
      </c>
      <c r="M662" t="s">
        <v>3</v>
      </c>
      <c r="N662" t="s">
        <v>74</v>
      </c>
      <c r="O662" s="25" t="s">
        <v>3827</v>
      </c>
      <c r="P662" s="25">
        <v>1</v>
      </c>
      <c r="Q662" s="25">
        <v>45100</v>
      </c>
      <c r="R662" s="25" t="s">
        <v>26</v>
      </c>
      <c r="S662" s="25" t="s">
        <v>26</v>
      </c>
      <c r="T662" s="25">
        <f t="shared" si="10"/>
        <v>45100</v>
      </c>
    </row>
    <row r="663" spans="1:20">
      <c r="A663" t="s">
        <v>1824</v>
      </c>
      <c r="B663">
        <v>45881</v>
      </c>
      <c r="C663" t="s">
        <v>126</v>
      </c>
      <c r="D663" t="s">
        <v>88</v>
      </c>
      <c r="E663" t="s">
        <v>140</v>
      </c>
      <c r="F663">
        <v>4020</v>
      </c>
      <c r="G663" t="s">
        <v>30</v>
      </c>
      <c r="H663" t="s">
        <v>1825</v>
      </c>
      <c r="I663" t="s">
        <v>71</v>
      </c>
      <c r="J663">
        <v>54000</v>
      </c>
      <c r="K663" t="s">
        <v>3</v>
      </c>
      <c r="L663" t="s">
        <v>1826</v>
      </c>
      <c r="M663" t="s">
        <v>3</v>
      </c>
      <c r="N663" t="s">
        <v>74</v>
      </c>
      <c r="O663" s="25" t="s">
        <v>3827</v>
      </c>
      <c r="P663" s="25">
        <v>1</v>
      </c>
      <c r="Q663" s="25">
        <v>54000</v>
      </c>
      <c r="R663" s="25" t="s">
        <v>26</v>
      </c>
      <c r="S663" s="25" t="s">
        <v>26</v>
      </c>
      <c r="T663" s="25">
        <f t="shared" si="10"/>
        <v>54000</v>
      </c>
    </row>
    <row r="664" spans="1:20">
      <c r="A664" t="s">
        <v>1827</v>
      </c>
      <c r="B664">
        <v>45881</v>
      </c>
      <c r="C664" t="s">
        <v>87</v>
      </c>
      <c r="D664" t="s">
        <v>94</v>
      </c>
      <c r="E664" t="s">
        <v>3</v>
      </c>
      <c r="F664">
        <v>5050</v>
      </c>
      <c r="G664" t="s">
        <v>45</v>
      </c>
      <c r="H664" t="s">
        <v>1711</v>
      </c>
      <c r="I664" t="s">
        <v>71</v>
      </c>
      <c r="J664">
        <v>-165000</v>
      </c>
      <c r="K664" t="s">
        <v>191</v>
      </c>
      <c r="L664" t="s">
        <v>1828</v>
      </c>
      <c r="M664" t="s">
        <v>3</v>
      </c>
      <c r="N664" t="s">
        <v>74</v>
      </c>
      <c r="O664" s="25" t="s">
        <v>3827</v>
      </c>
      <c r="P664" s="25">
        <v>1</v>
      </c>
      <c r="Q664" s="25">
        <v>-165000</v>
      </c>
      <c r="R664" s="25" t="s">
        <v>35</v>
      </c>
      <c r="S664" s="25" t="s">
        <v>35</v>
      </c>
      <c r="T664" s="25">
        <f t="shared" si="10"/>
        <v>-165000</v>
      </c>
    </row>
    <row r="665" spans="1:20">
      <c r="A665" t="s">
        <v>1829</v>
      </c>
      <c r="B665">
        <v>45881</v>
      </c>
      <c r="C665" t="s">
        <v>87</v>
      </c>
      <c r="D665" t="s">
        <v>111</v>
      </c>
      <c r="E665" t="s">
        <v>3</v>
      </c>
      <c r="F665">
        <v>5010</v>
      </c>
      <c r="G665" t="s">
        <v>37</v>
      </c>
      <c r="H665" t="s">
        <v>1792</v>
      </c>
      <c r="I665" t="s">
        <v>71</v>
      </c>
      <c r="J665">
        <v>-787000</v>
      </c>
      <c r="K665" t="s">
        <v>195</v>
      </c>
      <c r="L665" t="s">
        <v>1830</v>
      </c>
      <c r="M665" t="s">
        <v>3</v>
      </c>
      <c r="N665" t="s">
        <v>74</v>
      </c>
      <c r="O665" s="25" t="s">
        <v>3827</v>
      </c>
      <c r="P665" s="25">
        <v>1</v>
      </c>
      <c r="Q665" s="25">
        <v>-787000</v>
      </c>
      <c r="R665" s="25" t="s">
        <v>35</v>
      </c>
      <c r="S665" s="25" t="s">
        <v>35</v>
      </c>
      <c r="T665" s="25">
        <f t="shared" si="10"/>
        <v>-787000</v>
      </c>
    </row>
    <row r="666" spans="1:20">
      <c r="A666" t="s">
        <v>1831</v>
      </c>
      <c r="B666">
        <v>45881</v>
      </c>
      <c r="C666" t="s">
        <v>87</v>
      </c>
      <c r="D666" t="s">
        <v>88</v>
      </c>
      <c r="E666" t="s">
        <v>3</v>
      </c>
      <c r="F666">
        <v>5030</v>
      </c>
      <c r="G666" t="s">
        <v>41</v>
      </c>
      <c r="H666" t="s">
        <v>1428</v>
      </c>
      <c r="I666" t="s">
        <v>71</v>
      </c>
      <c r="J666">
        <v>-494000</v>
      </c>
      <c r="K666" t="s">
        <v>90</v>
      </c>
      <c r="L666" t="s">
        <v>1832</v>
      </c>
      <c r="M666" t="s">
        <v>3</v>
      </c>
      <c r="N666" t="s">
        <v>74</v>
      </c>
      <c r="O666" s="25" t="s">
        <v>3827</v>
      </c>
      <c r="P666" s="25">
        <v>1</v>
      </c>
      <c r="Q666" s="25">
        <v>-494000</v>
      </c>
      <c r="R666" s="25" t="s">
        <v>35</v>
      </c>
      <c r="S666" s="25" t="s">
        <v>35</v>
      </c>
      <c r="T666" s="25">
        <f t="shared" si="10"/>
        <v>-494000</v>
      </c>
    </row>
    <row r="667" spans="1:20">
      <c r="A667" t="s">
        <v>1833</v>
      </c>
      <c r="B667">
        <v>45881</v>
      </c>
      <c r="C667" t="s">
        <v>87</v>
      </c>
      <c r="D667" t="s">
        <v>111</v>
      </c>
      <c r="E667" t="s">
        <v>3</v>
      </c>
      <c r="F667">
        <v>6050</v>
      </c>
      <c r="G667" t="s">
        <v>58</v>
      </c>
      <c r="H667" t="s">
        <v>1834</v>
      </c>
      <c r="I667" t="s">
        <v>71</v>
      </c>
      <c r="J667">
        <v>-350000</v>
      </c>
      <c r="K667" t="s">
        <v>595</v>
      </c>
      <c r="L667" t="s">
        <v>1835</v>
      </c>
      <c r="M667" t="s">
        <v>3</v>
      </c>
      <c r="N667" t="s">
        <v>74</v>
      </c>
      <c r="O667" s="25" t="s">
        <v>3827</v>
      </c>
      <c r="P667" s="25">
        <v>1</v>
      </c>
      <c r="Q667" s="25">
        <v>-350000</v>
      </c>
      <c r="R667" s="25" t="s">
        <v>48</v>
      </c>
      <c r="S667" s="25" t="s">
        <v>48</v>
      </c>
      <c r="T667" s="25">
        <f t="shared" si="10"/>
        <v>-350000</v>
      </c>
    </row>
    <row r="668" spans="1:20">
      <c r="A668" t="s">
        <v>1840</v>
      </c>
      <c r="B668">
        <v>45882</v>
      </c>
      <c r="C668" t="s">
        <v>93</v>
      </c>
      <c r="D668" t="s">
        <v>94</v>
      </c>
      <c r="E668" t="s">
        <v>95</v>
      </c>
      <c r="F668">
        <v>4000</v>
      </c>
      <c r="G668" t="s">
        <v>25</v>
      </c>
      <c r="H668" t="s">
        <v>1841</v>
      </c>
      <c r="I668" t="s">
        <v>71</v>
      </c>
      <c r="J668">
        <v>29600</v>
      </c>
      <c r="K668" t="s">
        <v>3</v>
      </c>
      <c r="L668" t="s">
        <v>1842</v>
      </c>
      <c r="M668" t="s">
        <v>3</v>
      </c>
      <c r="N668" t="s">
        <v>74</v>
      </c>
      <c r="O668" s="25" t="s">
        <v>3827</v>
      </c>
      <c r="P668" s="25">
        <v>1</v>
      </c>
      <c r="Q668" s="25">
        <v>29600</v>
      </c>
      <c r="R668" s="25" t="s">
        <v>26</v>
      </c>
      <c r="S668" s="25" t="s">
        <v>26</v>
      </c>
      <c r="T668" s="25">
        <f t="shared" si="10"/>
        <v>29600</v>
      </c>
    </row>
    <row r="669" spans="1:20">
      <c r="A669" t="s">
        <v>1843</v>
      </c>
      <c r="B669">
        <v>45882</v>
      </c>
      <c r="C669" t="s">
        <v>93</v>
      </c>
      <c r="D669" t="s">
        <v>94</v>
      </c>
      <c r="E669" t="s">
        <v>99</v>
      </c>
      <c r="F669">
        <v>4000</v>
      </c>
      <c r="G669" t="s">
        <v>25</v>
      </c>
      <c r="H669" t="s">
        <v>1844</v>
      </c>
      <c r="I669" t="s">
        <v>71</v>
      </c>
      <c r="J669">
        <v>29800</v>
      </c>
      <c r="K669" t="s">
        <v>3</v>
      </c>
      <c r="L669" t="s">
        <v>1845</v>
      </c>
      <c r="M669" t="s">
        <v>3</v>
      </c>
      <c r="N669" t="s">
        <v>74</v>
      </c>
      <c r="O669" s="25" t="s">
        <v>3827</v>
      </c>
      <c r="P669" s="25">
        <v>1</v>
      </c>
      <c r="Q669" s="25">
        <v>29800</v>
      </c>
      <c r="R669" s="25" t="s">
        <v>26</v>
      </c>
      <c r="S669" s="25" t="s">
        <v>26</v>
      </c>
      <c r="T669" s="25">
        <f t="shared" si="10"/>
        <v>29800</v>
      </c>
    </row>
    <row r="670" spans="1:20">
      <c r="A670" t="s">
        <v>1846</v>
      </c>
      <c r="B670">
        <v>45882</v>
      </c>
      <c r="C670" t="s">
        <v>93</v>
      </c>
      <c r="D670" t="s">
        <v>94</v>
      </c>
      <c r="E670" t="s">
        <v>103</v>
      </c>
      <c r="F670">
        <v>4000</v>
      </c>
      <c r="G670" t="s">
        <v>25</v>
      </c>
      <c r="H670" t="s">
        <v>1847</v>
      </c>
      <c r="I670" t="s">
        <v>71</v>
      </c>
      <c r="J670">
        <v>30800</v>
      </c>
      <c r="K670" t="s">
        <v>3</v>
      </c>
      <c r="L670" t="s">
        <v>1848</v>
      </c>
      <c r="M670" t="s">
        <v>3</v>
      </c>
      <c r="N670" t="s">
        <v>74</v>
      </c>
      <c r="O670" s="25" t="s">
        <v>3827</v>
      </c>
      <c r="P670" s="25">
        <v>1</v>
      </c>
      <c r="Q670" s="25">
        <v>30800</v>
      </c>
      <c r="R670" s="25" t="s">
        <v>26</v>
      </c>
      <c r="S670" s="25" t="s">
        <v>26</v>
      </c>
      <c r="T670" s="25">
        <f t="shared" si="10"/>
        <v>30800</v>
      </c>
    </row>
    <row r="671" spans="1:20">
      <c r="A671" t="s">
        <v>1849</v>
      </c>
      <c r="B671">
        <v>45882</v>
      </c>
      <c r="C671" t="s">
        <v>93</v>
      </c>
      <c r="D671" t="s">
        <v>94</v>
      </c>
      <c r="E671" t="s">
        <v>160</v>
      </c>
      <c r="F671">
        <v>4000</v>
      </c>
      <c r="G671" t="s">
        <v>25</v>
      </c>
      <c r="H671" t="s">
        <v>1850</v>
      </c>
      <c r="I671" t="s">
        <v>71</v>
      </c>
      <c r="J671">
        <v>29600</v>
      </c>
      <c r="K671" t="s">
        <v>3</v>
      </c>
      <c r="L671" t="s">
        <v>1848</v>
      </c>
      <c r="M671" t="s">
        <v>3</v>
      </c>
      <c r="N671" t="s">
        <v>74</v>
      </c>
      <c r="O671" s="25" t="s">
        <v>3827</v>
      </c>
      <c r="P671" s="25">
        <v>1</v>
      </c>
      <c r="Q671" s="25">
        <v>29600</v>
      </c>
      <c r="R671" s="25" t="s">
        <v>26</v>
      </c>
      <c r="S671" s="25" t="s">
        <v>26</v>
      </c>
      <c r="T671" s="25">
        <f t="shared" si="10"/>
        <v>29600</v>
      </c>
    </row>
    <row r="672" spans="1:20">
      <c r="A672" t="s">
        <v>1851</v>
      </c>
      <c r="B672">
        <v>45882</v>
      </c>
      <c r="C672" t="s">
        <v>93</v>
      </c>
      <c r="D672" t="s">
        <v>94</v>
      </c>
      <c r="E672" t="s">
        <v>107</v>
      </c>
      <c r="F672">
        <v>4000</v>
      </c>
      <c r="G672" t="s">
        <v>25</v>
      </c>
      <c r="H672" t="s">
        <v>1852</v>
      </c>
      <c r="I672" t="s">
        <v>71</v>
      </c>
      <c r="J672">
        <v>30400</v>
      </c>
      <c r="K672" t="s">
        <v>3</v>
      </c>
      <c r="L672" t="s">
        <v>1853</v>
      </c>
      <c r="M672" t="s">
        <v>3</v>
      </c>
      <c r="N672" t="s">
        <v>74</v>
      </c>
      <c r="O672" s="25" t="s">
        <v>3827</v>
      </c>
      <c r="P672" s="25">
        <v>1</v>
      </c>
      <c r="Q672" s="25">
        <v>30400</v>
      </c>
      <c r="R672" s="25" t="s">
        <v>26</v>
      </c>
      <c r="S672" s="25" t="s">
        <v>26</v>
      </c>
      <c r="T672" s="25">
        <f t="shared" si="10"/>
        <v>30400</v>
      </c>
    </row>
    <row r="673" spans="1:20">
      <c r="A673" t="s">
        <v>1854</v>
      </c>
      <c r="B673">
        <v>45882</v>
      </c>
      <c r="C673" t="s">
        <v>93</v>
      </c>
      <c r="D673" t="s">
        <v>111</v>
      </c>
      <c r="E673" t="s">
        <v>112</v>
      </c>
      <c r="F673">
        <v>4000</v>
      </c>
      <c r="G673" t="s">
        <v>25</v>
      </c>
      <c r="H673" t="s">
        <v>1855</v>
      </c>
      <c r="I673" t="s">
        <v>71</v>
      </c>
      <c r="J673">
        <v>51600</v>
      </c>
      <c r="K673" t="s">
        <v>3</v>
      </c>
      <c r="L673" t="s">
        <v>1856</v>
      </c>
      <c r="M673" t="s">
        <v>3</v>
      </c>
      <c r="N673" t="s">
        <v>74</v>
      </c>
      <c r="O673" s="25" t="s">
        <v>3827</v>
      </c>
      <c r="P673" s="25">
        <v>1</v>
      </c>
      <c r="Q673" s="25">
        <v>51600</v>
      </c>
      <c r="R673" s="25" t="s">
        <v>26</v>
      </c>
      <c r="S673" s="25" t="s">
        <v>26</v>
      </c>
      <c r="T673" s="25">
        <f t="shared" si="10"/>
        <v>51600</v>
      </c>
    </row>
    <row r="674" spans="1:20">
      <c r="A674" t="s">
        <v>1857</v>
      </c>
      <c r="B674">
        <v>45882</v>
      </c>
      <c r="C674" t="s">
        <v>93</v>
      </c>
      <c r="D674" t="s">
        <v>111</v>
      </c>
      <c r="E674" t="s">
        <v>116</v>
      </c>
      <c r="F674">
        <v>4000</v>
      </c>
      <c r="G674" t="s">
        <v>25</v>
      </c>
      <c r="H674" t="s">
        <v>1858</v>
      </c>
      <c r="I674" t="s">
        <v>71</v>
      </c>
      <c r="J674">
        <v>52900</v>
      </c>
      <c r="K674" t="s">
        <v>3</v>
      </c>
      <c r="L674" t="s">
        <v>1856</v>
      </c>
      <c r="M674" t="s">
        <v>3</v>
      </c>
      <c r="N674" t="s">
        <v>74</v>
      </c>
      <c r="O674" s="25" t="s">
        <v>3827</v>
      </c>
      <c r="P674" s="25">
        <v>1</v>
      </c>
      <c r="Q674" s="25">
        <v>52900</v>
      </c>
      <c r="R674" s="25" t="s">
        <v>26</v>
      </c>
      <c r="S674" s="25" t="s">
        <v>26</v>
      </c>
      <c r="T674" s="25">
        <f t="shared" si="10"/>
        <v>52900</v>
      </c>
    </row>
    <row r="675" spans="1:20">
      <c r="A675" t="s">
        <v>1859</v>
      </c>
      <c r="B675">
        <v>45882</v>
      </c>
      <c r="C675" t="s">
        <v>93</v>
      </c>
      <c r="D675" t="s">
        <v>111</v>
      </c>
      <c r="E675" t="s">
        <v>119</v>
      </c>
      <c r="F675">
        <v>4000</v>
      </c>
      <c r="G675" t="s">
        <v>25</v>
      </c>
      <c r="H675" t="s">
        <v>1860</v>
      </c>
      <c r="I675" t="s">
        <v>71</v>
      </c>
      <c r="J675">
        <v>49300</v>
      </c>
      <c r="K675" t="s">
        <v>3</v>
      </c>
      <c r="L675" t="s">
        <v>1856</v>
      </c>
      <c r="M675" t="s">
        <v>3</v>
      </c>
      <c r="N675" t="s">
        <v>74</v>
      </c>
      <c r="O675" s="25" t="s">
        <v>3827</v>
      </c>
      <c r="P675" s="25">
        <v>1</v>
      </c>
      <c r="Q675" s="25">
        <v>49300</v>
      </c>
      <c r="R675" s="25" t="s">
        <v>26</v>
      </c>
      <c r="S675" s="25" t="s">
        <v>26</v>
      </c>
      <c r="T675" s="25">
        <f t="shared" si="10"/>
        <v>49300</v>
      </c>
    </row>
    <row r="676" spans="1:20">
      <c r="A676" t="s">
        <v>1861</v>
      </c>
      <c r="B676">
        <v>45882</v>
      </c>
      <c r="C676" t="s">
        <v>93</v>
      </c>
      <c r="D676" t="s">
        <v>111</v>
      </c>
      <c r="E676" t="s">
        <v>170</v>
      </c>
      <c r="F676">
        <v>4000</v>
      </c>
      <c r="G676" t="s">
        <v>25</v>
      </c>
      <c r="H676" t="s">
        <v>1862</v>
      </c>
      <c r="I676" t="s">
        <v>71</v>
      </c>
      <c r="J676">
        <v>50400</v>
      </c>
      <c r="K676" t="s">
        <v>3</v>
      </c>
      <c r="L676" t="s">
        <v>1856</v>
      </c>
      <c r="M676" t="s">
        <v>3</v>
      </c>
      <c r="N676" t="s">
        <v>74</v>
      </c>
      <c r="O676" s="25" t="s">
        <v>3827</v>
      </c>
      <c r="P676" s="25">
        <v>1</v>
      </c>
      <c r="Q676" s="25">
        <v>50400</v>
      </c>
      <c r="R676" s="25" t="s">
        <v>26</v>
      </c>
      <c r="S676" s="25" t="s">
        <v>26</v>
      </c>
      <c r="T676" s="25">
        <f t="shared" si="10"/>
        <v>50400</v>
      </c>
    </row>
    <row r="677" spans="1:20">
      <c r="A677" t="s">
        <v>1863</v>
      </c>
      <c r="B677">
        <v>45882</v>
      </c>
      <c r="C677" t="s">
        <v>93</v>
      </c>
      <c r="D677" t="s">
        <v>111</v>
      </c>
      <c r="E677" t="s">
        <v>122</v>
      </c>
      <c r="F677">
        <v>4000</v>
      </c>
      <c r="G677" t="s">
        <v>25</v>
      </c>
      <c r="H677" t="s">
        <v>1864</v>
      </c>
      <c r="I677" t="s">
        <v>73</v>
      </c>
      <c r="J677">
        <v>527.27</v>
      </c>
      <c r="K677" t="s">
        <v>3</v>
      </c>
      <c r="L677" t="s">
        <v>1865</v>
      </c>
      <c r="M677" t="s">
        <v>3</v>
      </c>
      <c r="N677" t="s">
        <v>74</v>
      </c>
      <c r="O677" s="25" t="s">
        <v>3829</v>
      </c>
      <c r="P677" s="25">
        <v>99</v>
      </c>
      <c r="Q677" s="25">
        <v>52199.729999999996</v>
      </c>
      <c r="R677" s="25" t="s">
        <v>26</v>
      </c>
      <c r="S677" s="25" t="s">
        <v>26</v>
      </c>
      <c r="T677" s="25">
        <f t="shared" si="10"/>
        <v>52199.729999999996</v>
      </c>
    </row>
    <row r="678" spans="1:20">
      <c r="A678" t="s">
        <v>1866</v>
      </c>
      <c r="B678">
        <v>45882</v>
      </c>
      <c r="C678" t="s">
        <v>126</v>
      </c>
      <c r="D678" t="s">
        <v>88</v>
      </c>
      <c r="E678" t="s">
        <v>127</v>
      </c>
      <c r="F678">
        <v>4020</v>
      </c>
      <c r="G678" t="s">
        <v>30</v>
      </c>
      <c r="H678" t="s">
        <v>1867</v>
      </c>
      <c r="I678" t="s">
        <v>72</v>
      </c>
      <c r="J678">
        <v>34.92</v>
      </c>
      <c r="K678" t="s">
        <v>129</v>
      </c>
      <c r="L678" t="s">
        <v>1868</v>
      </c>
      <c r="M678" t="s">
        <v>3</v>
      </c>
      <c r="N678" t="s">
        <v>74</v>
      </c>
      <c r="O678" s="25" t="s">
        <v>3828</v>
      </c>
      <c r="P678" s="25">
        <v>1572</v>
      </c>
      <c r="Q678" s="25">
        <v>54894.240000000005</v>
      </c>
      <c r="R678" s="25" t="s">
        <v>26</v>
      </c>
      <c r="S678" s="25" t="s">
        <v>26</v>
      </c>
      <c r="T678" s="25">
        <f t="shared" si="10"/>
        <v>54894.240000000005</v>
      </c>
    </row>
    <row r="679" spans="1:20">
      <c r="A679" t="s">
        <v>1869</v>
      </c>
      <c r="B679">
        <v>45882</v>
      </c>
      <c r="C679" t="s">
        <v>126</v>
      </c>
      <c r="D679" t="s">
        <v>88</v>
      </c>
      <c r="E679" t="s">
        <v>132</v>
      </c>
      <c r="F679">
        <v>4020</v>
      </c>
      <c r="G679" t="s">
        <v>30</v>
      </c>
      <c r="H679" t="s">
        <v>1870</v>
      </c>
      <c r="I679" t="s">
        <v>72</v>
      </c>
      <c r="J679">
        <v>32.32</v>
      </c>
      <c r="K679" t="s">
        <v>134</v>
      </c>
      <c r="L679" t="s">
        <v>1868</v>
      </c>
      <c r="M679" t="s">
        <v>3</v>
      </c>
      <c r="N679" t="s">
        <v>74</v>
      </c>
      <c r="O679" s="25" t="s">
        <v>3828</v>
      </c>
      <c r="P679" s="25">
        <v>1572</v>
      </c>
      <c r="Q679" s="25">
        <v>50807.040000000001</v>
      </c>
      <c r="R679" s="25" t="s">
        <v>26</v>
      </c>
      <c r="S679" s="25" t="s">
        <v>26</v>
      </c>
      <c r="T679" s="25">
        <f t="shared" si="10"/>
        <v>50807.040000000001</v>
      </c>
    </row>
    <row r="680" spans="1:20">
      <c r="A680" t="s">
        <v>1871</v>
      </c>
      <c r="B680">
        <v>45882</v>
      </c>
      <c r="C680" t="s">
        <v>126</v>
      </c>
      <c r="D680" t="s">
        <v>88</v>
      </c>
      <c r="E680" t="s">
        <v>136</v>
      </c>
      <c r="F680">
        <v>4020</v>
      </c>
      <c r="G680" t="s">
        <v>30</v>
      </c>
      <c r="H680" t="s">
        <v>1872</v>
      </c>
      <c r="I680" t="s">
        <v>71</v>
      </c>
      <c r="J680">
        <v>54300</v>
      </c>
      <c r="K680" t="s">
        <v>138</v>
      </c>
      <c r="L680" t="s">
        <v>1868</v>
      </c>
      <c r="M680" t="s">
        <v>3</v>
      </c>
      <c r="N680" t="s">
        <v>74</v>
      </c>
      <c r="O680" s="25" t="s">
        <v>3827</v>
      </c>
      <c r="P680" s="25">
        <v>1</v>
      </c>
      <c r="Q680" s="25">
        <v>54300</v>
      </c>
      <c r="R680" s="25" t="s">
        <v>26</v>
      </c>
      <c r="S680" s="25" t="s">
        <v>26</v>
      </c>
      <c r="T680" s="25">
        <f t="shared" si="10"/>
        <v>54300</v>
      </c>
    </row>
    <row r="681" spans="1:20">
      <c r="A681" t="s">
        <v>1873</v>
      </c>
      <c r="B681">
        <v>45882</v>
      </c>
      <c r="C681" t="s">
        <v>126</v>
      </c>
      <c r="D681" t="s">
        <v>88</v>
      </c>
      <c r="E681" t="s">
        <v>140</v>
      </c>
      <c r="F681">
        <v>4020</v>
      </c>
      <c r="G681" t="s">
        <v>30</v>
      </c>
      <c r="H681" t="s">
        <v>1874</v>
      </c>
      <c r="I681" t="s">
        <v>71</v>
      </c>
      <c r="J681">
        <v>47300</v>
      </c>
      <c r="K681" t="s">
        <v>3</v>
      </c>
      <c r="L681" t="s">
        <v>1875</v>
      </c>
      <c r="M681" t="s">
        <v>3</v>
      </c>
      <c r="N681" t="s">
        <v>74</v>
      </c>
      <c r="O681" s="25" t="s">
        <v>3827</v>
      </c>
      <c r="P681" s="25">
        <v>1</v>
      </c>
      <c r="Q681" s="25">
        <v>47300</v>
      </c>
      <c r="R681" s="25" t="s">
        <v>26</v>
      </c>
      <c r="S681" s="25" t="s">
        <v>26</v>
      </c>
      <c r="T681" s="25">
        <f t="shared" si="10"/>
        <v>47300</v>
      </c>
    </row>
    <row r="682" spans="1:20">
      <c r="A682" t="s">
        <v>1876</v>
      </c>
      <c r="B682">
        <v>45882</v>
      </c>
      <c r="C682" t="s">
        <v>87</v>
      </c>
      <c r="D682" t="s">
        <v>94</v>
      </c>
      <c r="E682" t="s">
        <v>3</v>
      </c>
      <c r="F682">
        <v>5000</v>
      </c>
      <c r="G682" t="s">
        <v>34</v>
      </c>
      <c r="H682" t="s">
        <v>1630</v>
      </c>
      <c r="I682" t="s">
        <v>71</v>
      </c>
      <c r="J682">
        <v>-633000</v>
      </c>
      <c r="K682" t="s">
        <v>316</v>
      </c>
      <c r="L682" t="s">
        <v>1877</v>
      </c>
      <c r="M682" t="s">
        <v>3</v>
      </c>
      <c r="N682" t="s">
        <v>74</v>
      </c>
      <c r="O682" s="25" t="s">
        <v>3827</v>
      </c>
      <c r="P682" s="25">
        <v>1</v>
      </c>
      <c r="Q682" s="25">
        <v>-633000</v>
      </c>
      <c r="R682" s="25" t="s">
        <v>35</v>
      </c>
      <c r="S682" s="25" t="s">
        <v>35</v>
      </c>
      <c r="T682" s="25">
        <f t="shared" si="10"/>
        <v>-633000</v>
      </c>
    </row>
    <row r="683" spans="1:20">
      <c r="A683" t="s">
        <v>1878</v>
      </c>
      <c r="B683">
        <v>45882</v>
      </c>
      <c r="C683" t="s">
        <v>87</v>
      </c>
      <c r="D683" t="s">
        <v>111</v>
      </c>
      <c r="E683" t="s">
        <v>3</v>
      </c>
      <c r="F683">
        <v>5010</v>
      </c>
      <c r="G683" t="s">
        <v>37</v>
      </c>
      <c r="H683" t="s">
        <v>1879</v>
      </c>
      <c r="I683" t="s">
        <v>71</v>
      </c>
      <c r="J683">
        <v>-2081000</v>
      </c>
      <c r="K683" t="s">
        <v>145</v>
      </c>
      <c r="L683" t="s">
        <v>1880</v>
      </c>
      <c r="M683" t="s">
        <v>3</v>
      </c>
      <c r="N683" t="s">
        <v>74</v>
      </c>
      <c r="O683" s="25" t="s">
        <v>3827</v>
      </c>
      <c r="P683" s="25">
        <v>1</v>
      </c>
      <c r="Q683" s="25">
        <v>-2081000</v>
      </c>
      <c r="R683" s="25" t="s">
        <v>35</v>
      </c>
      <c r="S683" s="25" t="s">
        <v>35</v>
      </c>
      <c r="T683" s="25">
        <f t="shared" si="10"/>
        <v>-2081000</v>
      </c>
    </row>
    <row r="684" spans="1:20">
      <c r="A684" t="s">
        <v>1881</v>
      </c>
      <c r="B684">
        <v>45882</v>
      </c>
      <c r="C684" t="s">
        <v>87</v>
      </c>
      <c r="D684" t="s">
        <v>88</v>
      </c>
      <c r="E684" t="s">
        <v>3</v>
      </c>
      <c r="F684">
        <v>5030</v>
      </c>
      <c r="G684" t="s">
        <v>41</v>
      </c>
      <c r="H684" t="s">
        <v>1428</v>
      </c>
      <c r="I684" t="s">
        <v>71</v>
      </c>
      <c r="J684">
        <v>-394000</v>
      </c>
      <c r="K684" t="s">
        <v>90</v>
      </c>
      <c r="L684" t="s">
        <v>1882</v>
      </c>
      <c r="M684" t="s">
        <v>3</v>
      </c>
      <c r="N684" t="s">
        <v>74</v>
      </c>
      <c r="O684" s="25" t="s">
        <v>3827</v>
      </c>
      <c r="P684" s="25">
        <v>1</v>
      </c>
      <c r="Q684" s="25">
        <v>-394000</v>
      </c>
      <c r="R684" s="25" t="s">
        <v>35</v>
      </c>
      <c r="S684" s="25" t="s">
        <v>35</v>
      </c>
      <c r="T684" s="25">
        <f t="shared" si="10"/>
        <v>-394000</v>
      </c>
    </row>
    <row r="685" spans="1:20">
      <c r="A685" t="s">
        <v>1883</v>
      </c>
      <c r="B685">
        <v>45882</v>
      </c>
      <c r="C685" t="s">
        <v>87</v>
      </c>
      <c r="D685" t="s">
        <v>88</v>
      </c>
      <c r="E685" t="s">
        <v>3</v>
      </c>
      <c r="F685">
        <v>5030</v>
      </c>
      <c r="G685" t="s">
        <v>41</v>
      </c>
      <c r="H685" t="s">
        <v>1428</v>
      </c>
      <c r="I685" t="s">
        <v>71</v>
      </c>
      <c r="J685">
        <v>-632000</v>
      </c>
      <c r="K685" t="s">
        <v>90</v>
      </c>
      <c r="L685" t="s">
        <v>1884</v>
      </c>
      <c r="M685" t="s">
        <v>3</v>
      </c>
      <c r="N685" t="s">
        <v>74</v>
      </c>
      <c r="O685" s="25" t="s">
        <v>3827</v>
      </c>
      <c r="P685" s="25">
        <v>1</v>
      </c>
      <c r="Q685" s="25">
        <v>-632000</v>
      </c>
      <c r="R685" s="25" t="s">
        <v>35</v>
      </c>
      <c r="S685" s="25" t="s">
        <v>35</v>
      </c>
      <c r="T685" s="25">
        <f t="shared" si="10"/>
        <v>-632000</v>
      </c>
    </row>
    <row r="686" spans="1:20">
      <c r="A686" t="s">
        <v>1885</v>
      </c>
      <c r="B686">
        <v>45883</v>
      </c>
      <c r="C686" t="s">
        <v>93</v>
      </c>
      <c r="D686" t="s">
        <v>94</v>
      </c>
      <c r="E686" t="s">
        <v>95</v>
      </c>
      <c r="F686">
        <v>4000</v>
      </c>
      <c r="G686" t="s">
        <v>25</v>
      </c>
      <c r="H686" t="s">
        <v>1886</v>
      </c>
      <c r="I686" t="s">
        <v>71</v>
      </c>
      <c r="J686">
        <v>28200</v>
      </c>
      <c r="K686" t="s">
        <v>3</v>
      </c>
      <c r="L686" t="s">
        <v>1887</v>
      </c>
      <c r="M686" t="s">
        <v>3</v>
      </c>
      <c r="N686" t="s">
        <v>74</v>
      </c>
      <c r="O686" s="25" t="s">
        <v>3827</v>
      </c>
      <c r="P686" s="25">
        <v>1</v>
      </c>
      <c r="Q686" s="25">
        <v>28200</v>
      </c>
      <c r="R686" s="25" t="s">
        <v>26</v>
      </c>
      <c r="S686" s="25" t="s">
        <v>26</v>
      </c>
      <c r="T686" s="25">
        <f t="shared" si="10"/>
        <v>28200</v>
      </c>
    </row>
    <row r="687" spans="1:20">
      <c r="A687" t="s">
        <v>1888</v>
      </c>
      <c r="B687">
        <v>45883</v>
      </c>
      <c r="C687" t="s">
        <v>93</v>
      </c>
      <c r="D687" t="s">
        <v>94</v>
      </c>
      <c r="E687" t="s">
        <v>99</v>
      </c>
      <c r="F687">
        <v>4000</v>
      </c>
      <c r="G687" t="s">
        <v>25</v>
      </c>
      <c r="H687" t="s">
        <v>1889</v>
      </c>
      <c r="I687" t="s">
        <v>71</v>
      </c>
      <c r="J687">
        <v>32800</v>
      </c>
      <c r="K687" t="s">
        <v>3</v>
      </c>
      <c r="L687" t="s">
        <v>1890</v>
      </c>
      <c r="M687" t="s">
        <v>3</v>
      </c>
      <c r="N687" t="s">
        <v>74</v>
      </c>
      <c r="O687" s="25" t="s">
        <v>3827</v>
      </c>
      <c r="P687" s="25">
        <v>1</v>
      </c>
      <c r="Q687" s="25">
        <v>32800</v>
      </c>
      <c r="R687" s="25" t="s">
        <v>26</v>
      </c>
      <c r="S687" s="25" t="s">
        <v>26</v>
      </c>
      <c r="T687" s="25">
        <f t="shared" si="10"/>
        <v>32800</v>
      </c>
    </row>
    <row r="688" spans="1:20">
      <c r="A688" t="s">
        <v>1891</v>
      </c>
      <c r="B688">
        <v>45883</v>
      </c>
      <c r="C688" t="s">
        <v>93</v>
      </c>
      <c r="D688" t="s">
        <v>94</v>
      </c>
      <c r="E688" t="s">
        <v>103</v>
      </c>
      <c r="F688">
        <v>4000</v>
      </c>
      <c r="G688" t="s">
        <v>25</v>
      </c>
      <c r="H688" t="s">
        <v>1892</v>
      </c>
      <c r="I688" t="s">
        <v>71</v>
      </c>
      <c r="J688">
        <v>30900</v>
      </c>
      <c r="K688" t="s">
        <v>3</v>
      </c>
      <c r="L688" t="s">
        <v>1893</v>
      </c>
      <c r="M688" t="s">
        <v>3</v>
      </c>
      <c r="N688" t="s">
        <v>74</v>
      </c>
      <c r="O688" s="25" t="s">
        <v>3827</v>
      </c>
      <c r="P688" s="25">
        <v>1</v>
      </c>
      <c r="Q688" s="25">
        <v>30900</v>
      </c>
      <c r="R688" s="25" t="s">
        <v>26</v>
      </c>
      <c r="S688" s="25" t="s">
        <v>26</v>
      </c>
      <c r="T688" s="25">
        <f t="shared" si="10"/>
        <v>30900</v>
      </c>
    </row>
    <row r="689" spans="1:20">
      <c r="A689" t="s">
        <v>1894</v>
      </c>
      <c r="B689">
        <v>45883</v>
      </c>
      <c r="C689" t="s">
        <v>93</v>
      </c>
      <c r="D689" t="s">
        <v>94</v>
      </c>
      <c r="E689" t="s">
        <v>160</v>
      </c>
      <c r="F689">
        <v>4000</v>
      </c>
      <c r="G689" t="s">
        <v>25</v>
      </c>
      <c r="H689" t="s">
        <v>1895</v>
      </c>
      <c r="I689" t="s">
        <v>71</v>
      </c>
      <c r="J689">
        <v>27700</v>
      </c>
      <c r="K689" t="s">
        <v>3</v>
      </c>
      <c r="L689" t="s">
        <v>1893</v>
      </c>
      <c r="M689" t="s">
        <v>3</v>
      </c>
      <c r="N689" t="s">
        <v>74</v>
      </c>
      <c r="O689" s="25" t="s">
        <v>3827</v>
      </c>
      <c r="P689" s="25">
        <v>1</v>
      </c>
      <c r="Q689" s="25">
        <v>27700</v>
      </c>
      <c r="R689" s="25" t="s">
        <v>26</v>
      </c>
      <c r="S689" s="25" t="s">
        <v>26</v>
      </c>
      <c r="T689" s="25">
        <f t="shared" si="10"/>
        <v>27700</v>
      </c>
    </row>
    <row r="690" spans="1:20">
      <c r="A690" t="s">
        <v>1896</v>
      </c>
      <c r="B690">
        <v>45883</v>
      </c>
      <c r="C690" t="s">
        <v>93</v>
      </c>
      <c r="D690" t="s">
        <v>94</v>
      </c>
      <c r="E690" t="s">
        <v>107</v>
      </c>
      <c r="F690">
        <v>4000</v>
      </c>
      <c r="G690" t="s">
        <v>25</v>
      </c>
      <c r="H690" t="s">
        <v>1897</v>
      </c>
      <c r="I690" t="s">
        <v>71</v>
      </c>
      <c r="J690">
        <v>29200</v>
      </c>
      <c r="K690" t="s">
        <v>3</v>
      </c>
      <c r="L690" t="s">
        <v>1898</v>
      </c>
      <c r="M690" t="s">
        <v>3</v>
      </c>
      <c r="N690" t="s">
        <v>74</v>
      </c>
      <c r="O690" s="25" t="s">
        <v>3827</v>
      </c>
      <c r="P690" s="25">
        <v>1</v>
      </c>
      <c r="Q690" s="25">
        <v>29200</v>
      </c>
      <c r="R690" s="25" t="s">
        <v>26</v>
      </c>
      <c r="S690" s="25" t="s">
        <v>26</v>
      </c>
      <c r="T690" s="25">
        <f t="shared" si="10"/>
        <v>29200</v>
      </c>
    </row>
    <row r="691" spans="1:20">
      <c r="A691" t="s">
        <v>1899</v>
      </c>
      <c r="B691">
        <v>45883</v>
      </c>
      <c r="C691" t="s">
        <v>93</v>
      </c>
      <c r="D691" t="s">
        <v>111</v>
      </c>
      <c r="E691" t="s">
        <v>112</v>
      </c>
      <c r="F691">
        <v>4000</v>
      </c>
      <c r="G691" t="s">
        <v>25</v>
      </c>
      <c r="H691" t="s">
        <v>1900</v>
      </c>
      <c r="I691" t="s">
        <v>71</v>
      </c>
      <c r="J691">
        <v>50400</v>
      </c>
      <c r="K691" t="s">
        <v>3</v>
      </c>
      <c r="L691" t="s">
        <v>1901</v>
      </c>
      <c r="M691" t="s">
        <v>3</v>
      </c>
      <c r="N691" t="s">
        <v>74</v>
      </c>
      <c r="O691" s="25" t="s">
        <v>3827</v>
      </c>
      <c r="P691" s="25">
        <v>1</v>
      </c>
      <c r="Q691" s="25">
        <v>50400</v>
      </c>
      <c r="R691" s="25" t="s">
        <v>26</v>
      </c>
      <c r="S691" s="25" t="s">
        <v>26</v>
      </c>
      <c r="T691" s="25">
        <f t="shared" si="10"/>
        <v>50400</v>
      </c>
    </row>
    <row r="692" spans="1:20">
      <c r="A692" t="s">
        <v>1902</v>
      </c>
      <c r="B692">
        <v>45883</v>
      </c>
      <c r="C692" t="s">
        <v>93</v>
      </c>
      <c r="D692" t="s">
        <v>111</v>
      </c>
      <c r="E692" t="s">
        <v>116</v>
      </c>
      <c r="F692">
        <v>4000</v>
      </c>
      <c r="G692" t="s">
        <v>25</v>
      </c>
      <c r="H692" t="s">
        <v>1903</v>
      </c>
      <c r="I692" t="s">
        <v>71</v>
      </c>
      <c r="J692">
        <v>48900</v>
      </c>
      <c r="K692" t="s">
        <v>3</v>
      </c>
      <c r="L692" t="s">
        <v>1901</v>
      </c>
      <c r="M692" t="s">
        <v>3</v>
      </c>
      <c r="N692" t="s">
        <v>74</v>
      </c>
      <c r="O692" s="25" t="s">
        <v>3827</v>
      </c>
      <c r="P692" s="25">
        <v>1</v>
      </c>
      <c r="Q692" s="25">
        <v>48900</v>
      </c>
      <c r="R692" s="25" t="s">
        <v>26</v>
      </c>
      <c r="S692" s="25" t="s">
        <v>26</v>
      </c>
      <c r="T692" s="25">
        <f t="shared" si="10"/>
        <v>48900</v>
      </c>
    </row>
    <row r="693" spans="1:20">
      <c r="A693" t="s">
        <v>1904</v>
      </c>
      <c r="B693">
        <v>45883</v>
      </c>
      <c r="C693" t="s">
        <v>93</v>
      </c>
      <c r="D693" t="s">
        <v>111</v>
      </c>
      <c r="E693" t="s">
        <v>119</v>
      </c>
      <c r="F693">
        <v>4000</v>
      </c>
      <c r="G693" t="s">
        <v>25</v>
      </c>
      <c r="H693" t="s">
        <v>1905</v>
      </c>
      <c r="I693" t="s">
        <v>71</v>
      </c>
      <c r="J693">
        <v>48400</v>
      </c>
      <c r="K693" t="s">
        <v>3</v>
      </c>
      <c r="L693" t="s">
        <v>1901</v>
      </c>
      <c r="M693" t="s">
        <v>3</v>
      </c>
      <c r="N693" t="s">
        <v>74</v>
      </c>
      <c r="O693" s="25" t="s">
        <v>3827</v>
      </c>
      <c r="P693" s="25">
        <v>1</v>
      </c>
      <c r="Q693" s="25">
        <v>48400</v>
      </c>
      <c r="R693" s="25" t="s">
        <v>26</v>
      </c>
      <c r="S693" s="25" t="s">
        <v>26</v>
      </c>
      <c r="T693" s="25">
        <f t="shared" si="10"/>
        <v>48400</v>
      </c>
    </row>
    <row r="694" spans="1:20">
      <c r="A694" t="s">
        <v>1906</v>
      </c>
      <c r="B694">
        <v>45883</v>
      </c>
      <c r="C694" t="s">
        <v>93</v>
      </c>
      <c r="D694" t="s">
        <v>111</v>
      </c>
      <c r="E694" t="s">
        <v>170</v>
      </c>
      <c r="F694">
        <v>4000</v>
      </c>
      <c r="G694" t="s">
        <v>25</v>
      </c>
      <c r="H694" t="s">
        <v>1907</v>
      </c>
      <c r="I694" t="s">
        <v>71</v>
      </c>
      <c r="J694">
        <v>51500</v>
      </c>
      <c r="K694" t="s">
        <v>3</v>
      </c>
      <c r="L694" t="s">
        <v>1901</v>
      </c>
      <c r="M694" t="s">
        <v>3</v>
      </c>
      <c r="N694" t="s">
        <v>74</v>
      </c>
      <c r="O694" s="25" t="s">
        <v>3827</v>
      </c>
      <c r="P694" s="25">
        <v>1</v>
      </c>
      <c r="Q694" s="25">
        <v>51500</v>
      </c>
      <c r="R694" s="25" t="s">
        <v>26</v>
      </c>
      <c r="S694" s="25" t="s">
        <v>26</v>
      </c>
      <c r="T694" s="25">
        <f t="shared" si="10"/>
        <v>51500</v>
      </c>
    </row>
    <row r="695" spans="1:20">
      <c r="A695" t="s">
        <v>1908</v>
      </c>
      <c r="B695">
        <v>45883</v>
      </c>
      <c r="C695" t="s">
        <v>93</v>
      </c>
      <c r="D695" t="s">
        <v>111</v>
      </c>
      <c r="E695" t="s">
        <v>122</v>
      </c>
      <c r="F695">
        <v>4000</v>
      </c>
      <c r="G695" t="s">
        <v>25</v>
      </c>
      <c r="H695" t="s">
        <v>1909</v>
      </c>
      <c r="I695" t="s">
        <v>71</v>
      </c>
      <c r="J695">
        <v>52100</v>
      </c>
      <c r="K695" t="s">
        <v>3</v>
      </c>
      <c r="L695" t="s">
        <v>1910</v>
      </c>
      <c r="M695" t="s">
        <v>3</v>
      </c>
      <c r="N695" t="s">
        <v>74</v>
      </c>
      <c r="O695" s="25" t="s">
        <v>3827</v>
      </c>
      <c r="P695" s="25">
        <v>1</v>
      </c>
      <c r="Q695" s="25">
        <v>52100</v>
      </c>
      <c r="R695" s="25" t="s">
        <v>26</v>
      </c>
      <c r="S695" s="25" t="s">
        <v>26</v>
      </c>
      <c r="T695" s="25">
        <f t="shared" si="10"/>
        <v>52100</v>
      </c>
    </row>
    <row r="696" spans="1:20">
      <c r="A696" t="s">
        <v>1911</v>
      </c>
      <c r="B696">
        <v>45883</v>
      </c>
      <c r="C696" t="s">
        <v>126</v>
      </c>
      <c r="D696" t="s">
        <v>88</v>
      </c>
      <c r="E696" t="s">
        <v>127</v>
      </c>
      <c r="F696">
        <v>4020</v>
      </c>
      <c r="G696" t="s">
        <v>30</v>
      </c>
      <c r="H696" t="s">
        <v>1912</v>
      </c>
      <c r="I696" t="s">
        <v>71</v>
      </c>
      <c r="J696">
        <v>50200</v>
      </c>
      <c r="K696" t="s">
        <v>129</v>
      </c>
      <c r="L696" t="s">
        <v>1913</v>
      </c>
      <c r="M696" t="s">
        <v>3</v>
      </c>
      <c r="N696" t="s">
        <v>74</v>
      </c>
      <c r="O696" s="25" t="s">
        <v>3827</v>
      </c>
      <c r="P696" s="25">
        <v>1</v>
      </c>
      <c r="Q696" s="25">
        <v>50200</v>
      </c>
      <c r="R696" s="25" t="s">
        <v>26</v>
      </c>
      <c r="S696" s="25" t="s">
        <v>26</v>
      </c>
      <c r="T696" s="25">
        <f t="shared" si="10"/>
        <v>50200</v>
      </c>
    </row>
    <row r="697" spans="1:20">
      <c r="A697" t="s">
        <v>1914</v>
      </c>
      <c r="B697">
        <v>45883</v>
      </c>
      <c r="C697" t="s">
        <v>126</v>
      </c>
      <c r="D697" t="s">
        <v>88</v>
      </c>
      <c r="E697" t="s">
        <v>132</v>
      </c>
      <c r="F697">
        <v>4020</v>
      </c>
      <c r="G697" t="s">
        <v>30</v>
      </c>
      <c r="H697" t="s">
        <v>1915</v>
      </c>
      <c r="I697" t="s">
        <v>72</v>
      </c>
      <c r="J697">
        <v>29.33</v>
      </c>
      <c r="K697" t="s">
        <v>134</v>
      </c>
      <c r="L697" t="s">
        <v>1913</v>
      </c>
      <c r="M697" t="s">
        <v>3</v>
      </c>
      <c r="N697" t="s">
        <v>74</v>
      </c>
      <c r="O697" s="25" t="s">
        <v>3828</v>
      </c>
      <c r="P697" s="25">
        <v>1572</v>
      </c>
      <c r="Q697" s="25">
        <v>46106.759999999995</v>
      </c>
      <c r="R697" s="25" t="s">
        <v>26</v>
      </c>
      <c r="S697" s="25" t="s">
        <v>26</v>
      </c>
      <c r="T697" s="25">
        <f t="shared" si="10"/>
        <v>46106.759999999995</v>
      </c>
    </row>
    <row r="698" spans="1:20">
      <c r="A698" t="s">
        <v>1916</v>
      </c>
      <c r="B698">
        <v>45883</v>
      </c>
      <c r="C698" t="s">
        <v>126</v>
      </c>
      <c r="D698" t="s">
        <v>88</v>
      </c>
      <c r="E698" t="s">
        <v>136</v>
      </c>
      <c r="F698">
        <v>4020</v>
      </c>
      <c r="G698" t="s">
        <v>30</v>
      </c>
      <c r="H698" t="s">
        <v>1917</v>
      </c>
      <c r="I698" t="s">
        <v>72</v>
      </c>
      <c r="J698">
        <v>34.1</v>
      </c>
      <c r="K698" t="s">
        <v>138</v>
      </c>
      <c r="L698" t="s">
        <v>1913</v>
      </c>
      <c r="M698" t="s">
        <v>3</v>
      </c>
      <c r="N698" t="s">
        <v>74</v>
      </c>
      <c r="O698" s="25" t="s">
        <v>3828</v>
      </c>
      <c r="P698" s="25">
        <v>1572</v>
      </c>
      <c r="Q698" s="25">
        <v>53605.200000000004</v>
      </c>
      <c r="R698" s="25" t="s">
        <v>26</v>
      </c>
      <c r="S698" s="25" t="s">
        <v>26</v>
      </c>
      <c r="T698" s="25">
        <f t="shared" si="10"/>
        <v>53605.200000000004</v>
      </c>
    </row>
    <row r="699" spans="1:20">
      <c r="A699" t="s">
        <v>1918</v>
      </c>
      <c r="B699">
        <v>45883</v>
      </c>
      <c r="C699" t="s">
        <v>126</v>
      </c>
      <c r="D699" t="s">
        <v>88</v>
      </c>
      <c r="E699" t="s">
        <v>140</v>
      </c>
      <c r="F699">
        <v>4020</v>
      </c>
      <c r="G699" t="s">
        <v>30</v>
      </c>
      <c r="H699" t="s">
        <v>1919</v>
      </c>
      <c r="I699" t="s">
        <v>71</v>
      </c>
      <c r="J699">
        <v>47400</v>
      </c>
      <c r="K699" t="s">
        <v>3</v>
      </c>
      <c r="L699" t="s">
        <v>1920</v>
      </c>
      <c r="M699" t="s">
        <v>3</v>
      </c>
      <c r="N699" t="s">
        <v>74</v>
      </c>
      <c r="O699" s="25" t="s">
        <v>3827</v>
      </c>
      <c r="P699" s="25">
        <v>1</v>
      </c>
      <c r="Q699" s="25">
        <v>47400</v>
      </c>
      <c r="R699" s="25" t="s">
        <v>26</v>
      </c>
      <c r="S699" s="25" t="s">
        <v>26</v>
      </c>
      <c r="T699" s="25">
        <f t="shared" si="10"/>
        <v>47400</v>
      </c>
    </row>
    <row r="700" spans="1:20">
      <c r="A700" t="s">
        <v>1921</v>
      </c>
      <c r="B700">
        <v>45883</v>
      </c>
      <c r="C700" t="s">
        <v>87</v>
      </c>
      <c r="D700" t="s">
        <v>111</v>
      </c>
      <c r="E700" t="s">
        <v>3</v>
      </c>
      <c r="F700">
        <v>5010</v>
      </c>
      <c r="G700" t="s">
        <v>37</v>
      </c>
      <c r="H700" t="s">
        <v>1593</v>
      </c>
      <c r="I700" t="s">
        <v>71</v>
      </c>
      <c r="J700">
        <v>-1435000</v>
      </c>
      <c r="K700" t="s">
        <v>987</v>
      </c>
      <c r="L700" t="s">
        <v>1922</v>
      </c>
      <c r="M700" t="s">
        <v>3</v>
      </c>
      <c r="N700" t="s">
        <v>74</v>
      </c>
      <c r="O700" s="25" t="s">
        <v>3827</v>
      </c>
      <c r="P700" s="25">
        <v>1</v>
      </c>
      <c r="Q700" s="25">
        <v>-1435000</v>
      </c>
      <c r="R700" s="25" t="s">
        <v>35</v>
      </c>
      <c r="S700" s="25" t="s">
        <v>35</v>
      </c>
      <c r="T700" s="25">
        <f t="shared" si="10"/>
        <v>-1435000</v>
      </c>
    </row>
    <row r="701" spans="1:20">
      <c r="A701" t="s">
        <v>1923</v>
      </c>
      <c r="B701">
        <v>45883</v>
      </c>
      <c r="C701" t="s">
        <v>87</v>
      </c>
      <c r="D701" t="s">
        <v>88</v>
      </c>
      <c r="E701" t="s">
        <v>3</v>
      </c>
      <c r="F701">
        <v>5030</v>
      </c>
      <c r="G701" t="s">
        <v>41</v>
      </c>
      <c r="H701" t="s">
        <v>1471</v>
      </c>
      <c r="I701" t="s">
        <v>71</v>
      </c>
      <c r="J701">
        <v>-163000</v>
      </c>
      <c r="K701" t="s">
        <v>280</v>
      </c>
      <c r="L701" t="s">
        <v>1924</v>
      </c>
      <c r="M701" t="s">
        <v>3</v>
      </c>
      <c r="N701" t="s">
        <v>74</v>
      </c>
      <c r="O701" s="25" t="s">
        <v>3827</v>
      </c>
      <c r="P701" s="25">
        <v>1</v>
      </c>
      <c r="Q701" s="25">
        <v>-163000</v>
      </c>
      <c r="R701" s="25" t="s">
        <v>35</v>
      </c>
      <c r="S701" s="25" t="s">
        <v>35</v>
      </c>
      <c r="T701" s="25">
        <f t="shared" si="10"/>
        <v>-163000</v>
      </c>
    </row>
    <row r="702" spans="1:20">
      <c r="A702" t="s">
        <v>1925</v>
      </c>
      <c r="B702">
        <v>45884</v>
      </c>
      <c r="C702" t="s">
        <v>93</v>
      </c>
      <c r="D702" t="s">
        <v>94</v>
      </c>
      <c r="E702" t="s">
        <v>99</v>
      </c>
      <c r="F702">
        <v>4000</v>
      </c>
      <c r="G702" t="s">
        <v>25</v>
      </c>
      <c r="H702" t="s">
        <v>1926</v>
      </c>
      <c r="I702" t="s">
        <v>71</v>
      </c>
      <c r="J702">
        <v>32000</v>
      </c>
      <c r="K702" t="s">
        <v>3</v>
      </c>
      <c r="L702" t="s">
        <v>1927</v>
      </c>
      <c r="M702" t="s">
        <v>3</v>
      </c>
      <c r="N702" t="s">
        <v>74</v>
      </c>
      <c r="O702" s="25" t="s">
        <v>3827</v>
      </c>
      <c r="P702" s="25">
        <v>1</v>
      </c>
      <c r="Q702" s="25">
        <v>32000</v>
      </c>
      <c r="R702" s="25" t="s">
        <v>26</v>
      </c>
      <c r="S702" s="25" t="s">
        <v>26</v>
      </c>
      <c r="T702" s="25">
        <f t="shared" si="10"/>
        <v>32000</v>
      </c>
    </row>
    <row r="703" spans="1:20">
      <c r="A703" t="s">
        <v>1928</v>
      </c>
      <c r="B703">
        <v>45884</v>
      </c>
      <c r="C703" t="s">
        <v>93</v>
      </c>
      <c r="D703" t="s">
        <v>94</v>
      </c>
      <c r="E703" t="s">
        <v>103</v>
      </c>
      <c r="F703">
        <v>4000</v>
      </c>
      <c r="G703" t="s">
        <v>25</v>
      </c>
      <c r="H703" t="s">
        <v>1929</v>
      </c>
      <c r="I703" t="s">
        <v>71</v>
      </c>
      <c r="J703">
        <v>32300</v>
      </c>
      <c r="K703" t="s">
        <v>3</v>
      </c>
      <c r="L703" t="s">
        <v>1930</v>
      </c>
      <c r="M703" t="s">
        <v>3</v>
      </c>
      <c r="N703" t="s">
        <v>74</v>
      </c>
      <c r="O703" s="25" t="s">
        <v>3827</v>
      </c>
      <c r="P703" s="25">
        <v>1</v>
      </c>
      <c r="Q703" s="25">
        <v>32300</v>
      </c>
      <c r="R703" s="25" t="s">
        <v>26</v>
      </c>
      <c r="S703" s="25" t="s">
        <v>26</v>
      </c>
      <c r="T703" s="25">
        <f t="shared" si="10"/>
        <v>32300</v>
      </c>
    </row>
    <row r="704" spans="1:20">
      <c r="A704" t="s">
        <v>1931</v>
      </c>
      <c r="B704">
        <v>45884</v>
      </c>
      <c r="C704" t="s">
        <v>93</v>
      </c>
      <c r="D704" t="s">
        <v>94</v>
      </c>
      <c r="E704" t="s">
        <v>160</v>
      </c>
      <c r="F704">
        <v>4000</v>
      </c>
      <c r="G704" t="s">
        <v>25</v>
      </c>
      <c r="H704" t="s">
        <v>1932</v>
      </c>
      <c r="I704" t="s">
        <v>71</v>
      </c>
      <c r="J704">
        <v>32300</v>
      </c>
      <c r="K704" t="s">
        <v>3</v>
      </c>
      <c r="L704" t="s">
        <v>1930</v>
      </c>
      <c r="M704" t="s">
        <v>3</v>
      </c>
      <c r="N704" t="s">
        <v>74</v>
      </c>
      <c r="O704" s="25" t="s">
        <v>3827</v>
      </c>
      <c r="P704" s="25">
        <v>1</v>
      </c>
      <c r="Q704" s="25">
        <v>32300</v>
      </c>
      <c r="R704" s="25" t="s">
        <v>26</v>
      </c>
      <c r="S704" s="25" t="s">
        <v>26</v>
      </c>
      <c r="T704" s="25">
        <f t="shared" si="10"/>
        <v>32300</v>
      </c>
    </row>
    <row r="705" spans="1:20">
      <c r="A705" t="s">
        <v>1933</v>
      </c>
      <c r="B705">
        <v>45884</v>
      </c>
      <c r="C705" t="s">
        <v>93</v>
      </c>
      <c r="D705" t="s">
        <v>94</v>
      </c>
      <c r="E705" t="s">
        <v>107</v>
      </c>
      <c r="F705">
        <v>4000</v>
      </c>
      <c r="G705" t="s">
        <v>25</v>
      </c>
      <c r="H705" t="s">
        <v>1934</v>
      </c>
      <c r="I705" t="s">
        <v>71</v>
      </c>
      <c r="J705">
        <v>30100</v>
      </c>
      <c r="K705" t="s">
        <v>3</v>
      </c>
      <c r="L705" t="s">
        <v>1935</v>
      </c>
      <c r="M705" t="s">
        <v>3</v>
      </c>
      <c r="N705" t="s">
        <v>74</v>
      </c>
      <c r="O705" s="25" t="s">
        <v>3827</v>
      </c>
      <c r="P705" s="25">
        <v>1</v>
      </c>
      <c r="Q705" s="25">
        <v>30100</v>
      </c>
      <c r="R705" s="25" t="s">
        <v>26</v>
      </c>
      <c r="S705" s="25" t="s">
        <v>26</v>
      </c>
      <c r="T705" s="25">
        <f t="shared" si="10"/>
        <v>30100</v>
      </c>
    </row>
    <row r="706" spans="1:20">
      <c r="A706" t="s">
        <v>1936</v>
      </c>
      <c r="B706">
        <v>45884</v>
      </c>
      <c r="C706" t="s">
        <v>93</v>
      </c>
      <c r="D706" t="s">
        <v>111</v>
      </c>
      <c r="E706" t="s">
        <v>112</v>
      </c>
      <c r="F706">
        <v>4000</v>
      </c>
      <c r="G706" t="s">
        <v>25</v>
      </c>
      <c r="H706" t="s">
        <v>1937</v>
      </c>
      <c r="I706" t="s">
        <v>71</v>
      </c>
      <c r="J706">
        <v>48900</v>
      </c>
      <c r="K706" t="s">
        <v>3</v>
      </c>
      <c r="L706" t="s">
        <v>1938</v>
      </c>
      <c r="M706" t="s">
        <v>3</v>
      </c>
      <c r="N706" t="s">
        <v>74</v>
      </c>
      <c r="O706" s="25" t="s">
        <v>3827</v>
      </c>
      <c r="P706" s="25">
        <v>1</v>
      </c>
      <c r="Q706" s="25">
        <v>48900</v>
      </c>
      <c r="R706" s="25" t="s">
        <v>26</v>
      </c>
      <c r="S706" s="25" t="s">
        <v>26</v>
      </c>
      <c r="T706" s="25">
        <f t="shared" ref="T706:T769" si="11">IF(AND(S706="Revenue",G706&lt;&gt;"Refunds &amp; Chargebacks"),ABS(Q706),-ABS(Q706))</f>
        <v>48900</v>
      </c>
    </row>
    <row r="707" spans="1:20">
      <c r="A707" t="s">
        <v>1939</v>
      </c>
      <c r="B707">
        <v>45884</v>
      </c>
      <c r="C707" t="s">
        <v>93</v>
      </c>
      <c r="D707" t="s">
        <v>111</v>
      </c>
      <c r="E707" t="s">
        <v>116</v>
      </c>
      <c r="F707">
        <v>4000</v>
      </c>
      <c r="G707" t="s">
        <v>25</v>
      </c>
      <c r="H707" t="s">
        <v>1940</v>
      </c>
      <c r="I707" t="s">
        <v>71</v>
      </c>
      <c r="J707">
        <v>53700</v>
      </c>
      <c r="K707" t="s">
        <v>3</v>
      </c>
      <c r="L707" t="s">
        <v>1938</v>
      </c>
      <c r="M707" t="s">
        <v>3</v>
      </c>
      <c r="N707" t="s">
        <v>74</v>
      </c>
      <c r="O707" s="25" t="s">
        <v>3827</v>
      </c>
      <c r="P707" s="25">
        <v>1</v>
      </c>
      <c r="Q707" s="25">
        <v>53700</v>
      </c>
      <c r="R707" s="25" t="s">
        <v>26</v>
      </c>
      <c r="S707" s="25" t="s">
        <v>26</v>
      </c>
      <c r="T707" s="25">
        <f t="shared" si="11"/>
        <v>53700</v>
      </c>
    </row>
    <row r="708" spans="1:20">
      <c r="A708" t="s">
        <v>1941</v>
      </c>
      <c r="B708">
        <v>45884</v>
      </c>
      <c r="C708" t="s">
        <v>93</v>
      </c>
      <c r="D708" t="s">
        <v>111</v>
      </c>
      <c r="E708" t="s">
        <v>119</v>
      </c>
      <c r="F708">
        <v>4000</v>
      </c>
      <c r="G708" t="s">
        <v>25</v>
      </c>
      <c r="H708" t="s">
        <v>1942</v>
      </c>
      <c r="I708" t="s">
        <v>71</v>
      </c>
      <c r="J708">
        <v>53300</v>
      </c>
      <c r="K708" t="s">
        <v>3</v>
      </c>
      <c r="L708" t="s">
        <v>1938</v>
      </c>
      <c r="M708" t="s">
        <v>3</v>
      </c>
      <c r="N708" t="s">
        <v>74</v>
      </c>
      <c r="O708" s="25" t="s">
        <v>3827</v>
      </c>
      <c r="P708" s="25">
        <v>1</v>
      </c>
      <c r="Q708" s="25">
        <v>53300</v>
      </c>
      <c r="R708" s="25" t="s">
        <v>26</v>
      </c>
      <c r="S708" s="25" t="s">
        <v>26</v>
      </c>
      <c r="T708" s="25">
        <f t="shared" si="11"/>
        <v>53300</v>
      </c>
    </row>
    <row r="709" spans="1:20">
      <c r="A709" t="s">
        <v>1943</v>
      </c>
      <c r="B709">
        <v>45884</v>
      </c>
      <c r="C709" t="s">
        <v>93</v>
      </c>
      <c r="D709" t="s">
        <v>111</v>
      </c>
      <c r="E709" t="s">
        <v>170</v>
      </c>
      <c r="F709">
        <v>4000</v>
      </c>
      <c r="G709" t="s">
        <v>25</v>
      </c>
      <c r="H709" t="s">
        <v>1944</v>
      </c>
      <c r="I709" t="s">
        <v>71</v>
      </c>
      <c r="J709">
        <v>52000</v>
      </c>
      <c r="K709" t="s">
        <v>3</v>
      </c>
      <c r="L709" t="s">
        <v>1938</v>
      </c>
      <c r="M709" t="s">
        <v>3</v>
      </c>
      <c r="N709" t="s">
        <v>74</v>
      </c>
      <c r="O709" s="25" t="s">
        <v>3827</v>
      </c>
      <c r="P709" s="25">
        <v>1</v>
      </c>
      <c r="Q709" s="25">
        <v>52000</v>
      </c>
      <c r="R709" s="25" t="s">
        <v>26</v>
      </c>
      <c r="S709" s="25" t="s">
        <v>26</v>
      </c>
      <c r="T709" s="25">
        <f t="shared" si="11"/>
        <v>52000</v>
      </c>
    </row>
    <row r="710" spans="1:20">
      <c r="A710" t="s">
        <v>1945</v>
      </c>
      <c r="B710">
        <v>45884</v>
      </c>
      <c r="C710" t="s">
        <v>93</v>
      </c>
      <c r="D710" t="s">
        <v>111</v>
      </c>
      <c r="E710" t="s">
        <v>122</v>
      </c>
      <c r="F710">
        <v>4000</v>
      </c>
      <c r="G710" t="s">
        <v>25</v>
      </c>
      <c r="H710" t="s">
        <v>1946</v>
      </c>
      <c r="I710" t="s">
        <v>71</v>
      </c>
      <c r="J710">
        <v>47900</v>
      </c>
      <c r="K710" t="s">
        <v>3</v>
      </c>
      <c r="L710" t="s">
        <v>1947</v>
      </c>
      <c r="M710" t="s">
        <v>3</v>
      </c>
      <c r="N710" t="s">
        <v>74</v>
      </c>
      <c r="O710" s="25" t="s">
        <v>3827</v>
      </c>
      <c r="P710" s="25">
        <v>1</v>
      </c>
      <c r="Q710" s="25">
        <v>47900</v>
      </c>
      <c r="R710" s="25" t="s">
        <v>26</v>
      </c>
      <c r="S710" s="25" t="s">
        <v>26</v>
      </c>
      <c r="T710" s="25">
        <f t="shared" si="11"/>
        <v>47900</v>
      </c>
    </row>
    <row r="711" spans="1:20">
      <c r="A711" t="s">
        <v>1948</v>
      </c>
      <c r="B711">
        <v>45884</v>
      </c>
      <c r="C711" t="s">
        <v>126</v>
      </c>
      <c r="D711" t="s">
        <v>88</v>
      </c>
      <c r="E711" t="s">
        <v>127</v>
      </c>
      <c r="F711">
        <v>4020</v>
      </c>
      <c r="G711" t="s">
        <v>30</v>
      </c>
      <c r="H711" t="s">
        <v>1949</v>
      </c>
      <c r="I711" t="s">
        <v>72</v>
      </c>
      <c r="J711">
        <v>31.11</v>
      </c>
      <c r="K711" t="s">
        <v>129</v>
      </c>
      <c r="L711" t="s">
        <v>1950</v>
      </c>
      <c r="M711" t="s">
        <v>3</v>
      </c>
      <c r="N711" t="s">
        <v>74</v>
      </c>
      <c r="O711" s="25" t="s">
        <v>3828</v>
      </c>
      <c r="P711" s="25">
        <v>1572</v>
      </c>
      <c r="Q711" s="25">
        <v>48904.92</v>
      </c>
      <c r="R711" s="25" t="s">
        <v>26</v>
      </c>
      <c r="S711" s="25" t="s">
        <v>26</v>
      </c>
      <c r="T711" s="25">
        <f t="shared" si="11"/>
        <v>48904.92</v>
      </c>
    </row>
    <row r="712" spans="1:20">
      <c r="A712" t="s">
        <v>1951</v>
      </c>
      <c r="B712">
        <v>45884</v>
      </c>
      <c r="C712" t="s">
        <v>126</v>
      </c>
      <c r="D712" t="s">
        <v>88</v>
      </c>
      <c r="E712" t="s">
        <v>132</v>
      </c>
      <c r="F712">
        <v>4020</v>
      </c>
      <c r="G712" t="s">
        <v>30</v>
      </c>
      <c r="H712" t="s">
        <v>1952</v>
      </c>
      <c r="I712" t="s">
        <v>71</v>
      </c>
      <c r="J712">
        <v>52700</v>
      </c>
      <c r="K712" t="s">
        <v>134</v>
      </c>
      <c r="L712" t="s">
        <v>1950</v>
      </c>
      <c r="M712" t="s">
        <v>3</v>
      </c>
      <c r="N712" t="s">
        <v>74</v>
      </c>
      <c r="O712" s="25" t="s">
        <v>3827</v>
      </c>
      <c r="P712" s="25">
        <v>1</v>
      </c>
      <c r="Q712" s="25">
        <v>52700</v>
      </c>
      <c r="R712" s="25" t="s">
        <v>26</v>
      </c>
      <c r="S712" s="25" t="s">
        <v>26</v>
      </c>
      <c r="T712" s="25">
        <f t="shared" si="11"/>
        <v>52700</v>
      </c>
    </row>
    <row r="713" spans="1:20">
      <c r="A713" t="s">
        <v>1953</v>
      </c>
      <c r="B713">
        <v>45884</v>
      </c>
      <c r="C713" t="s">
        <v>126</v>
      </c>
      <c r="D713" t="s">
        <v>88</v>
      </c>
      <c r="E713" t="s">
        <v>136</v>
      </c>
      <c r="F713">
        <v>4020</v>
      </c>
      <c r="G713" t="s">
        <v>30</v>
      </c>
      <c r="H713" t="s">
        <v>1954</v>
      </c>
      <c r="I713" t="s">
        <v>72</v>
      </c>
      <c r="J713">
        <v>30.15</v>
      </c>
      <c r="K713" t="s">
        <v>138</v>
      </c>
      <c r="L713" t="s">
        <v>1950</v>
      </c>
      <c r="M713" t="s">
        <v>3</v>
      </c>
      <c r="N713" t="s">
        <v>74</v>
      </c>
      <c r="O713" s="25" t="s">
        <v>3828</v>
      </c>
      <c r="P713" s="25">
        <v>1572</v>
      </c>
      <c r="Q713" s="25">
        <v>47395.799999999996</v>
      </c>
      <c r="R713" s="25" t="s">
        <v>26</v>
      </c>
      <c r="S713" s="25" t="s">
        <v>26</v>
      </c>
      <c r="T713" s="25">
        <f t="shared" si="11"/>
        <v>47395.799999999996</v>
      </c>
    </row>
    <row r="714" spans="1:20">
      <c r="A714" t="s">
        <v>1955</v>
      </c>
      <c r="B714">
        <v>45884</v>
      </c>
      <c r="C714" t="s">
        <v>126</v>
      </c>
      <c r="D714" t="s">
        <v>88</v>
      </c>
      <c r="E714" t="s">
        <v>140</v>
      </c>
      <c r="F714">
        <v>4020</v>
      </c>
      <c r="G714" t="s">
        <v>30</v>
      </c>
      <c r="H714" t="s">
        <v>1956</v>
      </c>
      <c r="I714" t="s">
        <v>71</v>
      </c>
      <c r="J714">
        <v>48100</v>
      </c>
      <c r="K714" t="s">
        <v>3</v>
      </c>
      <c r="L714" t="s">
        <v>1957</v>
      </c>
      <c r="M714" t="s">
        <v>3</v>
      </c>
      <c r="N714" t="s">
        <v>74</v>
      </c>
      <c r="O714" s="25" t="s">
        <v>3827</v>
      </c>
      <c r="P714" s="25">
        <v>1</v>
      </c>
      <c r="Q714" s="25">
        <v>48100</v>
      </c>
      <c r="R714" s="25" t="s">
        <v>26</v>
      </c>
      <c r="S714" s="25" t="s">
        <v>26</v>
      </c>
      <c r="T714" s="25">
        <f t="shared" si="11"/>
        <v>48100</v>
      </c>
    </row>
    <row r="715" spans="1:20">
      <c r="A715" t="s">
        <v>1958</v>
      </c>
      <c r="B715">
        <v>45884</v>
      </c>
      <c r="C715" t="s">
        <v>93</v>
      </c>
      <c r="D715" t="s">
        <v>94</v>
      </c>
      <c r="E715" t="s">
        <v>95</v>
      </c>
      <c r="F715">
        <v>4900</v>
      </c>
      <c r="G715" t="s">
        <v>32</v>
      </c>
      <c r="H715" t="s">
        <v>1959</v>
      </c>
      <c r="I715" t="s">
        <v>71</v>
      </c>
      <c r="J715">
        <v>65334</v>
      </c>
      <c r="K715" t="s">
        <v>3</v>
      </c>
      <c r="L715" t="s">
        <v>1960</v>
      </c>
      <c r="M715" t="s">
        <v>237</v>
      </c>
      <c r="N715" t="s">
        <v>74</v>
      </c>
      <c r="O715" s="25" t="s">
        <v>3827</v>
      </c>
      <c r="P715" s="25">
        <v>1</v>
      </c>
      <c r="Q715" s="25">
        <v>65334</v>
      </c>
      <c r="R715" s="25" t="s">
        <v>26</v>
      </c>
      <c r="S715" s="25" t="s">
        <v>26</v>
      </c>
      <c r="T715" s="25">
        <f t="shared" si="11"/>
        <v>-65334</v>
      </c>
    </row>
    <row r="716" spans="1:20">
      <c r="A716" t="s">
        <v>1961</v>
      </c>
      <c r="B716">
        <v>45884</v>
      </c>
      <c r="C716" t="s">
        <v>87</v>
      </c>
      <c r="D716" t="s">
        <v>111</v>
      </c>
      <c r="E716" t="s">
        <v>3</v>
      </c>
      <c r="F716">
        <v>5010</v>
      </c>
      <c r="G716" t="s">
        <v>37</v>
      </c>
      <c r="H716" t="s">
        <v>1792</v>
      </c>
      <c r="I716" t="s">
        <v>71</v>
      </c>
      <c r="J716">
        <v>-996000</v>
      </c>
      <c r="K716" t="s">
        <v>195</v>
      </c>
      <c r="L716" t="s">
        <v>1962</v>
      </c>
      <c r="M716" t="s">
        <v>3</v>
      </c>
      <c r="N716" t="s">
        <v>74</v>
      </c>
      <c r="O716" s="25" t="s">
        <v>3827</v>
      </c>
      <c r="P716" s="25">
        <v>1</v>
      </c>
      <c r="Q716" s="25">
        <v>-996000</v>
      </c>
      <c r="R716" s="25" t="s">
        <v>35</v>
      </c>
      <c r="S716" s="25" t="s">
        <v>35</v>
      </c>
      <c r="T716" s="25">
        <f t="shared" si="11"/>
        <v>-996000</v>
      </c>
    </row>
    <row r="717" spans="1:20">
      <c r="A717" t="s">
        <v>1963</v>
      </c>
      <c r="B717">
        <v>45884</v>
      </c>
      <c r="C717" t="s">
        <v>87</v>
      </c>
      <c r="D717" t="s">
        <v>111</v>
      </c>
      <c r="E717" t="s">
        <v>3</v>
      </c>
      <c r="F717">
        <v>5020</v>
      </c>
      <c r="G717" t="s">
        <v>39</v>
      </c>
      <c r="H717" t="s">
        <v>1423</v>
      </c>
      <c r="I717" t="s">
        <v>71</v>
      </c>
      <c r="J717">
        <v>-87000</v>
      </c>
      <c r="K717" t="s">
        <v>276</v>
      </c>
      <c r="L717" t="s">
        <v>1964</v>
      </c>
      <c r="M717" t="s">
        <v>3</v>
      </c>
      <c r="N717" t="s">
        <v>74</v>
      </c>
      <c r="O717" s="25" t="s">
        <v>3827</v>
      </c>
      <c r="P717" s="25">
        <v>1</v>
      </c>
      <c r="Q717" s="25">
        <v>-87000</v>
      </c>
      <c r="R717" s="25" t="s">
        <v>35</v>
      </c>
      <c r="S717" s="25" t="s">
        <v>35</v>
      </c>
      <c r="T717" s="25">
        <f t="shared" si="11"/>
        <v>-87000</v>
      </c>
    </row>
    <row r="718" spans="1:20">
      <c r="A718" t="s">
        <v>1965</v>
      </c>
      <c r="B718">
        <v>45884</v>
      </c>
      <c r="C718" t="s">
        <v>87</v>
      </c>
      <c r="D718" t="s">
        <v>94</v>
      </c>
      <c r="E718" t="s">
        <v>3</v>
      </c>
      <c r="F718">
        <v>6030</v>
      </c>
      <c r="G718" t="s">
        <v>54</v>
      </c>
      <c r="H718" t="s">
        <v>1966</v>
      </c>
      <c r="I718" t="s">
        <v>72</v>
      </c>
      <c r="J718">
        <v>-987.8</v>
      </c>
      <c r="K718" t="s">
        <v>708</v>
      </c>
      <c r="L718" t="s">
        <v>1967</v>
      </c>
      <c r="M718" t="s">
        <v>3</v>
      </c>
      <c r="N718" t="s">
        <v>74</v>
      </c>
      <c r="O718" s="25" t="s">
        <v>3828</v>
      </c>
      <c r="P718" s="25">
        <v>1572</v>
      </c>
      <c r="Q718" s="25">
        <v>-1552821.5999999999</v>
      </c>
      <c r="R718" s="25" t="s">
        <v>48</v>
      </c>
      <c r="S718" s="25" t="s">
        <v>48</v>
      </c>
      <c r="T718" s="25">
        <f t="shared" si="11"/>
        <v>-1552821.5999999999</v>
      </c>
    </row>
    <row r="719" spans="1:20">
      <c r="A719" t="s">
        <v>1968</v>
      </c>
      <c r="B719">
        <v>45885</v>
      </c>
      <c r="C719" t="s">
        <v>93</v>
      </c>
      <c r="D719" t="s">
        <v>94</v>
      </c>
      <c r="E719" t="s">
        <v>95</v>
      </c>
      <c r="F719">
        <v>4000</v>
      </c>
      <c r="G719" t="s">
        <v>25</v>
      </c>
      <c r="H719" t="s">
        <v>1969</v>
      </c>
      <c r="I719" t="s">
        <v>71</v>
      </c>
      <c r="J719">
        <v>35700</v>
      </c>
      <c r="K719" t="s">
        <v>3</v>
      </c>
      <c r="L719" t="s">
        <v>1970</v>
      </c>
      <c r="M719" t="s">
        <v>3</v>
      </c>
      <c r="N719" t="s">
        <v>74</v>
      </c>
      <c r="O719" s="25" t="s">
        <v>3827</v>
      </c>
      <c r="P719" s="25">
        <v>1</v>
      </c>
      <c r="Q719" s="25">
        <v>35700</v>
      </c>
      <c r="R719" s="25" t="s">
        <v>26</v>
      </c>
      <c r="S719" s="25" t="s">
        <v>26</v>
      </c>
      <c r="T719" s="25">
        <f t="shared" si="11"/>
        <v>35700</v>
      </c>
    </row>
    <row r="720" spans="1:20">
      <c r="A720" t="s">
        <v>1971</v>
      </c>
      <c r="B720">
        <v>45885</v>
      </c>
      <c r="C720" t="s">
        <v>93</v>
      </c>
      <c r="D720" t="s">
        <v>94</v>
      </c>
      <c r="E720" t="s">
        <v>99</v>
      </c>
      <c r="F720">
        <v>4000</v>
      </c>
      <c r="G720" t="s">
        <v>25</v>
      </c>
      <c r="H720" t="s">
        <v>1972</v>
      </c>
      <c r="I720" t="s">
        <v>71</v>
      </c>
      <c r="J720">
        <v>38300</v>
      </c>
      <c r="K720" t="s">
        <v>3</v>
      </c>
      <c r="L720" t="s">
        <v>1973</v>
      </c>
      <c r="M720" t="s">
        <v>3</v>
      </c>
      <c r="N720" t="s">
        <v>74</v>
      </c>
      <c r="O720" s="25" t="s">
        <v>3827</v>
      </c>
      <c r="P720" s="25">
        <v>1</v>
      </c>
      <c r="Q720" s="25">
        <v>38300</v>
      </c>
      <c r="R720" s="25" t="s">
        <v>26</v>
      </c>
      <c r="S720" s="25" t="s">
        <v>26</v>
      </c>
      <c r="T720" s="25">
        <f t="shared" si="11"/>
        <v>38300</v>
      </c>
    </row>
    <row r="721" spans="1:20">
      <c r="A721" t="s">
        <v>1974</v>
      </c>
      <c r="B721">
        <v>45885</v>
      </c>
      <c r="C721" t="s">
        <v>93</v>
      </c>
      <c r="D721" t="s">
        <v>94</v>
      </c>
      <c r="E721" t="s">
        <v>103</v>
      </c>
      <c r="F721">
        <v>4000</v>
      </c>
      <c r="G721" t="s">
        <v>25</v>
      </c>
      <c r="H721" t="s">
        <v>1975</v>
      </c>
      <c r="I721" t="s">
        <v>71</v>
      </c>
      <c r="J721">
        <v>38100</v>
      </c>
      <c r="K721" t="s">
        <v>3</v>
      </c>
      <c r="L721" t="s">
        <v>1976</v>
      </c>
      <c r="M721" t="s">
        <v>3</v>
      </c>
      <c r="N721" t="s">
        <v>74</v>
      </c>
      <c r="O721" s="25" t="s">
        <v>3827</v>
      </c>
      <c r="P721" s="25">
        <v>1</v>
      </c>
      <c r="Q721" s="25">
        <v>38100</v>
      </c>
      <c r="R721" s="25" t="s">
        <v>26</v>
      </c>
      <c r="S721" s="25" t="s">
        <v>26</v>
      </c>
      <c r="T721" s="25">
        <f t="shared" si="11"/>
        <v>38100</v>
      </c>
    </row>
    <row r="722" spans="1:20">
      <c r="A722" t="s">
        <v>1977</v>
      </c>
      <c r="B722">
        <v>45885</v>
      </c>
      <c r="C722" t="s">
        <v>93</v>
      </c>
      <c r="D722" t="s">
        <v>94</v>
      </c>
      <c r="E722" t="s">
        <v>160</v>
      </c>
      <c r="F722">
        <v>4000</v>
      </c>
      <c r="G722" t="s">
        <v>25</v>
      </c>
      <c r="H722" t="s">
        <v>1978</v>
      </c>
      <c r="I722" t="s">
        <v>71</v>
      </c>
      <c r="J722">
        <v>37200</v>
      </c>
      <c r="K722" t="s">
        <v>3</v>
      </c>
      <c r="L722" t="s">
        <v>1976</v>
      </c>
      <c r="M722" t="s">
        <v>3</v>
      </c>
      <c r="N722" t="s">
        <v>74</v>
      </c>
      <c r="O722" s="25" t="s">
        <v>3827</v>
      </c>
      <c r="P722" s="25">
        <v>1</v>
      </c>
      <c r="Q722" s="25">
        <v>37200</v>
      </c>
      <c r="R722" s="25" t="s">
        <v>26</v>
      </c>
      <c r="S722" s="25" t="s">
        <v>26</v>
      </c>
      <c r="T722" s="25">
        <f t="shared" si="11"/>
        <v>37200</v>
      </c>
    </row>
    <row r="723" spans="1:20">
      <c r="A723" t="s">
        <v>1979</v>
      </c>
      <c r="B723">
        <v>45885</v>
      </c>
      <c r="C723" t="s">
        <v>93</v>
      </c>
      <c r="D723" t="s">
        <v>94</v>
      </c>
      <c r="E723" t="s">
        <v>107</v>
      </c>
      <c r="F723">
        <v>4000</v>
      </c>
      <c r="G723" t="s">
        <v>25</v>
      </c>
      <c r="H723" t="s">
        <v>1980</v>
      </c>
      <c r="I723" t="s">
        <v>71</v>
      </c>
      <c r="J723">
        <v>40900</v>
      </c>
      <c r="K723" t="s">
        <v>3</v>
      </c>
      <c r="L723" t="s">
        <v>1981</v>
      </c>
      <c r="M723" t="s">
        <v>3</v>
      </c>
      <c r="N723" t="s">
        <v>74</v>
      </c>
      <c r="O723" s="25" t="s">
        <v>3827</v>
      </c>
      <c r="P723" s="25">
        <v>1</v>
      </c>
      <c r="Q723" s="25">
        <v>40900</v>
      </c>
      <c r="R723" s="25" t="s">
        <v>26</v>
      </c>
      <c r="S723" s="25" t="s">
        <v>26</v>
      </c>
      <c r="T723" s="25">
        <f t="shared" si="11"/>
        <v>40900</v>
      </c>
    </row>
    <row r="724" spans="1:20">
      <c r="A724" t="s">
        <v>1982</v>
      </c>
      <c r="B724">
        <v>45885</v>
      </c>
      <c r="C724" t="s">
        <v>93</v>
      </c>
      <c r="D724" t="s">
        <v>111</v>
      </c>
      <c r="E724" t="s">
        <v>112</v>
      </c>
      <c r="F724">
        <v>4000</v>
      </c>
      <c r="G724" t="s">
        <v>25</v>
      </c>
      <c r="H724" t="s">
        <v>1983</v>
      </c>
      <c r="I724" t="s">
        <v>71</v>
      </c>
      <c r="J724">
        <v>64300</v>
      </c>
      <c r="K724" t="s">
        <v>3</v>
      </c>
      <c r="L724" t="s">
        <v>1984</v>
      </c>
      <c r="M724" t="s">
        <v>3</v>
      </c>
      <c r="N724" t="s">
        <v>74</v>
      </c>
      <c r="O724" s="25" t="s">
        <v>3827</v>
      </c>
      <c r="P724" s="25">
        <v>1</v>
      </c>
      <c r="Q724" s="25">
        <v>64300</v>
      </c>
      <c r="R724" s="25" t="s">
        <v>26</v>
      </c>
      <c r="S724" s="25" t="s">
        <v>26</v>
      </c>
      <c r="T724" s="25">
        <f t="shared" si="11"/>
        <v>64300</v>
      </c>
    </row>
    <row r="725" spans="1:20">
      <c r="A725" t="s">
        <v>1985</v>
      </c>
      <c r="B725">
        <v>45885</v>
      </c>
      <c r="C725" t="s">
        <v>93</v>
      </c>
      <c r="D725" t="s">
        <v>111</v>
      </c>
      <c r="E725" t="s">
        <v>116</v>
      </c>
      <c r="F725">
        <v>4000</v>
      </c>
      <c r="G725" t="s">
        <v>25</v>
      </c>
      <c r="H725" t="s">
        <v>1986</v>
      </c>
      <c r="I725" t="s">
        <v>71</v>
      </c>
      <c r="J725">
        <v>60300</v>
      </c>
      <c r="K725" t="s">
        <v>3</v>
      </c>
      <c r="L725" t="s">
        <v>1984</v>
      </c>
      <c r="M725" t="s">
        <v>3</v>
      </c>
      <c r="N725" t="s">
        <v>74</v>
      </c>
      <c r="O725" s="25" t="s">
        <v>3827</v>
      </c>
      <c r="P725" s="25">
        <v>1</v>
      </c>
      <c r="Q725" s="25">
        <v>60300</v>
      </c>
      <c r="R725" s="25" t="s">
        <v>26</v>
      </c>
      <c r="S725" s="25" t="s">
        <v>26</v>
      </c>
      <c r="T725" s="25">
        <f t="shared" si="11"/>
        <v>60300</v>
      </c>
    </row>
    <row r="726" spans="1:20">
      <c r="A726" t="s">
        <v>1987</v>
      </c>
      <c r="B726">
        <v>45885</v>
      </c>
      <c r="C726" t="s">
        <v>93</v>
      </c>
      <c r="D726" t="s">
        <v>111</v>
      </c>
      <c r="E726" t="s">
        <v>119</v>
      </c>
      <c r="F726">
        <v>4000</v>
      </c>
      <c r="G726" t="s">
        <v>25</v>
      </c>
      <c r="H726" t="s">
        <v>1988</v>
      </c>
      <c r="I726" t="s">
        <v>71</v>
      </c>
      <c r="J726">
        <v>60800</v>
      </c>
      <c r="K726" t="s">
        <v>3</v>
      </c>
      <c r="L726" t="s">
        <v>1984</v>
      </c>
      <c r="M726" t="s">
        <v>3</v>
      </c>
      <c r="N726" t="s">
        <v>74</v>
      </c>
      <c r="O726" s="25" t="s">
        <v>3827</v>
      </c>
      <c r="P726" s="25">
        <v>1</v>
      </c>
      <c r="Q726" s="25">
        <v>60800</v>
      </c>
      <c r="R726" s="25" t="s">
        <v>26</v>
      </c>
      <c r="S726" s="25" t="s">
        <v>26</v>
      </c>
      <c r="T726" s="25">
        <f t="shared" si="11"/>
        <v>60800</v>
      </c>
    </row>
    <row r="727" spans="1:20">
      <c r="A727" t="s">
        <v>1989</v>
      </c>
      <c r="B727">
        <v>45885</v>
      </c>
      <c r="C727" t="s">
        <v>93</v>
      </c>
      <c r="D727" t="s">
        <v>111</v>
      </c>
      <c r="E727" t="s">
        <v>170</v>
      </c>
      <c r="F727">
        <v>4000</v>
      </c>
      <c r="G727" t="s">
        <v>25</v>
      </c>
      <c r="H727" t="s">
        <v>1990</v>
      </c>
      <c r="I727" t="s">
        <v>71</v>
      </c>
      <c r="J727">
        <v>67300</v>
      </c>
      <c r="K727" t="s">
        <v>3</v>
      </c>
      <c r="L727" t="s">
        <v>1984</v>
      </c>
      <c r="M727" t="s">
        <v>3</v>
      </c>
      <c r="N727" t="s">
        <v>74</v>
      </c>
      <c r="O727" s="25" t="s">
        <v>3827</v>
      </c>
      <c r="P727" s="25">
        <v>1</v>
      </c>
      <c r="Q727" s="25">
        <v>67300</v>
      </c>
      <c r="R727" s="25" t="s">
        <v>26</v>
      </c>
      <c r="S727" s="25" t="s">
        <v>26</v>
      </c>
      <c r="T727" s="25">
        <f t="shared" si="11"/>
        <v>67300</v>
      </c>
    </row>
    <row r="728" spans="1:20">
      <c r="A728" t="s">
        <v>1991</v>
      </c>
      <c r="B728">
        <v>45885</v>
      </c>
      <c r="C728" t="s">
        <v>93</v>
      </c>
      <c r="D728" t="s">
        <v>111</v>
      </c>
      <c r="E728" t="s">
        <v>122</v>
      </c>
      <c r="F728">
        <v>4000</v>
      </c>
      <c r="G728" t="s">
        <v>25</v>
      </c>
      <c r="H728" t="s">
        <v>1992</v>
      </c>
      <c r="I728" t="s">
        <v>73</v>
      </c>
      <c r="J728">
        <v>659.6</v>
      </c>
      <c r="K728" t="s">
        <v>3</v>
      </c>
      <c r="L728" t="s">
        <v>1993</v>
      </c>
      <c r="M728" t="s">
        <v>3</v>
      </c>
      <c r="N728" t="s">
        <v>74</v>
      </c>
      <c r="O728" s="25" t="s">
        <v>3829</v>
      </c>
      <c r="P728" s="25">
        <v>99</v>
      </c>
      <c r="Q728" s="25">
        <v>65300.4</v>
      </c>
      <c r="R728" s="25" t="s">
        <v>26</v>
      </c>
      <c r="S728" s="25" t="s">
        <v>26</v>
      </c>
      <c r="T728" s="25">
        <f t="shared" si="11"/>
        <v>65300.4</v>
      </c>
    </row>
    <row r="729" spans="1:20">
      <c r="A729" t="s">
        <v>1994</v>
      </c>
      <c r="B729">
        <v>45885</v>
      </c>
      <c r="C729" t="s">
        <v>126</v>
      </c>
      <c r="D729" t="s">
        <v>88</v>
      </c>
      <c r="E729" t="s">
        <v>127</v>
      </c>
      <c r="F729">
        <v>4020</v>
      </c>
      <c r="G729" t="s">
        <v>30</v>
      </c>
      <c r="H729" t="s">
        <v>1995</v>
      </c>
      <c r="I729" t="s">
        <v>72</v>
      </c>
      <c r="J729">
        <v>29.64</v>
      </c>
      <c r="K729" t="s">
        <v>129</v>
      </c>
      <c r="L729" t="s">
        <v>1996</v>
      </c>
      <c r="M729" t="s">
        <v>3</v>
      </c>
      <c r="N729" t="s">
        <v>74</v>
      </c>
      <c r="O729" s="25" t="s">
        <v>3828</v>
      </c>
      <c r="P729" s="25">
        <v>1572</v>
      </c>
      <c r="Q729" s="25">
        <v>46594.080000000002</v>
      </c>
      <c r="R729" s="25" t="s">
        <v>26</v>
      </c>
      <c r="S729" s="25" t="s">
        <v>26</v>
      </c>
      <c r="T729" s="25">
        <f t="shared" si="11"/>
        <v>46594.080000000002</v>
      </c>
    </row>
    <row r="730" spans="1:20">
      <c r="A730" t="s">
        <v>1997</v>
      </c>
      <c r="B730">
        <v>45885</v>
      </c>
      <c r="C730" t="s">
        <v>126</v>
      </c>
      <c r="D730" t="s">
        <v>88</v>
      </c>
      <c r="E730" t="s">
        <v>132</v>
      </c>
      <c r="F730">
        <v>4020</v>
      </c>
      <c r="G730" t="s">
        <v>30</v>
      </c>
      <c r="H730" t="s">
        <v>1998</v>
      </c>
      <c r="I730" t="s">
        <v>71</v>
      </c>
      <c r="J730">
        <v>48000</v>
      </c>
      <c r="K730" t="s">
        <v>134</v>
      </c>
      <c r="L730" t="s">
        <v>1996</v>
      </c>
      <c r="M730" t="s">
        <v>3</v>
      </c>
      <c r="N730" t="s">
        <v>74</v>
      </c>
      <c r="O730" s="25" t="s">
        <v>3827</v>
      </c>
      <c r="P730" s="25">
        <v>1</v>
      </c>
      <c r="Q730" s="25">
        <v>48000</v>
      </c>
      <c r="R730" s="25" t="s">
        <v>26</v>
      </c>
      <c r="S730" s="25" t="s">
        <v>26</v>
      </c>
      <c r="T730" s="25">
        <f t="shared" si="11"/>
        <v>48000</v>
      </c>
    </row>
    <row r="731" spans="1:20">
      <c r="A731" t="s">
        <v>1999</v>
      </c>
      <c r="B731">
        <v>45885</v>
      </c>
      <c r="C731" t="s">
        <v>126</v>
      </c>
      <c r="D731" t="s">
        <v>88</v>
      </c>
      <c r="E731" t="s">
        <v>136</v>
      </c>
      <c r="F731">
        <v>4020</v>
      </c>
      <c r="G731" t="s">
        <v>30</v>
      </c>
      <c r="H731" t="s">
        <v>2000</v>
      </c>
      <c r="I731" t="s">
        <v>72</v>
      </c>
      <c r="J731">
        <v>28.82</v>
      </c>
      <c r="K731" t="s">
        <v>138</v>
      </c>
      <c r="L731" t="s">
        <v>1996</v>
      </c>
      <c r="M731" t="s">
        <v>3</v>
      </c>
      <c r="N731" t="s">
        <v>74</v>
      </c>
      <c r="O731" s="25" t="s">
        <v>3828</v>
      </c>
      <c r="P731" s="25">
        <v>1572</v>
      </c>
      <c r="Q731" s="25">
        <v>45305.04</v>
      </c>
      <c r="R731" s="25" t="s">
        <v>26</v>
      </c>
      <c r="S731" s="25" t="s">
        <v>26</v>
      </c>
      <c r="T731" s="25">
        <f t="shared" si="11"/>
        <v>45305.04</v>
      </c>
    </row>
    <row r="732" spans="1:20">
      <c r="A732" t="s">
        <v>2001</v>
      </c>
      <c r="B732">
        <v>45885</v>
      </c>
      <c r="C732" t="s">
        <v>126</v>
      </c>
      <c r="D732" t="s">
        <v>88</v>
      </c>
      <c r="E732" t="s">
        <v>140</v>
      </c>
      <c r="F732">
        <v>4020</v>
      </c>
      <c r="G732" t="s">
        <v>30</v>
      </c>
      <c r="H732" t="s">
        <v>2002</v>
      </c>
      <c r="I732" t="s">
        <v>71</v>
      </c>
      <c r="J732">
        <v>51500</v>
      </c>
      <c r="K732" t="s">
        <v>3</v>
      </c>
      <c r="L732" t="s">
        <v>2003</v>
      </c>
      <c r="M732" t="s">
        <v>3</v>
      </c>
      <c r="N732" t="s">
        <v>74</v>
      </c>
      <c r="O732" s="25" t="s">
        <v>3827</v>
      </c>
      <c r="P732" s="25">
        <v>1</v>
      </c>
      <c r="Q732" s="25">
        <v>51500</v>
      </c>
      <c r="R732" s="25" t="s">
        <v>26</v>
      </c>
      <c r="S732" s="25" t="s">
        <v>26</v>
      </c>
      <c r="T732" s="25">
        <f t="shared" si="11"/>
        <v>51500</v>
      </c>
    </row>
    <row r="733" spans="1:20">
      <c r="A733" t="s">
        <v>2004</v>
      </c>
      <c r="B733">
        <v>45885</v>
      </c>
      <c r="C733" t="s">
        <v>87</v>
      </c>
      <c r="D733" t="s">
        <v>94</v>
      </c>
      <c r="E733" t="s">
        <v>3</v>
      </c>
      <c r="F733">
        <v>5020</v>
      </c>
      <c r="G733" t="s">
        <v>39</v>
      </c>
      <c r="H733" t="s">
        <v>1423</v>
      </c>
      <c r="I733" t="s">
        <v>71</v>
      </c>
      <c r="J733">
        <v>-100000</v>
      </c>
      <c r="K733" t="s">
        <v>276</v>
      </c>
      <c r="L733" t="s">
        <v>2005</v>
      </c>
      <c r="M733" t="s">
        <v>3</v>
      </c>
      <c r="N733" t="s">
        <v>74</v>
      </c>
      <c r="O733" s="25" t="s">
        <v>3827</v>
      </c>
      <c r="P733" s="25">
        <v>1</v>
      </c>
      <c r="Q733" s="25">
        <v>-100000</v>
      </c>
      <c r="R733" s="25" t="s">
        <v>35</v>
      </c>
      <c r="S733" s="25" t="s">
        <v>35</v>
      </c>
      <c r="T733" s="25">
        <f t="shared" si="11"/>
        <v>-100000</v>
      </c>
    </row>
    <row r="734" spans="1:20">
      <c r="A734" t="s">
        <v>2006</v>
      </c>
      <c r="B734">
        <v>45886</v>
      </c>
      <c r="C734" t="s">
        <v>93</v>
      </c>
      <c r="D734" t="s">
        <v>94</v>
      </c>
      <c r="E734" t="s">
        <v>95</v>
      </c>
      <c r="F734">
        <v>4000</v>
      </c>
      <c r="G734" t="s">
        <v>25</v>
      </c>
      <c r="H734" t="s">
        <v>2007</v>
      </c>
      <c r="I734" t="s">
        <v>71</v>
      </c>
      <c r="J734">
        <v>34500</v>
      </c>
      <c r="K734" t="s">
        <v>3</v>
      </c>
      <c r="L734" t="s">
        <v>2008</v>
      </c>
      <c r="M734" t="s">
        <v>3</v>
      </c>
      <c r="N734" t="s">
        <v>74</v>
      </c>
      <c r="O734" s="25" t="s">
        <v>3827</v>
      </c>
      <c r="P734" s="25">
        <v>1</v>
      </c>
      <c r="Q734" s="25">
        <v>34500</v>
      </c>
      <c r="R734" s="25" t="s">
        <v>26</v>
      </c>
      <c r="S734" s="25" t="s">
        <v>26</v>
      </c>
      <c r="T734" s="25">
        <f t="shared" si="11"/>
        <v>34500</v>
      </c>
    </row>
    <row r="735" spans="1:20">
      <c r="A735" t="s">
        <v>2009</v>
      </c>
      <c r="B735">
        <v>45886</v>
      </c>
      <c r="C735" t="s">
        <v>93</v>
      </c>
      <c r="D735" t="s">
        <v>94</v>
      </c>
      <c r="E735" t="s">
        <v>99</v>
      </c>
      <c r="F735">
        <v>4000</v>
      </c>
      <c r="G735" t="s">
        <v>25</v>
      </c>
      <c r="H735" t="s">
        <v>2010</v>
      </c>
      <c r="I735" t="s">
        <v>71</v>
      </c>
      <c r="J735">
        <v>38700</v>
      </c>
      <c r="K735" t="s">
        <v>3</v>
      </c>
      <c r="L735" t="s">
        <v>2011</v>
      </c>
      <c r="M735" t="s">
        <v>3</v>
      </c>
      <c r="N735" t="s">
        <v>74</v>
      </c>
      <c r="O735" s="25" t="s">
        <v>3827</v>
      </c>
      <c r="P735" s="25">
        <v>1</v>
      </c>
      <c r="Q735" s="25">
        <v>38700</v>
      </c>
      <c r="R735" s="25" t="s">
        <v>26</v>
      </c>
      <c r="S735" s="25" t="s">
        <v>26</v>
      </c>
      <c r="T735" s="25">
        <f t="shared" si="11"/>
        <v>38700</v>
      </c>
    </row>
    <row r="736" spans="1:20">
      <c r="A736" t="s">
        <v>2012</v>
      </c>
      <c r="B736">
        <v>45886</v>
      </c>
      <c r="C736" t="s">
        <v>93</v>
      </c>
      <c r="D736" t="s">
        <v>94</v>
      </c>
      <c r="E736" t="s">
        <v>103</v>
      </c>
      <c r="F736">
        <v>4000</v>
      </c>
      <c r="G736" t="s">
        <v>25</v>
      </c>
      <c r="H736" t="s">
        <v>2013</v>
      </c>
      <c r="I736" t="s">
        <v>71</v>
      </c>
      <c r="J736">
        <v>37200</v>
      </c>
      <c r="K736" t="s">
        <v>3</v>
      </c>
      <c r="L736" t="s">
        <v>2014</v>
      </c>
      <c r="M736" t="s">
        <v>3</v>
      </c>
      <c r="N736" t="s">
        <v>74</v>
      </c>
      <c r="O736" s="25" t="s">
        <v>3827</v>
      </c>
      <c r="P736" s="25">
        <v>1</v>
      </c>
      <c r="Q736" s="25">
        <v>37200</v>
      </c>
      <c r="R736" s="25" t="s">
        <v>26</v>
      </c>
      <c r="S736" s="25" t="s">
        <v>26</v>
      </c>
      <c r="T736" s="25">
        <f t="shared" si="11"/>
        <v>37200</v>
      </c>
    </row>
    <row r="737" spans="1:20">
      <c r="A737" t="s">
        <v>2015</v>
      </c>
      <c r="B737">
        <v>45886</v>
      </c>
      <c r="C737" t="s">
        <v>93</v>
      </c>
      <c r="D737" t="s">
        <v>94</v>
      </c>
      <c r="E737" t="s">
        <v>160</v>
      </c>
      <c r="F737">
        <v>4000</v>
      </c>
      <c r="G737" t="s">
        <v>25</v>
      </c>
      <c r="H737" t="s">
        <v>2016</v>
      </c>
      <c r="I737" t="s">
        <v>71</v>
      </c>
      <c r="J737">
        <v>35100</v>
      </c>
      <c r="K737" t="s">
        <v>3</v>
      </c>
      <c r="L737" t="s">
        <v>2014</v>
      </c>
      <c r="M737" t="s">
        <v>3</v>
      </c>
      <c r="N737" t="s">
        <v>74</v>
      </c>
      <c r="O737" s="25" t="s">
        <v>3827</v>
      </c>
      <c r="P737" s="25">
        <v>1</v>
      </c>
      <c r="Q737" s="25">
        <v>35100</v>
      </c>
      <c r="R737" s="25" t="s">
        <v>26</v>
      </c>
      <c r="S737" s="25" t="s">
        <v>26</v>
      </c>
      <c r="T737" s="25">
        <f t="shared" si="11"/>
        <v>35100</v>
      </c>
    </row>
    <row r="738" spans="1:20">
      <c r="A738" t="s">
        <v>2017</v>
      </c>
      <c r="B738">
        <v>45886</v>
      </c>
      <c r="C738" t="s">
        <v>93</v>
      </c>
      <c r="D738" t="s">
        <v>94</v>
      </c>
      <c r="E738" t="s">
        <v>107</v>
      </c>
      <c r="F738">
        <v>4000</v>
      </c>
      <c r="G738" t="s">
        <v>25</v>
      </c>
      <c r="H738" t="s">
        <v>2018</v>
      </c>
      <c r="I738" t="s">
        <v>71</v>
      </c>
      <c r="J738">
        <v>38500</v>
      </c>
      <c r="K738" t="s">
        <v>3</v>
      </c>
      <c r="L738" t="s">
        <v>2019</v>
      </c>
      <c r="M738" t="s">
        <v>3</v>
      </c>
      <c r="N738" t="s">
        <v>74</v>
      </c>
      <c r="O738" s="25" t="s">
        <v>3827</v>
      </c>
      <c r="P738" s="25">
        <v>1</v>
      </c>
      <c r="Q738" s="25">
        <v>38500</v>
      </c>
      <c r="R738" s="25" t="s">
        <v>26</v>
      </c>
      <c r="S738" s="25" t="s">
        <v>26</v>
      </c>
      <c r="T738" s="25">
        <f t="shared" si="11"/>
        <v>38500</v>
      </c>
    </row>
    <row r="739" spans="1:20">
      <c r="A739" t="s">
        <v>2020</v>
      </c>
      <c r="B739">
        <v>45886</v>
      </c>
      <c r="C739" t="s">
        <v>93</v>
      </c>
      <c r="D739" t="s">
        <v>111</v>
      </c>
      <c r="E739" t="s">
        <v>112</v>
      </c>
      <c r="F739">
        <v>4000</v>
      </c>
      <c r="G739" t="s">
        <v>25</v>
      </c>
      <c r="H739" t="s">
        <v>2021</v>
      </c>
      <c r="I739" t="s">
        <v>71</v>
      </c>
      <c r="J739">
        <v>63300</v>
      </c>
      <c r="K739" t="s">
        <v>3</v>
      </c>
      <c r="L739" t="s">
        <v>2022</v>
      </c>
      <c r="M739" t="s">
        <v>3</v>
      </c>
      <c r="N739" t="s">
        <v>74</v>
      </c>
      <c r="O739" s="25" t="s">
        <v>3827</v>
      </c>
      <c r="P739" s="25">
        <v>1</v>
      </c>
      <c r="Q739" s="25">
        <v>63300</v>
      </c>
      <c r="R739" s="25" t="s">
        <v>26</v>
      </c>
      <c r="S739" s="25" t="s">
        <v>26</v>
      </c>
      <c r="T739" s="25">
        <f t="shared" si="11"/>
        <v>63300</v>
      </c>
    </row>
    <row r="740" spans="1:20">
      <c r="A740" t="s">
        <v>2023</v>
      </c>
      <c r="B740">
        <v>45886</v>
      </c>
      <c r="C740" t="s">
        <v>93</v>
      </c>
      <c r="D740" t="s">
        <v>111</v>
      </c>
      <c r="E740" t="s">
        <v>116</v>
      </c>
      <c r="F740">
        <v>4000</v>
      </c>
      <c r="G740" t="s">
        <v>25</v>
      </c>
      <c r="H740" t="s">
        <v>2024</v>
      </c>
      <c r="I740" t="s">
        <v>71</v>
      </c>
      <c r="J740">
        <v>65700</v>
      </c>
      <c r="K740" t="s">
        <v>3</v>
      </c>
      <c r="L740" t="s">
        <v>2022</v>
      </c>
      <c r="M740" t="s">
        <v>3</v>
      </c>
      <c r="N740" t="s">
        <v>74</v>
      </c>
      <c r="O740" s="25" t="s">
        <v>3827</v>
      </c>
      <c r="P740" s="25">
        <v>1</v>
      </c>
      <c r="Q740" s="25">
        <v>65700</v>
      </c>
      <c r="R740" s="25" t="s">
        <v>26</v>
      </c>
      <c r="S740" s="25" t="s">
        <v>26</v>
      </c>
      <c r="T740" s="25">
        <f t="shared" si="11"/>
        <v>65700</v>
      </c>
    </row>
    <row r="741" spans="1:20">
      <c r="A741" t="s">
        <v>2025</v>
      </c>
      <c r="B741">
        <v>45886</v>
      </c>
      <c r="C741" t="s">
        <v>93</v>
      </c>
      <c r="D741" t="s">
        <v>111</v>
      </c>
      <c r="E741" t="s">
        <v>119</v>
      </c>
      <c r="F741">
        <v>4000</v>
      </c>
      <c r="G741" t="s">
        <v>25</v>
      </c>
      <c r="H741" t="s">
        <v>2026</v>
      </c>
      <c r="I741" t="s">
        <v>71</v>
      </c>
      <c r="J741">
        <v>66300</v>
      </c>
      <c r="K741" t="s">
        <v>3</v>
      </c>
      <c r="L741" t="s">
        <v>2022</v>
      </c>
      <c r="M741" t="s">
        <v>3</v>
      </c>
      <c r="N741" t="s">
        <v>74</v>
      </c>
      <c r="O741" s="25" t="s">
        <v>3827</v>
      </c>
      <c r="P741" s="25">
        <v>1</v>
      </c>
      <c r="Q741" s="25">
        <v>66300</v>
      </c>
      <c r="R741" s="25" t="s">
        <v>26</v>
      </c>
      <c r="S741" s="25" t="s">
        <v>26</v>
      </c>
      <c r="T741" s="25">
        <f t="shared" si="11"/>
        <v>66300</v>
      </c>
    </row>
    <row r="742" spans="1:20">
      <c r="A742" t="s">
        <v>2027</v>
      </c>
      <c r="B742">
        <v>45886</v>
      </c>
      <c r="C742" t="s">
        <v>93</v>
      </c>
      <c r="D742" t="s">
        <v>111</v>
      </c>
      <c r="E742" t="s">
        <v>170</v>
      </c>
      <c r="F742">
        <v>4000</v>
      </c>
      <c r="G742" t="s">
        <v>25</v>
      </c>
      <c r="H742" t="s">
        <v>2028</v>
      </c>
      <c r="I742" t="s">
        <v>71</v>
      </c>
      <c r="J742">
        <v>66800</v>
      </c>
      <c r="K742" t="s">
        <v>3</v>
      </c>
      <c r="L742" t="s">
        <v>2022</v>
      </c>
      <c r="M742" t="s">
        <v>3</v>
      </c>
      <c r="N742" t="s">
        <v>74</v>
      </c>
      <c r="O742" s="25" t="s">
        <v>3827</v>
      </c>
      <c r="P742" s="25">
        <v>1</v>
      </c>
      <c r="Q742" s="25">
        <v>66800</v>
      </c>
      <c r="R742" s="25" t="s">
        <v>26</v>
      </c>
      <c r="S742" s="25" t="s">
        <v>26</v>
      </c>
      <c r="T742" s="25">
        <f t="shared" si="11"/>
        <v>66800</v>
      </c>
    </row>
    <row r="743" spans="1:20">
      <c r="A743" t="s">
        <v>2029</v>
      </c>
      <c r="B743">
        <v>45886</v>
      </c>
      <c r="C743" t="s">
        <v>93</v>
      </c>
      <c r="D743" t="s">
        <v>111</v>
      </c>
      <c r="E743" t="s">
        <v>122</v>
      </c>
      <c r="F743">
        <v>4000</v>
      </c>
      <c r="G743" t="s">
        <v>25</v>
      </c>
      <c r="H743" t="s">
        <v>2030</v>
      </c>
      <c r="I743" t="s">
        <v>73</v>
      </c>
      <c r="J743">
        <v>642.41999999999996</v>
      </c>
      <c r="K743" t="s">
        <v>3</v>
      </c>
      <c r="L743" t="s">
        <v>2031</v>
      </c>
      <c r="M743" t="s">
        <v>3</v>
      </c>
      <c r="N743" t="s">
        <v>74</v>
      </c>
      <c r="O743" s="25" t="s">
        <v>3829</v>
      </c>
      <c r="P743" s="25">
        <v>99</v>
      </c>
      <c r="Q743" s="25">
        <v>63599.579999999994</v>
      </c>
      <c r="R743" s="25" t="s">
        <v>26</v>
      </c>
      <c r="S743" s="25" t="s">
        <v>26</v>
      </c>
      <c r="T743" s="25">
        <f t="shared" si="11"/>
        <v>63599.579999999994</v>
      </c>
    </row>
    <row r="744" spans="1:20">
      <c r="A744" t="s">
        <v>2032</v>
      </c>
      <c r="B744">
        <v>45886</v>
      </c>
      <c r="C744" t="s">
        <v>126</v>
      </c>
      <c r="D744" t="s">
        <v>88</v>
      </c>
      <c r="E744" t="s">
        <v>132</v>
      </c>
      <c r="F744">
        <v>4020</v>
      </c>
      <c r="G744" t="s">
        <v>30</v>
      </c>
      <c r="H744" t="s">
        <v>2033</v>
      </c>
      <c r="I744" t="s">
        <v>71</v>
      </c>
      <c r="J744">
        <v>51700</v>
      </c>
      <c r="K744" t="s">
        <v>134</v>
      </c>
      <c r="L744" t="s">
        <v>2034</v>
      </c>
      <c r="M744" t="s">
        <v>3</v>
      </c>
      <c r="N744" t="s">
        <v>74</v>
      </c>
      <c r="O744" s="25" t="s">
        <v>3827</v>
      </c>
      <c r="P744" s="25">
        <v>1</v>
      </c>
      <c r="Q744" s="25">
        <v>51700</v>
      </c>
      <c r="R744" s="25" t="s">
        <v>26</v>
      </c>
      <c r="S744" s="25" t="s">
        <v>26</v>
      </c>
      <c r="T744" s="25">
        <f t="shared" si="11"/>
        <v>51700</v>
      </c>
    </row>
    <row r="745" spans="1:20">
      <c r="A745" t="s">
        <v>2035</v>
      </c>
      <c r="B745">
        <v>45886</v>
      </c>
      <c r="C745" t="s">
        <v>126</v>
      </c>
      <c r="D745" t="s">
        <v>88</v>
      </c>
      <c r="E745" t="s">
        <v>136</v>
      </c>
      <c r="F745">
        <v>4020</v>
      </c>
      <c r="G745" t="s">
        <v>30</v>
      </c>
      <c r="H745" t="s">
        <v>2036</v>
      </c>
      <c r="I745" t="s">
        <v>72</v>
      </c>
      <c r="J745">
        <v>29.9</v>
      </c>
      <c r="K745" t="s">
        <v>138</v>
      </c>
      <c r="L745" t="s">
        <v>2034</v>
      </c>
      <c r="M745" t="s">
        <v>3</v>
      </c>
      <c r="N745" t="s">
        <v>74</v>
      </c>
      <c r="O745" s="25" t="s">
        <v>3828</v>
      </c>
      <c r="P745" s="25">
        <v>1572</v>
      </c>
      <c r="Q745" s="25">
        <v>47002.799999999996</v>
      </c>
      <c r="R745" s="25" t="s">
        <v>26</v>
      </c>
      <c r="S745" s="25" t="s">
        <v>26</v>
      </c>
      <c r="T745" s="25">
        <f t="shared" si="11"/>
        <v>47002.799999999996</v>
      </c>
    </row>
    <row r="746" spans="1:20">
      <c r="A746" t="s">
        <v>2037</v>
      </c>
      <c r="B746">
        <v>45886</v>
      </c>
      <c r="C746" t="s">
        <v>126</v>
      </c>
      <c r="D746" t="s">
        <v>88</v>
      </c>
      <c r="E746" t="s">
        <v>140</v>
      </c>
      <c r="F746">
        <v>4020</v>
      </c>
      <c r="G746" t="s">
        <v>30</v>
      </c>
      <c r="H746" t="s">
        <v>2038</v>
      </c>
      <c r="I746" t="s">
        <v>71</v>
      </c>
      <c r="J746">
        <v>45300</v>
      </c>
      <c r="K746" t="s">
        <v>3</v>
      </c>
      <c r="L746" t="s">
        <v>2039</v>
      </c>
      <c r="M746" t="s">
        <v>3</v>
      </c>
      <c r="N746" t="s">
        <v>74</v>
      </c>
      <c r="O746" s="25" t="s">
        <v>3827</v>
      </c>
      <c r="P746" s="25">
        <v>1</v>
      </c>
      <c r="Q746" s="25">
        <v>45300</v>
      </c>
      <c r="R746" s="25" t="s">
        <v>26</v>
      </c>
      <c r="S746" s="25" t="s">
        <v>26</v>
      </c>
      <c r="T746" s="25">
        <f t="shared" si="11"/>
        <v>45300</v>
      </c>
    </row>
    <row r="747" spans="1:20">
      <c r="A747" t="s">
        <v>2040</v>
      </c>
      <c r="B747">
        <v>45886</v>
      </c>
      <c r="C747" t="s">
        <v>93</v>
      </c>
      <c r="D747" t="s">
        <v>111</v>
      </c>
      <c r="E747" t="s">
        <v>112</v>
      </c>
      <c r="F747">
        <v>4900</v>
      </c>
      <c r="G747" t="s">
        <v>32</v>
      </c>
      <c r="H747" t="s">
        <v>2041</v>
      </c>
      <c r="I747" t="s">
        <v>71</v>
      </c>
      <c r="J747">
        <v>149254</v>
      </c>
      <c r="K747" t="s">
        <v>3</v>
      </c>
      <c r="L747" t="s">
        <v>2042</v>
      </c>
      <c r="M747" t="s">
        <v>237</v>
      </c>
      <c r="N747" t="s">
        <v>74</v>
      </c>
      <c r="O747" s="25" t="s">
        <v>3827</v>
      </c>
      <c r="P747" s="25">
        <v>1</v>
      </c>
      <c r="Q747" s="25">
        <v>149254</v>
      </c>
      <c r="R747" s="25" t="s">
        <v>26</v>
      </c>
      <c r="S747" s="25" t="s">
        <v>26</v>
      </c>
      <c r="T747" s="25">
        <f t="shared" si="11"/>
        <v>-149254</v>
      </c>
    </row>
    <row r="748" spans="1:20">
      <c r="A748" t="s">
        <v>2043</v>
      </c>
      <c r="B748">
        <v>45886</v>
      </c>
      <c r="C748" t="s">
        <v>87</v>
      </c>
      <c r="D748" t="s">
        <v>88</v>
      </c>
      <c r="E748" t="s">
        <v>3</v>
      </c>
      <c r="F748">
        <v>5030</v>
      </c>
      <c r="G748" t="s">
        <v>41</v>
      </c>
      <c r="H748" t="s">
        <v>1428</v>
      </c>
      <c r="I748" t="s">
        <v>71</v>
      </c>
      <c r="J748">
        <v>-570000</v>
      </c>
      <c r="K748" t="s">
        <v>90</v>
      </c>
      <c r="L748" t="s">
        <v>2044</v>
      </c>
      <c r="M748" t="s">
        <v>3</v>
      </c>
      <c r="N748" t="s">
        <v>74</v>
      </c>
      <c r="O748" s="25" t="s">
        <v>3827</v>
      </c>
      <c r="P748" s="25">
        <v>1</v>
      </c>
      <c r="Q748" s="25">
        <v>-570000</v>
      </c>
      <c r="R748" s="25" t="s">
        <v>35</v>
      </c>
      <c r="S748" s="25" t="s">
        <v>35</v>
      </c>
      <c r="T748" s="25">
        <f t="shared" si="11"/>
        <v>-570000</v>
      </c>
    </row>
    <row r="749" spans="1:20">
      <c r="A749" t="s">
        <v>2045</v>
      </c>
      <c r="B749">
        <v>45886</v>
      </c>
      <c r="C749" t="s">
        <v>87</v>
      </c>
      <c r="D749" t="s">
        <v>88</v>
      </c>
      <c r="E749" t="s">
        <v>3</v>
      </c>
      <c r="F749">
        <v>5040</v>
      </c>
      <c r="G749" t="s">
        <v>43</v>
      </c>
      <c r="H749" t="s">
        <v>1431</v>
      </c>
      <c r="I749" t="s">
        <v>71</v>
      </c>
      <c r="J749">
        <v>-649000</v>
      </c>
      <c r="K749" t="s">
        <v>398</v>
      </c>
      <c r="L749" t="s">
        <v>2046</v>
      </c>
      <c r="M749" t="s">
        <v>3</v>
      </c>
      <c r="N749" t="s">
        <v>74</v>
      </c>
      <c r="O749" s="25" t="s">
        <v>3827</v>
      </c>
      <c r="P749" s="25">
        <v>1</v>
      </c>
      <c r="Q749" s="25">
        <v>-649000</v>
      </c>
      <c r="R749" s="25" t="s">
        <v>35</v>
      </c>
      <c r="S749" s="25" t="s">
        <v>35</v>
      </c>
      <c r="T749" s="25">
        <f t="shared" si="11"/>
        <v>-649000</v>
      </c>
    </row>
    <row r="750" spans="1:20">
      <c r="A750" t="s">
        <v>2047</v>
      </c>
      <c r="B750">
        <v>45887</v>
      </c>
      <c r="C750" t="s">
        <v>93</v>
      </c>
      <c r="D750" t="s">
        <v>94</v>
      </c>
      <c r="E750" t="s">
        <v>95</v>
      </c>
      <c r="F750">
        <v>4000</v>
      </c>
      <c r="G750" t="s">
        <v>25</v>
      </c>
      <c r="H750" t="s">
        <v>2048</v>
      </c>
      <c r="I750" t="s">
        <v>71</v>
      </c>
      <c r="J750">
        <v>29900</v>
      </c>
      <c r="K750" t="s">
        <v>3</v>
      </c>
      <c r="L750" t="s">
        <v>2049</v>
      </c>
      <c r="M750" t="s">
        <v>3</v>
      </c>
      <c r="N750" t="s">
        <v>74</v>
      </c>
      <c r="O750" s="25" t="s">
        <v>3827</v>
      </c>
      <c r="P750" s="25">
        <v>1</v>
      </c>
      <c r="Q750" s="25">
        <v>29900</v>
      </c>
      <c r="R750" s="25" t="s">
        <v>26</v>
      </c>
      <c r="S750" s="25" t="s">
        <v>26</v>
      </c>
      <c r="T750" s="25">
        <f t="shared" si="11"/>
        <v>29900</v>
      </c>
    </row>
    <row r="751" spans="1:20">
      <c r="A751" t="s">
        <v>2050</v>
      </c>
      <c r="B751">
        <v>45887</v>
      </c>
      <c r="C751" t="s">
        <v>93</v>
      </c>
      <c r="D751" t="s">
        <v>94</v>
      </c>
      <c r="E751" t="s">
        <v>99</v>
      </c>
      <c r="F751">
        <v>4000</v>
      </c>
      <c r="G751" t="s">
        <v>25</v>
      </c>
      <c r="H751" t="s">
        <v>2051</v>
      </c>
      <c r="I751" t="s">
        <v>71</v>
      </c>
      <c r="J751">
        <v>31600</v>
      </c>
      <c r="K751" t="s">
        <v>3</v>
      </c>
      <c r="L751" t="s">
        <v>2052</v>
      </c>
      <c r="M751" t="s">
        <v>3</v>
      </c>
      <c r="N751" t="s">
        <v>74</v>
      </c>
      <c r="O751" s="25" t="s">
        <v>3827</v>
      </c>
      <c r="P751" s="25">
        <v>1</v>
      </c>
      <c r="Q751" s="25">
        <v>31600</v>
      </c>
      <c r="R751" s="25" t="s">
        <v>26</v>
      </c>
      <c r="S751" s="25" t="s">
        <v>26</v>
      </c>
      <c r="T751" s="25">
        <f t="shared" si="11"/>
        <v>31600</v>
      </c>
    </row>
    <row r="752" spans="1:20">
      <c r="A752" t="s">
        <v>2053</v>
      </c>
      <c r="B752">
        <v>45887</v>
      </c>
      <c r="C752" t="s">
        <v>93</v>
      </c>
      <c r="D752" t="s">
        <v>94</v>
      </c>
      <c r="E752" t="s">
        <v>103</v>
      </c>
      <c r="F752">
        <v>4000</v>
      </c>
      <c r="G752" t="s">
        <v>25</v>
      </c>
      <c r="H752" t="s">
        <v>2054</v>
      </c>
      <c r="I752" t="s">
        <v>71</v>
      </c>
      <c r="J752">
        <v>27700</v>
      </c>
      <c r="K752" t="s">
        <v>3</v>
      </c>
      <c r="L752" t="s">
        <v>2055</v>
      </c>
      <c r="M752" t="s">
        <v>3</v>
      </c>
      <c r="N752" t="s">
        <v>74</v>
      </c>
      <c r="O752" s="25" t="s">
        <v>3827</v>
      </c>
      <c r="P752" s="25">
        <v>1</v>
      </c>
      <c r="Q752" s="25">
        <v>27700</v>
      </c>
      <c r="R752" s="25" t="s">
        <v>26</v>
      </c>
      <c r="S752" s="25" t="s">
        <v>26</v>
      </c>
      <c r="T752" s="25">
        <f t="shared" si="11"/>
        <v>27700</v>
      </c>
    </row>
    <row r="753" spans="1:20">
      <c r="A753" t="s">
        <v>2056</v>
      </c>
      <c r="B753">
        <v>45887</v>
      </c>
      <c r="C753" t="s">
        <v>93</v>
      </c>
      <c r="D753" t="s">
        <v>94</v>
      </c>
      <c r="E753" t="s">
        <v>160</v>
      </c>
      <c r="F753">
        <v>4000</v>
      </c>
      <c r="G753" t="s">
        <v>25</v>
      </c>
      <c r="H753" t="s">
        <v>2057</v>
      </c>
      <c r="I753" t="s">
        <v>71</v>
      </c>
      <c r="J753">
        <v>31700</v>
      </c>
      <c r="K753" t="s">
        <v>3</v>
      </c>
      <c r="L753" t="s">
        <v>2055</v>
      </c>
      <c r="M753" t="s">
        <v>3</v>
      </c>
      <c r="N753" t="s">
        <v>74</v>
      </c>
      <c r="O753" s="25" t="s">
        <v>3827</v>
      </c>
      <c r="P753" s="25">
        <v>1</v>
      </c>
      <c r="Q753" s="25">
        <v>31700</v>
      </c>
      <c r="R753" s="25" t="s">
        <v>26</v>
      </c>
      <c r="S753" s="25" t="s">
        <v>26</v>
      </c>
      <c r="T753" s="25">
        <f t="shared" si="11"/>
        <v>31700</v>
      </c>
    </row>
    <row r="754" spans="1:20">
      <c r="A754" t="s">
        <v>2058</v>
      </c>
      <c r="B754">
        <v>45887</v>
      </c>
      <c r="C754" t="s">
        <v>93</v>
      </c>
      <c r="D754" t="s">
        <v>94</v>
      </c>
      <c r="E754" t="s">
        <v>107</v>
      </c>
      <c r="F754">
        <v>4000</v>
      </c>
      <c r="G754" t="s">
        <v>25</v>
      </c>
      <c r="H754" t="s">
        <v>2059</v>
      </c>
      <c r="I754" t="s">
        <v>71</v>
      </c>
      <c r="J754">
        <v>30000</v>
      </c>
      <c r="K754" t="s">
        <v>3</v>
      </c>
      <c r="L754" t="s">
        <v>2060</v>
      </c>
      <c r="M754" t="s">
        <v>3</v>
      </c>
      <c r="N754" t="s">
        <v>74</v>
      </c>
      <c r="O754" s="25" t="s">
        <v>3827</v>
      </c>
      <c r="P754" s="25">
        <v>1</v>
      </c>
      <c r="Q754" s="25">
        <v>30000</v>
      </c>
      <c r="R754" s="25" t="s">
        <v>26</v>
      </c>
      <c r="S754" s="25" t="s">
        <v>26</v>
      </c>
      <c r="T754" s="25">
        <f t="shared" si="11"/>
        <v>30000</v>
      </c>
    </row>
    <row r="755" spans="1:20">
      <c r="A755" t="s">
        <v>2061</v>
      </c>
      <c r="B755">
        <v>45887</v>
      </c>
      <c r="C755" t="s">
        <v>93</v>
      </c>
      <c r="D755" t="s">
        <v>111</v>
      </c>
      <c r="E755" t="s">
        <v>112</v>
      </c>
      <c r="F755">
        <v>4000</v>
      </c>
      <c r="G755" t="s">
        <v>25</v>
      </c>
      <c r="H755" t="s">
        <v>2062</v>
      </c>
      <c r="I755" t="s">
        <v>71</v>
      </c>
      <c r="J755">
        <v>49400</v>
      </c>
      <c r="K755" t="s">
        <v>3</v>
      </c>
      <c r="L755" t="s">
        <v>2063</v>
      </c>
      <c r="M755" t="s">
        <v>3</v>
      </c>
      <c r="N755" t="s">
        <v>74</v>
      </c>
      <c r="O755" s="25" t="s">
        <v>3827</v>
      </c>
      <c r="P755" s="25">
        <v>1</v>
      </c>
      <c r="Q755" s="25">
        <v>49400</v>
      </c>
      <c r="R755" s="25" t="s">
        <v>26</v>
      </c>
      <c r="S755" s="25" t="s">
        <v>26</v>
      </c>
      <c r="T755" s="25">
        <f t="shared" si="11"/>
        <v>49400</v>
      </c>
    </row>
    <row r="756" spans="1:20">
      <c r="A756" t="s">
        <v>2064</v>
      </c>
      <c r="B756">
        <v>45887</v>
      </c>
      <c r="C756" t="s">
        <v>93</v>
      </c>
      <c r="D756" t="s">
        <v>111</v>
      </c>
      <c r="E756" t="s">
        <v>116</v>
      </c>
      <c r="F756">
        <v>4000</v>
      </c>
      <c r="G756" t="s">
        <v>25</v>
      </c>
      <c r="H756" t="s">
        <v>2065</v>
      </c>
      <c r="I756" t="s">
        <v>71</v>
      </c>
      <c r="J756">
        <v>50200</v>
      </c>
      <c r="K756" t="s">
        <v>3</v>
      </c>
      <c r="L756" t="s">
        <v>2063</v>
      </c>
      <c r="M756" t="s">
        <v>3</v>
      </c>
      <c r="N756" t="s">
        <v>74</v>
      </c>
      <c r="O756" s="25" t="s">
        <v>3827</v>
      </c>
      <c r="P756" s="25">
        <v>1</v>
      </c>
      <c r="Q756" s="25">
        <v>50200</v>
      </c>
      <c r="R756" s="25" t="s">
        <v>26</v>
      </c>
      <c r="S756" s="25" t="s">
        <v>26</v>
      </c>
      <c r="T756" s="25">
        <f t="shared" si="11"/>
        <v>50200</v>
      </c>
    </row>
    <row r="757" spans="1:20">
      <c r="A757" t="s">
        <v>2066</v>
      </c>
      <c r="B757">
        <v>45887</v>
      </c>
      <c r="C757" t="s">
        <v>93</v>
      </c>
      <c r="D757" t="s">
        <v>111</v>
      </c>
      <c r="E757" t="s">
        <v>119</v>
      </c>
      <c r="F757">
        <v>4000</v>
      </c>
      <c r="G757" t="s">
        <v>25</v>
      </c>
      <c r="H757" t="s">
        <v>2067</v>
      </c>
      <c r="I757" t="s">
        <v>71</v>
      </c>
      <c r="J757">
        <v>49800</v>
      </c>
      <c r="K757" t="s">
        <v>3</v>
      </c>
      <c r="L757" t="s">
        <v>2063</v>
      </c>
      <c r="M757" t="s">
        <v>3</v>
      </c>
      <c r="N757" t="s">
        <v>74</v>
      </c>
      <c r="O757" s="25" t="s">
        <v>3827</v>
      </c>
      <c r="P757" s="25">
        <v>1</v>
      </c>
      <c r="Q757" s="25">
        <v>49800</v>
      </c>
      <c r="R757" s="25" t="s">
        <v>26</v>
      </c>
      <c r="S757" s="25" t="s">
        <v>26</v>
      </c>
      <c r="T757" s="25">
        <f t="shared" si="11"/>
        <v>49800</v>
      </c>
    </row>
    <row r="758" spans="1:20">
      <c r="A758" t="s">
        <v>2068</v>
      </c>
      <c r="B758">
        <v>45887</v>
      </c>
      <c r="C758" t="s">
        <v>93</v>
      </c>
      <c r="D758" t="s">
        <v>111</v>
      </c>
      <c r="E758" t="s">
        <v>170</v>
      </c>
      <c r="F758">
        <v>4000</v>
      </c>
      <c r="G758" t="s">
        <v>25</v>
      </c>
      <c r="H758" t="s">
        <v>2069</v>
      </c>
      <c r="I758" t="s">
        <v>71</v>
      </c>
      <c r="J758">
        <v>52400</v>
      </c>
      <c r="K758" t="s">
        <v>3</v>
      </c>
      <c r="L758" t="s">
        <v>2063</v>
      </c>
      <c r="M758" t="s">
        <v>3</v>
      </c>
      <c r="N758" t="s">
        <v>74</v>
      </c>
      <c r="O758" s="25" t="s">
        <v>3827</v>
      </c>
      <c r="P758" s="25">
        <v>1</v>
      </c>
      <c r="Q758" s="25">
        <v>52400</v>
      </c>
      <c r="R758" s="25" t="s">
        <v>26</v>
      </c>
      <c r="S758" s="25" t="s">
        <v>26</v>
      </c>
      <c r="T758" s="25">
        <f t="shared" si="11"/>
        <v>52400</v>
      </c>
    </row>
    <row r="759" spans="1:20">
      <c r="A759" t="s">
        <v>2070</v>
      </c>
      <c r="B759">
        <v>45887</v>
      </c>
      <c r="C759" t="s">
        <v>93</v>
      </c>
      <c r="D759" t="s">
        <v>111</v>
      </c>
      <c r="E759" t="s">
        <v>122</v>
      </c>
      <c r="F759">
        <v>4000</v>
      </c>
      <c r="G759" t="s">
        <v>25</v>
      </c>
      <c r="H759" t="s">
        <v>2071</v>
      </c>
      <c r="I759" t="s">
        <v>71</v>
      </c>
      <c r="J759">
        <v>51700</v>
      </c>
      <c r="K759" t="s">
        <v>3</v>
      </c>
      <c r="L759" t="s">
        <v>2072</v>
      </c>
      <c r="M759" t="s">
        <v>3</v>
      </c>
      <c r="N759" t="s">
        <v>74</v>
      </c>
      <c r="O759" s="25" t="s">
        <v>3827</v>
      </c>
      <c r="P759" s="25">
        <v>1</v>
      </c>
      <c r="Q759" s="25">
        <v>51700</v>
      </c>
      <c r="R759" s="25" t="s">
        <v>26</v>
      </c>
      <c r="S759" s="25" t="s">
        <v>26</v>
      </c>
      <c r="T759" s="25">
        <f t="shared" si="11"/>
        <v>51700</v>
      </c>
    </row>
    <row r="760" spans="1:20">
      <c r="A760" t="s">
        <v>2073</v>
      </c>
      <c r="B760">
        <v>45887</v>
      </c>
      <c r="C760" t="s">
        <v>126</v>
      </c>
      <c r="D760" t="s">
        <v>88</v>
      </c>
      <c r="E760" t="s">
        <v>127</v>
      </c>
      <c r="F760">
        <v>4020</v>
      </c>
      <c r="G760" t="s">
        <v>30</v>
      </c>
      <c r="H760" t="s">
        <v>2074</v>
      </c>
      <c r="I760" t="s">
        <v>71</v>
      </c>
      <c r="J760">
        <v>53200</v>
      </c>
      <c r="K760" t="s">
        <v>129</v>
      </c>
      <c r="L760" t="s">
        <v>2075</v>
      </c>
      <c r="M760" t="s">
        <v>3</v>
      </c>
      <c r="N760" t="s">
        <v>74</v>
      </c>
      <c r="O760" s="25" t="s">
        <v>3827</v>
      </c>
      <c r="P760" s="25">
        <v>1</v>
      </c>
      <c r="Q760" s="25">
        <v>53200</v>
      </c>
      <c r="R760" s="25" t="s">
        <v>26</v>
      </c>
      <c r="S760" s="25" t="s">
        <v>26</v>
      </c>
      <c r="T760" s="25">
        <f t="shared" si="11"/>
        <v>53200</v>
      </c>
    </row>
    <row r="761" spans="1:20">
      <c r="A761" t="s">
        <v>2076</v>
      </c>
      <c r="B761">
        <v>45887</v>
      </c>
      <c r="C761" t="s">
        <v>126</v>
      </c>
      <c r="D761" t="s">
        <v>88</v>
      </c>
      <c r="E761" t="s">
        <v>132</v>
      </c>
      <c r="F761">
        <v>4020</v>
      </c>
      <c r="G761" t="s">
        <v>30</v>
      </c>
      <c r="H761" t="s">
        <v>2077</v>
      </c>
      <c r="I761" t="s">
        <v>72</v>
      </c>
      <c r="J761">
        <v>28.31</v>
      </c>
      <c r="K761" t="s">
        <v>134</v>
      </c>
      <c r="L761" t="s">
        <v>2075</v>
      </c>
      <c r="M761" t="s">
        <v>3</v>
      </c>
      <c r="N761" t="s">
        <v>74</v>
      </c>
      <c r="O761" s="25" t="s">
        <v>3828</v>
      </c>
      <c r="P761" s="25">
        <v>1572</v>
      </c>
      <c r="Q761" s="25">
        <v>44503.32</v>
      </c>
      <c r="R761" s="25" t="s">
        <v>26</v>
      </c>
      <c r="S761" s="25" t="s">
        <v>26</v>
      </c>
      <c r="T761" s="25">
        <f t="shared" si="11"/>
        <v>44503.32</v>
      </c>
    </row>
    <row r="762" spans="1:20">
      <c r="A762" t="s">
        <v>2078</v>
      </c>
      <c r="B762">
        <v>45887</v>
      </c>
      <c r="C762" t="s">
        <v>126</v>
      </c>
      <c r="D762" t="s">
        <v>88</v>
      </c>
      <c r="E762" t="s">
        <v>136</v>
      </c>
      <c r="F762">
        <v>4020</v>
      </c>
      <c r="G762" t="s">
        <v>30</v>
      </c>
      <c r="H762" t="s">
        <v>2079</v>
      </c>
      <c r="I762" t="s">
        <v>71</v>
      </c>
      <c r="J762">
        <v>54500</v>
      </c>
      <c r="K762" t="s">
        <v>138</v>
      </c>
      <c r="L762" t="s">
        <v>2075</v>
      </c>
      <c r="M762" t="s">
        <v>3</v>
      </c>
      <c r="N762" t="s">
        <v>74</v>
      </c>
      <c r="O762" s="25" t="s">
        <v>3827</v>
      </c>
      <c r="P762" s="25">
        <v>1</v>
      </c>
      <c r="Q762" s="25">
        <v>54500</v>
      </c>
      <c r="R762" s="25" t="s">
        <v>26</v>
      </c>
      <c r="S762" s="25" t="s">
        <v>26</v>
      </c>
      <c r="T762" s="25">
        <f t="shared" si="11"/>
        <v>54500</v>
      </c>
    </row>
    <row r="763" spans="1:20">
      <c r="A763" t="s">
        <v>2080</v>
      </c>
      <c r="B763">
        <v>45887</v>
      </c>
      <c r="C763" t="s">
        <v>126</v>
      </c>
      <c r="D763" t="s">
        <v>88</v>
      </c>
      <c r="E763" t="s">
        <v>140</v>
      </c>
      <c r="F763">
        <v>4020</v>
      </c>
      <c r="G763" t="s">
        <v>30</v>
      </c>
      <c r="H763" t="s">
        <v>2081</v>
      </c>
      <c r="I763" t="s">
        <v>71</v>
      </c>
      <c r="J763">
        <v>44600</v>
      </c>
      <c r="K763" t="s">
        <v>3</v>
      </c>
      <c r="L763" t="s">
        <v>2082</v>
      </c>
      <c r="M763" t="s">
        <v>3</v>
      </c>
      <c r="N763" t="s">
        <v>74</v>
      </c>
      <c r="O763" s="25" t="s">
        <v>3827</v>
      </c>
      <c r="P763" s="25">
        <v>1</v>
      </c>
      <c r="Q763" s="25">
        <v>44600</v>
      </c>
      <c r="R763" s="25" t="s">
        <v>26</v>
      </c>
      <c r="S763" s="25" t="s">
        <v>26</v>
      </c>
      <c r="T763" s="25">
        <f t="shared" si="11"/>
        <v>44600</v>
      </c>
    </row>
    <row r="764" spans="1:20">
      <c r="A764" t="s">
        <v>2083</v>
      </c>
      <c r="B764">
        <v>45887</v>
      </c>
      <c r="C764" t="s">
        <v>93</v>
      </c>
      <c r="D764" t="s">
        <v>111</v>
      </c>
      <c r="E764" t="s">
        <v>112</v>
      </c>
      <c r="F764">
        <v>4900</v>
      </c>
      <c r="G764" t="s">
        <v>32</v>
      </c>
      <c r="H764" t="s">
        <v>2084</v>
      </c>
      <c r="I764" t="s">
        <v>71</v>
      </c>
      <c r="J764">
        <v>63934</v>
      </c>
      <c r="K764" t="s">
        <v>3</v>
      </c>
      <c r="L764" t="s">
        <v>2085</v>
      </c>
      <c r="M764" t="s">
        <v>237</v>
      </c>
      <c r="N764" t="s">
        <v>74</v>
      </c>
      <c r="O764" s="25" t="s">
        <v>3827</v>
      </c>
      <c r="P764" s="25">
        <v>1</v>
      </c>
      <c r="Q764" s="25">
        <v>63934</v>
      </c>
      <c r="R764" s="25" t="s">
        <v>26</v>
      </c>
      <c r="S764" s="25" t="s">
        <v>26</v>
      </c>
      <c r="T764" s="25">
        <f t="shared" si="11"/>
        <v>-63934</v>
      </c>
    </row>
    <row r="765" spans="1:20">
      <c r="A765" t="s">
        <v>2086</v>
      </c>
      <c r="B765">
        <v>45887</v>
      </c>
      <c r="C765" t="s">
        <v>87</v>
      </c>
      <c r="D765" t="s">
        <v>111</v>
      </c>
      <c r="E765" t="s">
        <v>3</v>
      </c>
      <c r="F765">
        <v>5010</v>
      </c>
      <c r="G765" t="s">
        <v>37</v>
      </c>
      <c r="H765" t="s">
        <v>1879</v>
      </c>
      <c r="I765" t="s">
        <v>71</v>
      </c>
      <c r="J765">
        <v>-1677000</v>
      </c>
      <c r="K765" t="s">
        <v>145</v>
      </c>
      <c r="L765" t="s">
        <v>2087</v>
      </c>
      <c r="M765" t="s">
        <v>3</v>
      </c>
      <c r="N765" t="s">
        <v>74</v>
      </c>
      <c r="O765" s="25" t="s">
        <v>3827</v>
      </c>
      <c r="P765" s="25">
        <v>1</v>
      </c>
      <c r="Q765" s="25">
        <v>-1677000</v>
      </c>
      <c r="R765" s="25" t="s">
        <v>35</v>
      </c>
      <c r="S765" s="25" t="s">
        <v>35</v>
      </c>
      <c r="T765" s="25">
        <f t="shared" si="11"/>
        <v>-1677000</v>
      </c>
    </row>
    <row r="766" spans="1:20">
      <c r="A766" t="s">
        <v>2088</v>
      </c>
      <c r="B766">
        <v>45888</v>
      </c>
      <c r="C766" t="s">
        <v>93</v>
      </c>
      <c r="D766" t="s">
        <v>94</v>
      </c>
      <c r="E766" t="s">
        <v>99</v>
      </c>
      <c r="F766">
        <v>4000</v>
      </c>
      <c r="G766" t="s">
        <v>25</v>
      </c>
      <c r="H766" t="s">
        <v>2089</v>
      </c>
      <c r="I766" t="s">
        <v>71</v>
      </c>
      <c r="J766">
        <v>31800</v>
      </c>
      <c r="K766" t="s">
        <v>3</v>
      </c>
      <c r="L766" t="s">
        <v>2090</v>
      </c>
      <c r="M766" t="s">
        <v>3</v>
      </c>
      <c r="N766" t="s">
        <v>74</v>
      </c>
      <c r="O766" s="25" t="s">
        <v>3827</v>
      </c>
      <c r="P766" s="25">
        <v>1</v>
      </c>
      <c r="Q766" s="25">
        <v>31800</v>
      </c>
      <c r="R766" s="25" t="s">
        <v>26</v>
      </c>
      <c r="S766" s="25" t="s">
        <v>26</v>
      </c>
      <c r="T766" s="25">
        <f t="shared" si="11"/>
        <v>31800</v>
      </c>
    </row>
    <row r="767" spans="1:20">
      <c r="A767" t="s">
        <v>2091</v>
      </c>
      <c r="B767">
        <v>45888</v>
      </c>
      <c r="C767" t="s">
        <v>93</v>
      </c>
      <c r="D767" t="s">
        <v>94</v>
      </c>
      <c r="E767" t="s">
        <v>103</v>
      </c>
      <c r="F767">
        <v>4000</v>
      </c>
      <c r="G767" t="s">
        <v>25</v>
      </c>
      <c r="H767" t="s">
        <v>2092</v>
      </c>
      <c r="I767" t="s">
        <v>71</v>
      </c>
      <c r="J767">
        <v>28400</v>
      </c>
      <c r="K767" t="s">
        <v>3</v>
      </c>
      <c r="L767" t="s">
        <v>2093</v>
      </c>
      <c r="M767" t="s">
        <v>3</v>
      </c>
      <c r="N767" t="s">
        <v>74</v>
      </c>
      <c r="O767" s="25" t="s">
        <v>3827</v>
      </c>
      <c r="P767" s="25">
        <v>1</v>
      </c>
      <c r="Q767" s="25">
        <v>28400</v>
      </c>
      <c r="R767" s="25" t="s">
        <v>26</v>
      </c>
      <c r="S767" s="25" t="s">
        <v>26</v>
      </c>
      <c r="T767" s="25">
        <f t="shared" si="11"/>
        <v>28400</v>
      </c>
    </row>
    <row r="768" spans="1:20">
      <c r="A768" t="s">
        <v>2094</v>
      </c>
      <c r="B768">
        <v>45888</v>
      </c>
      <c r="C768" t="s">
        <v>93</v>
      </c>
      <c r="D768" t="s">
        <v>94</v>
      </c>
      <c r="E768" t="s">
        <v>160</v>
      </c>
      <c r="F768">
        <v>4000</v>
      </c>
      <c r="G768" t="s">
        <v>25</v>
      </c>
      <c r="H768" t="s">
        <v>2095</v>
      </c>
      <c r="I768" t="s">
        <v>71</v>
      </c>
      <c r="J768">
        <v>31900</v>
      </c>
      <c r="K768" t="s">
        <v>3</v>
      </c>
      <c r="L768" t="s">
        <v>2093</v>
      </c>
      <c r="M768" t="s">
        <v>3</v>
      </c>
      <c r="N768" t="s">
        <v>74</v>
      </c>
      <c r="O768" s="25" t="s">
        <v>3827</v>
      </c>
      <c r="P768" s="25">
        <v>1</v>
      </c>
      <c r="Q768" s="25">
        <v>31900</v>
      </c>
      <c r="R768" s="25" t="s">
        <v>26</v>
      </c>
      <c r="S768" s="25" t="s">
        <v>26</v>
      </c>
      <c r="T768" s="25">
        <f t="shared" si="11"/>
        <v>31900</v>
      </c>
    </row>
    <row r="769" spans="1:20">
      <c r="A769" t="s">
        <v>2096</v>
      </c>
      <c r="B769">
        <v>45888</v>
      </c>
      <c r="C769" t="s">
        <v>93</v>
      </c>
      <c r="D769" t="s">
        <v>94</v>
      </c>
      <c r="E769" t="s">
        <v>107</v>
      </c>
      <c r="F769">
        <v>4000</v>
      </c>
      <c r="G769" t="s">
        <v>25</v>
      </c>
      <c r="H769" t="s">
        <v>2097</v>
      </c>
      <c r="I769" t="s">
        <v>71</v>
      </c>
      <c r="J769">
        <v>30700</v>
      </c>
      <c r="K769" t="s">
        <v>3</v>
      </c>
      <c r="L769" t="s">
        <v>2098</v>
      </c>
      <c r="M769" t="s">
        <v>3</v>
      </c>
      <c r="N769" t="s">
        <v>74</v>
      </c>
      <c r="O769" s="25" t="s">
        <v>3827</v>
      </c>
      <c r="P769" s="25">
        <v>1</v>
      </c>
      <c r="Q769" s="25">
        <v>30700</v>
      </c>
      <c r="R769" s="25" t="s">
        <v>26</v>
      </c>
      <c r="S769" s="25" t="s">
        <v>26</v>
      </c>
      <c r="T769" s="25">
        <f t="shared" si="11"/>
        <v>30700</v>
      </c>
    </row>
    <row r="770" spans="1:20">
      <c r="A770" t="s">
        <v>2099</v>
      </c>
      <c r="B770">
        <v>45888</v>
      </c>
      <c r="C770" t="s">
        <v>93</v>
      </c>
      <c r="D770" t="s">
        <v>111</v>
      </c>
      <c r="E770" t="s">
        <v>112</v>
      </c>
      <c r="F770">
        <v>4000</v>
      </c>
      <c r="G770" t="s">
        <v>25</v>
      </c>
      <c r="H770" t="s">
        <v>2100</v>
      </c>
      <c r="I770" t="s">
        <v>71</v>
      </c>
      <c r="J770">
        <v>48900</v>
      </c>
      <c r="K770" t="s">
        <v>3</v>
      </c>
      <c r="L770" t="s">
        <v>2101</v>
      </c>
      <c r="M770" t="s">
        <v>3</v>
      </c>
      <c r="N770" t="s">
        <v>74</v>
      </c>
      <c r="O770" s="25" t="s">
        <v>3827</v>
      </c>
      <c r="P770" s="25">
        <v>1</v>
      </c>
      <c r="Q770" s="25">
        <v>48900</v>
      </c>
      <c r="R770" s="25" t="s">
        <v>26</v>
      </c>
      <c r="S770" s="25" t="s">
        <v>26</v>
      </c>
      <c r="T770" s="25">
        <f t="shared" ref="T770:T833" si="12">IF(AND(S770="Revenue",G770&lt;&gt;"Refunds &amp; Chargebacks"),ABS(Q770),-ABS(Q770))</f>
        <v>48900</v>
      </c>
    </row>
    <row r="771" spans="1:20">
      <c r="A771" t="s">
        <v>2102</v>
      </c>
      <c r="B771">
        <v>45888</v>
      </c>
      <c r="C771" t="s">
        <v>93</v>
      </c>
      <c r="D771" t="s">
        <v>111</v>
      </c>
      <c r="E771" t="s">
        <v>116</v>
      </c>
      <c r="F771">
        <v>4000</v>
      </c>
      <c r="G771" t="s">
        <v>25</v>
      </c>
      <c r="H771" t="s">
        <v>2103</v>
      </c>
      <c r="I771" t="s">
        <v>71</v>
      </c>
      <c r="J771">
        <v>49100</v>
      </c>
      <c r="K771" t="s">
        <v>3</v>
      </c>
      <c r="L771" t="s">
        <v>2101</v>
      </c>
      <c r="M771" t="s">
        <v>3</v>
      </c>
      <c r="N771" t="s">
        <v>74</v>
      </c>
      <c r="O771" s="25" t="s">
        <v>3827</v>
      </c>
      <c r="P771" s="25">
        <v>1</v>
      </c>
      <c r="Q771" s="25">
        <v>49100</v>
      </c>
      <c r="R771" s="25" t="s">
        <v>26</v>
      </c>
      <c r="S771" s="25" t="s">
        <v>26</v>
      </c>
      <c r="T771" s="25">
        <f t="shared" si="12"/>
        <v>49100</v>
      </c>
    </row>
    <row r="772" spans="1:20">
      <c r="A772" t="s">
        <v>2104</v>
      </c>
      <c r="B772">
        <v>45888</v>
      </c>
      <c r="C772" t="s">
        <v>93</v>
      </c>
      <c r="D772" t="s">
        <v>111</v>
      </c>
      <c r="E772" t="s">
        <v>170</v>
      </c>
      <c r="F772">
        <v>4000</v>
      </c>
      <c r="G772" t="s">
        <v>25</v>
      </c>
      <c r="H772" t="s">
        <v>2105</v>
      </c>
      <c r="I772" t="s">
        <v>71</v>
      </c>
      <c r="J772">
        <v>51400</v>
      </c>
      <c r="K772" t="s">
        <v>3</v>
      </c>
      <c r="L772" t="s">
        <v>2101</v>
      </c>
      <c r="M772" t="s">
        <v>3</v>
      </c>
      <c r="N772" t="s">
        <v>74</v>
      </c>
      <c r="O772" s="25" t="s">
        <v>3827</v>
      </c>
      <c r="P772" s="25">
        <v>1</v>
      </c>
      <c r="Q772" s="25">
        <v>51400</v>
      </c>
      <c r="R772" s="25" t="s">
        <v>26</v>
      </c>
      <c r="S772" s="25" t="s">
        <v>26</v>
      </c>
      <c r="T772" s="25">
        <f t="shared" si="12"/>
        <v>51400</v>
      </c>
    </row>
    <row r="773" spans="1:20">
      <c r="A773" t="s">
        <v>2106</v>
      </c>
      <c r="B773">
        <v>45888</v>
      </c>
      <c r="C773" t="s">
        <v>93</v>
      </c>
      <c r="D773" t="s">
        <v>111</v>
      </c>
      <c r="E773" t="s">
        <v>122</v>
      </c>
      <c r="F773">
        <v>4000</v>
      </c>
      <c r="G773" t="s">
        <v>25</v>
      </c>
      <c r="H773" t="s">
        <v>2107</v>
      </c>
      <c r="I773" t="s">
        <v>71</v>
      </c>
      <c r="J773">
        <v>48400</v>
      </c>
      <c r="K773" t="s">
        <v>3</v>
      </c>
      <c r="L773" t="s">
        <v>2108</v>
      </c>
      <c r="M773" t="s">
        <v>3</v>
      </c>
      <c r="N773" t="s">
        <v>74</v>
      </c>
      <c r="O773" s="25" t="s">
        <v>3827</v>
      </c>
      <c r="P773" s="25">
        <v>1</v>
      </c>
      <c r="Q773" s="25">
        <v>48400</v>
      </c>
      <c r="R773" s="25" t="s">
        <v>26</v>
      </c>
      <c r="S773" s="25" t="s">
        <v>26</v>
      </c>
      <c r="T773" s="25">
        <f t="shared" si="12"/>
        <v>48400</v>
      </c>
    </row>
    <row r="774" spans="1:20">
      <c r="A774" t="s">
        <v>2109</v>
      </c>
      <c r="B774">
        <v>45888</v>
      </c>
      <c r="C774" t="s">
        <v>126</v>
      </c>
      <c r="D774" t="s">
        <v>88</v>
      </c>
      <c r="E774" t="s">
        <v>127</v>
      </c>
      <c r="F774">
        <v>4020</v>
      </c>
      <c r="G774" t="s">
        <v>30</v>
      </c>
      <c r="H774" t="s">
        <v>2110</v>
      </c>
      <c r="I774" t="s">
        <v>72</v>
      </c>
      <c r="J774">
        <v>31.23</v>
      </c>
      <c r="K774" t="s">
        <v>129</v>
      </c>
      <c r="L774" t="s">
        <v>2111</v>
      </c>
      <c r="M774" t="s">
        <v>3</v>
      </c>
      <c r="N774" t="s">
        <v>74</v>
      </c>
      <c r="O774" s="25" t="s">
        <v>3828</v>
      </c>
      <c r="P774" s="25">
        <v>1572</v>
      </c>
      <c r="Q774" s="25">
        <v>49093.56</v>
      </c>
      <c r="R774" s="25" t="s">
        <v>26</v>
      </c>
      <c r="S774" s="25" t="s">
        <v>26</v>
      </c>
      <c r="T774" s="25">
        <f t="shared" si="12"/>
        <v>49093.56</v>
      </c>
    </row>
    <row r="775" spans="1:20">
      <c r="A775" t="s">
        <v>2112</v>
      </c>
      <c r="B775">
        <v>45888</v>
      </c>
      <c r="C775" t="s">
        <v>126</v>
      </c>
      <c r="D775" t="s">
        <v>88</v>
      </c>
      <c r="E775" t="s">
        <v>132</v>
      </c>
      <c r="F775">
        <v>4020</v>
      </c>
      <c r="G775" t="s">
        <v>30</v>
      </c>
      <c r="H775" t="s">
        <v>2113</v>
      </c>
      <c r="I775" t="s">
        <v>71</v>
      </c>
      <c r="J775">
        <v>54400</v>
      </c>
      <c r="K775" t="s">
        <v>134</v>
      </c>
      <c r="L775" t="s">
        <v>2111</v>
      </c>
      <c r="M775" t="s">
        <v>3</v>
      </c>
      <c r="N775" t="s">
        <v>74</v>
      </c>
      <c r="O775" s="25" t="s">
        <v>3827</v>
      </c>
      <c r="P775" s="25">
        <v>1</v>
      </c>
      <c r="Q775" s="25">
        <v>54400</v>
      </c>
      <c r="R775" s="25" t="s">
        <v>26</v>
      </c>
      <c r="S775" s="25" t="s">
        <v>26</v>
      </c>
      <c r="T775" s="25">
        <f t="shared" si="12"/>
        <v>54400</v>
      </c>
    </row>
    <row r="776" spans="1:20">
      <c r="A776" t="s">
        <v>2114</v>
      </c>
      <c r="B776">
        <v>45888</v>
      </c>
      <c r="C776" t="s">
        <v>126</v>
      </c>
      <c r="D776" t="s">
        <v>88</v>
      </c>
      <c r="E776" t="s">
        <v>136</v>
      </c>
      <c r="F776">
        <v>4020</v>
      </c>
      <c r="G776" t="s">
        <v>30</v>
      </c>
      <c r="H776" t="s">
        <v>2115</v>
      </c>
      <c r="I776" t="s">
        <v>71</v>
      </c>
      <c r="J776">
        <v>44400</v>
      </c>
      <c r="K776" t="s">
        <v>138</v>
      </c>
      <c r="L776" t="s">
        <v>2111</v>
      </c>
      <c r="M776" t="s">
        <v>3</v>
      </c>
      <c r="N776" t="s">
        <v>74</v>
      </c>
      <c r="O776" s="25" t="s">
        <v>3827</v>
      </c>
      <c r="P776" s="25">
        <v>1</v>
      </c>
      <c r="Q776" s="25">
        <v>44400</v>
      </c>
      <c r="R776" s="25" t="s">
        <v>26</v>
      </c>
      <c r="S776" s="25" t="s">
        <v>26</v>
      </c>
      <c r="T776" s="25">
        <f t="shared" si="12"/>
        <v>44400</v>
      </c>
    </row>
    <row r="777" spans="1:20">
      <c r="A777" t="s">
        <v>2116</v>
      </c>
      <c r="B777">
        <v>45888</v>
      </c>
      <c r="C777" t="s">
        <v>126</v>
      </c>
      <c r="D777" t="s">
        <v>88</v>
      </c>
      <c r="E777" t="s">
        <v>140</v>
      </c>
      <c r="F777">
        <v>4020</v>
      </c>
      <c r="G777" t="s">
        <v>30</v>
      </c>
      <c r="H777" t="s">
        <v>2117</v>
      </c>
      <c r="I777" t="s">
        <v>71</v>
      </c>
      <c r="J777">
        <v>46000</v>
      </c>
      <c r="K777" t="s">
        <v>3</v>
      </c>
      <c r="L777" t="s">
        <v>2118</v>
      </c>
      <c r="M777" t="s">
        <v>3</v>
      </c>
      <c r="N777" t="s">
        <v>74</v>
      </c>
      <c r="O777" s="25" t="s">
        <v>3827</v>
      </c>
      <c r="P777" s="25">
        <v>1</v>
      </c>
      <c r="Q777" s="25">
        <v>46000</v>
      </c>
      <c r="R777" s="25" t="s">
        <v>26</v>
      </c>
      <c r="S777" s="25" t="s">
        <v>26</v>
      </c>
      <c r="T777" s="25">
        <f t="shared" si="12"/>
        <v>46000</v>
      </c>
    </row>
    <row r="778" spans="1:20">
      <c r="A778" t="s">
        <v>2119</v>
      </c>
      <c r="B778">
        <v>45888</v>
      </c>
      <c r="C778" t="s">
        <v>87</v>
      </c>
      <c r="D778" t="s">
        <v>111</v>
      </c>
      <c r="E778" t="s">
        <v>3</v>
      </c>
      <c r="F778">
        <v>6030</v>
      </c>
      <c r="G778" t="s">
        <v>54</v>
      </c>
      <c r="H778" t="s">
        <v>2120</v>
      </c>
      <c r="I778" t="s">
        <v>71</v>
      </c>
      <c r="J778">
        <v>-522879</v>
      </c>
      <c r="K778" t="s">
        <v>870</v>
      </c>
      <c r="L778" t="s">
        <v>2121</v>
      </c>
      <c r="M778" t="s">
        <v>3</v>
      </c>
      <c r="N778" t="s">
        <v>74</v>
      </c>
      <c r="O778" s="25" t="s">
        <v>3827</v>
      </c>
      <c r="P778" s="25">
        <v>1</v>
      </c>
      <c r="Q778" s="25">
        <v>-522879</v>
      </c>
      <c r="R778" s="25" t="s">
        <v>48</v>
      </c>
      <c r="S778" s="25" t="s">
        <v>48</v>
      </c>
      <c r="T778" s="25">
        <f t="shared" si="12"/>
        <v>-522879</v>
      </c>
    </row>
    <row r="779" spans="1:20">
      <c r="A779" t="s">
        <v>2122</v>
      </c>
      <c r="B779">
        <v>45889</v>
      </c>
      <c r="C779" t="s">
        <v>93</v>
      </c>
      <c r="D779" t="s">
        <v>94</v>
      </c>
      <c r="E779" t="s">
        <v>95</v>
      </c>
      <c r="F779">
        <v>4000</v>
      </c>
      <c r="G779" t="s">
        <v>25</v>
      </c>
      <c r="H779" t="s">
        <v>2123</v>
      </c>
      <c r="I779" t="s">
        <v>71</v>
      </c>
      <c r="J779">
        <v>29400</v>
      </c>
      <c r="K779" t="s">
        <v>3</v>
      </c>
      <c r="L779" t="s">
        <v>2124</v>
      </c>
      <c r="M779" t="s">
        <v>3</v>
      </c>
      <c r="N779" t="s">
        <v>74</v>
      </c>
      <c r="O779" s="25" t="s">
        <v>3827</v>
      </c>
      <c r="P779" s="25">
        <v>1</v>
      </c>
      <c r="Q779" s="25">
        <v>29400</v>
      </c>
      <c r="R779" s="25" t="s">
        <v>26</v>
      </c>
      <c r="S779" s="25" t="s">
        <v>26</v>
      </c>
      <c r="T779" s="25">
        <f t="shared" si="12"/>
        <v>29400</v>
      </c>
    </row>
    <row r="780" spans="1:20">
      <c r="A780" t="s">
        <v>2125</v>
      </c>
      <c r="B780">
        <v>45889</v>
      </c>
      <c r="C780" t="s">
        <v>93</v>
      </c>
      <c r="D780" t="s">
        <v>94</v>
      </c>
      <c r="E780" t="s">
        <v>103</v>
      </c>
      <c r="F780">
        <v>4000</v>
      </c>
      <c r="G780" t="s">
        <v>25</v>
      </c>
      <c r="H780" t="s">
        <v>2126</v>
      </c>
      <c r="I780" t="s">
        <v>71</v>
      </c>
      <c r="J780">
        <v>32800</v>
      </c>
      <c r="K780" t="s">
        <v>3</v>
      </c>
      <c r="L780" t="s">
        <v>2127</v>
      </c>
      <c r="M780" t="s">
        <v>3</v>
      </c>
      <c r="N780" t="s">
        <v>74</v>
      </c>
      <c r="O780" s="25" t="s">
        <v>3827</v>
      </c>
      <c r="P780" s="25">
        <v>1</v>
      </c>
      <c r="Q780" s="25">
        <v>32800</v>
      </c>
      <c r="R780" s="25" t="s">
        <v>26</v>
      </c>
      <c r="S780" s="25" t="s">
        <v>26</v>
      </c>
      <c r="T780" s="25">
        <f t="shared" si="12"/>
        <v>32800</v>
      </c>
    </row>
    <row r="781" spans="1:20">
      <c r="A781" t="s">
        <v>2128</v>
      </c>
      <c r="B781">
        <v>45889</v>
      </c>
      <c r="C781" t="s">
        <v>93</v>
      </c>
      <c r="D781" t="s">
        <v>94</v>
      </c>
      <c r="E781" t="s">
        <v>160</v>
      </c>
      <c r="F781">
        <v>4000</v>
      </c>
      <c r="G781" t="s">
        <v>25</v>
      </c>
      <c r="H781" t="s">
        <v>2129</v>
      </c>
      <c r="I781" t="s">
        <v>71</v>
      </c>
      <c r="J781">
        <v>29800</v>
      </c>
      <c r="K781" t="s">
        <v>3</v>
      </c>
      <c r="L781" t="s">
        <v>2127</v>
      </c>
      <c r="M781" t="s">
        <v>3</v>
      </c>
      <c r="N781" t="s">
        <v>74</v>
      </c>
      <c r="O781" s="25" t="s">
        <v>3827</v>
      </c>
      <c r="P781" s="25">
        <v>1</v>
      </c>
      <c r="Q781" s="25">
        <v>29800</v>
      </c>
      <c r="R781" s="25" t="s">
        <v>26</v>
      </c>
      <c r="S781" s="25" t="s">
        <v>26</v>
      </c>
      <c r="T781" s="25">
        <f t="shared" si="12"/>
        <v>29800</v>
      </c>
    </row>
    <row r="782" spans="1:20">
      <c r="A782" t="s">
        <v>2130</v>
      </c>
      <c r="B782">
        <v>45889</v>
      </c>
      <c r="C782" t="s">
        <v>93</v>
      </c>
      <c r="D782" t="s">
        <v>94</v>
      </c>
      <c r="E782" t="s">
        <v>107</v>
      </c>
      <c r="F782">
        <v>4000</v>
      </c>
      <c r="G782" t="s">
        <v>25</v>
      </c>
      <c r="H782" t="s">
        <v>2131</v>
      </c>
      <c r="I782" t="s">
        <v>71</v>
      </c>
      <c r="J782">
        <v>31200</v>
      </c>
      <c r="K782" t="s">
        <v>3</v>
      </c>
      <c r="L782" t="s">
        <v>2132</v>
      </c>
      <c r="M782" t="s">
        <v>3</v>
      </c>
      <c r="N782" t="s">
        <v>74</v>
      </c>
      <c r="O782" s="25" t="s">
        <v>3827</v>
      </c>
      <c r="P782" s="25">
        <v>1</v>
      </c>
      <c r="Q782" s="25">
        <v>31200</v>
      </c>
      <c r="R782" s="25" t="s">
        <v>26</v>
      </c>
      <c r="S782" s="25" t="s">
        <v>26</v>
      </c>
      <c r="T782" s="25">
        <f t="shared" si="12"/>
        <v>31200</v>
      </c>
    </row>
    <row r="783" spans="1:20">
      <c r="A783" t="s">
        <v>2133</v>
      </c>
      <c r="B783">
        <v>45889</v>
      </c>
      <c r="C783" t="s">
        <v>93</v>
      </c>
      <c r="D783" t="s">
        <v>111</v>
      </c>
      <c r="E783" t="s">
        <v>112</v>
      </c>
      <c r="F783">
        <v>4000</v>
      </c>
      <c r="G783" t="s">
        <v>25</v>
      </c>
      <c r="H783" t="s">
        <v>2134</v>
      </c>
      <c r="I783" t="s">
        <v>71</v>
      </c>
      <c r="J783">
        <v>50800</v>
      </c>
      <c r="K783" t="s">
        <v>3</v>
      </c>
      <c r="L783" t="s">
        <v>2135</v>
      </c>
      <c r="M783" t="s">
        <v>3</v>
      </c>
      <c r="N783" t="s">
        <v>74</v>
      </c>
      <c r="O783" s="25" t="s">
        <v>3827</v>
      </c>
      <c r="P783" s="25">
        <v>1</v>
      </c>
      <c r="Q783" s="25">
        <v>50800</v>
      </c>
      <c r="R783" s="25" t="s">
        <v>26</v>
      </c>
      <c r="S783" s="25" t="s">
        <v>26</v>
      </c>
      <c r="T783" s="25">
        <f t="shared" si="12"/>
        <v>50800</v>
      </c>
    </row>
    <row r="784" spans="1:20">
      <c r="A784" t="s">
        <v>2136</v>
      </c>
      <c r="B784">
        <v>45889</v>
      </c>
      <c r="C784" t="s">
        <v>93</v>
      </c>
      <c r="D784" t="s">
        <v>111</v>
      </c>
      <c r="E784" t="s">
        <v>116</v>
      </c>
      <c r="F784">
        <v>4000</v>
      </c>
      <c r="G784" t="s">
        <v>25</v>
      </c>
      <c r="H784" t="s">
        <v>2137</v>
      </c>
      <c r="I784" t="s">
        <v>71</v>
      </c>
      <c r="J784">
        <v>49600</v>
      </c>
      <c r="K784" t="s">
        <v>3</v>
      </c>
      <c r="L784" t="s">
        <v>2135</v>
      </c>
      <c r="M784" t="s">
        <v>3</v>
      </c>
      <c r="N784" t="s">
        <v>74</v>
      </c>
      <c r="O784" s="25" t="s">
        <v>3827</v>
      </c>
      <c r="P784" s="25">
        <v>1</v>
      </c>
      <c r="Q784" s="25">
        <v>49600</v>
      </c>
      <c r="R784" s="25" t="s">
        <v>26</v>
      </c>
      <c r="S784" s="25" t="s">
        <v>26</v>
      </c>
      <c r="T784" s="25">
        <f t="shared" si="12"/>
        <v>49600</v>
      </c>
    </row>
    <row r="785" spans="1:20">
      <c r="A785" t="s">
        <v>2138</v>
      </c>
      <c r="B785">
        <v>45889</v>
      </c>
      <c r="C785" t="s">
        <v>93</v>
      </c>
      <c r="D785" t="s">
        <v>111</v>
      </c>
      <c r="E785" t="s">
        <v>119</v>
      </c>
      <c r="F785">
        <v>4000</v>
      </c>
      <c r="G785" t="s">
        <v>25</v>
      </c>
      <c r="H785" t="s">
        <v>2139</v>
      </c>
      <c r="I785" t="s">
        <v>71</v>
      </c>
      <c r="J785">
        <v>51000</v>
      </c>
      <c r="K785" t="s">
        <v>3</v>
      </c>
      <c r="L785" t="s">
        <v>2135</v>
      </c>
      <c r="M785" t="s">
        <v>3</v>
      </c>
      <c r="N785" t="s">
        <v>74</v>
      </c>
      <c r="O785" s="25" t="s">
        <v>3827</v>
      </c>
      <c r="P785" s="25">
        <v>1</v>
      </c>
      <c r="Q785" s="25">
        <v>51000</v>
      </c>
      <c r="R785" s="25" t="s">
        <v>26</v>
      </c>
      <c r="S785" s="25" t="s">
        <v>26</v>
      </c>
      <c r="T785" s="25">
        <f t="shared" si="12"/>
        <v>51000</v>
      </c>
    </row>
    <row r="786" spans="1:20">
      <c r="A786" t="s">
        <v>2140</v>
      </c>
      <c r="B786">
        <v>45889</v>
      </c>
      <c r="C786" t="s">
        <v>93</v>
      </c>
      <c r="D786" t="s">
        <v>111</v>
      </c>
      <c r="E786" t="s">
        <v>170</v>
      </c>
      <c r="F786">
        <v>4000</v>
      </c>
      <c r="G786" t="s">
        <v>25</v>
      </c>
      <c r="H786" t="s">
        <v>2141</v>
      </c>
      <c r="I786" t="s">
        <v>71</v>
      </c>
      <c r="J786">
        <v>50100</v>
      </c>
      <c r="K786" t="s">
        <v>3</v>
      </c>
      <c r="L786" t="s">
        <v>2135</v>
      </c>
      <c r="M786" t="s">
        <v>3</v>
      </c>
      <c r="N786" t="s">
        <v>74</v>
      </c>
      <c r="O786" s="25" t="s">
        <v>3827</v>
      </c>
      <c r="P786" s="25">
        <v>1</v>
      </c>
      <c r="Q786" s="25">
        <v>50100</v>
      </c>
      <c r="R786" s="25" t="s">
        <v>26</v>
      </c>
      <c r="S786" s="25" t="s">
        <v>26</v>
      </c>
      <c r="T786" s="25">
        <f t="shared" si="12"/>
        <v>50100</v>
      </c>
    </row>
    <row r="787" spans="1:20">
      <c r="A787" t="s">
        <v>2142</v>
      </c>
      <c r="B787">
        <v>45889</v>
      </c>
      <c r="C787" t="s">
        <v>93</v>
      </c>
      <c r="D787" t="s">
        <v>111</v>
      </c>
      <c r="E787" t="s">
        <v>122</v>
      </c>
      <c r="F787">
        <v>4000</v>
      </c>
      <c r="G787" t="s">
        <v>25</v>
      </c>
      <c r="H787" t="s">
        <v>2143</v>
      </c>
      <c r="I787" t="s">
        <v>71</v>
      </c>
      <c r="J787">
        <v>52000</v>
      </c>
      <c r="K787" t="s">
        <v>3</v>
      </c>
      <c r="L787" t="s">
        <v>2144</v>
      </c>
      <c r="M787" t="s">
        <v>3</v>
      </c>
      <c r="N787" t="s">
        <v>74</v>
      </c>
      <c r="O787" s="25" t="s">
        <v>3827</v>
      </c>
      <c r="P787" s="25">
        <v>1</v>
      </c>
      <c r="Q787" s="25">
        <v>52000</v>
      </c>
      <c r="R787" s="25" t="s">
        <v>26</v>
      </c>
      <c r="S787" s="25" t="s">
        <v>26</v>
      </c>
      <c r="T787" s="25">
        <f t="shared" si="12"/>
        <v>52000</v>
      </c>
    </row>
    <row r="788" spans="1:20">
      <c r="A788" t="s">
        <v>2145</v>
      </c>
      <c r="B788">
        <v>45889</v>
      </c>
      <c r="C788" t="s">
        <v>126</v>
      </c>
      <c r="D788" t="s">
        <v>88</v>
      </c>
      <c r="E788" t="s">
        <v>127</v>
      </c>
      <c r="F788">
        <v>4020</v>
      </c>
      <c r="G788" t="s">
        <v>30</v>
      </c>
      <c r="H788" t="s">
        <v>2146</v>
      </c>
      <c r="I788" t="s">
        <v>71</v>
      </c>
      <c r="J788">
        <v>49100</v>
      </c>
      <c r="K788" t="s">
        <v>129</v>
      </c>
      <c r="L788" t="s">
        <v>2147</v>
      </c>
      <c r="M788" t="s">
        <v>3</v>
      </c>
      <c r="N788" t="s">
        <v>74</v>
      </c>
      <c r="O788" s="25" t="s">
        <v>3827</v>
      </c>
      <c r="P788" s="25">
        <v>1</v>
      </c>
      <c r="Q788" s="25">
        <v>49100</v>
      </c>
      <c r="R788" s="25" t="s">
        <v>26</v>
      </c>
      <c r="S788" s="25" t="s">
        <v>26</v>
      </c>
      <c r="T788" s="25">
        <f t="shared" si="12"/>
        <v>49100</v>
      </c>
    </row>
    <row r="789" spans="1:20">
      <c r="A789" t="s">
        <v>2148</v>
      </c>
      <c r="B789">
        <v>45889</v>
      </c>
      <c r="C789" t="s">
        <v>126</v>
      </c>
      <c r="D789" t="s">
        <v>88</v>
      </c>
      <c r="E789" t="s">
        <v>132</v>
      </c>
      <c r="F789">
        <v>4020</v>
      </c>
      <c r="G789" t="s">
        <v>30</v>
      </c>
      <c r="H789" t="s">
        <v>2149</v>
      </c>
      <c r="I789" t="s">
        <v>71</v>
      </c>
      <c r="J789">
        <v>48400</v>
      </c>
      <c r="K789" t="s">
        <v>134</v>
      </c>
      <c r="L789" t="s">
        <v>2147</v>
      </c>
      <c r="M789" t="s">
        <v>3</v>
      </c>
      <c r="N789" t="s">
        <v>74</v>
      </c>
      <c r="O789" s="25" t="s">
        <v>3827</v>
      </c>
      <c r="P789" s="25">
        <v>1</v>
      </c>
      <c r="Q789" s="25">
        <v>48400</v>
      </c>
      <c r="R789" s="25" t="s">
        <v>26</v>
      </c>
      <c r="S789" s="25" t="s">
        <v>26</v>
      </c>
      <c r="T789" s="25">
        <f t="shared" si="12"/>
        <v>48400</v>
      </c>
    </row>
    <row r="790" spans="1:20">
      <c r="A790" t="s">
        <v>2150</v>
      </c>
      <c r="B790">
        <v>45889</v>
      </c>
      <c r="C790" t="s">
        <v>126</v>
      </c>
      <c r="D790" t="s">
        <v>88</v>
      </c>
      <c r="E790" t="s">
        <v>140</v>
      </c>
      <c r="F790">
        <v>4020</v>
      </c>
      <c r="G790" t="s">
        <v>30</v>
      </c>
      <c r="H790" t="s">
        <v>2151</v>
      </c>
      <c r="I790" t="s">
        <v>71</v>
      </c>
      <c r="J790">
        <v>45500</v>
      </c>
      <c r="K790" t="s">
        <v>3</v>
      </c>
      <c r="L790" t="s">
        <v>2152</v>
      </c>
      <c r="M790" t="s">
        <v>3</v>
      </c>
      <c r="N790" t="s">
        <v>74</v>
      </c>
      <c r="O790" s="25" t="s">
        <v>3827</v>
      </c>
      <c r="P790" s="25">
        <v>1</v>
      </c>
      <c r="Q790" s="25">
        <v>45500</v>
      </c>
      <c r="R790" s="25" t="s">
        <v>26</v>
      </c>
      <c r="S790" s="25" t="s">
        <v>26</v>
      </c>
      <c r="T790" s="25">
        <f t="shared" si="12"/>
        <v>45500</v>
      </c>
    </row>
    <row r="791" spans="1:20">
      <c r="A791" t="s">
        <v>2153</v>
      </c>
      <c r="B791">
        <v>45889</v>
      </c>
      <c r="C791" t="s">
        <v>93</v>
      </c>
      <c r="D791" t="s">
        <v>111</v>
      </c>
      <c r="E791" t="s">
        <v>112</v>
      </c>
      <c r="F791">
        <v>4900</v>
      </c>
      <c r="G791" t="s">
        <v>32</v>
      </c>
      <c r="H791" t="s">
        <v>2154</v>
      </c>
      <c r="I791" t="s">
        <v>71</v>
      </c>
      <c r="J791">
        <v>-34607</v>
      </c>
      <c r="K791" t="s">
        <v>3</v>
      </c>
      <c r="L791" t="s">
        <v>2155</v>
      </c>
      <c r="M791" t="s">
        <v>3</v>
      </c>
      <c r="N791" t="s">
        <v>74</v>
      </c>
      <c r="O791" s="25" t="s">
        <v>3827</v>
      </c>
      <c r="P791" s="25">
        <v>1</v>
      </c>
      <c r="Q791" s="25">
        <v>-34607</v>
      </c>
      <c r="R791" s="25" t="s">
        <v>26</v>
      </c>
      <c r="S791" s="25" t="s">
        <v>26</v>
      </c>
      <c r="T791" s="25">
        <f t="shared" si="12"/>
        <v>-34607</v>
      </c>
    </row>
    <row r="792" spans="1:20">
      <c r="A792" t="s">
        <v>2156</v>
      </c>
      <c r="B792">
        <v>45889</v>
      </c>
      <c r="C792" t="s">
        <v>87</v>
      </c>
      <c r="D792" t="s">
        <v>94</v>
      </c>
      <c r="E792" t="s">
        <v>3</v>
      </c>
      <c r="F792">
        <v>5050</v>
      </c>
      <c r="G792" t="s">
        <v>45</v>
      </c>
      <c r="H792" t="s">
        <v>2157</v>
      </c>
      <c r="I792" t="s">
        <v>71</v>
      </c>
      <c r="J792">
        <v>-245000</v>
      </c>
      <c r="K792" t="s">
        <v>668</v>
      </c>
      <c r="L792" t="s">
        <v>2158</v>
      </c>
      <c r="M792" t="s">
        <v>3</v>
      </c>
      <c r="N792" t="s">
        <v>74</v>
      </c>
      <c r="O792" s="25" t="s">
        <v>3827</v>
      </c>
      <c r="P792" s="25">
        <v>1</v>
      </c>
      <c r="Q792" s="25">
        <v>-245000</v>
      </c>
      <c r="R792" s="25" t="s">
        <v>35</v>
      </c>
      <c r="S792" s="25" t="s">
        <v>35</v>
      </c>
      <c r="T792" s="25">
        <f t="shared" si="12"/>
        <v>-245000</v>
      </c>
    </row>
    <row r="793" spans="1:20">
      <c r="A793" t="s">
        <v>2159</v>
      </c>
      <c r="B793">
        <v>45890</v>
      </c>
      <c r="C793" t="s">
        <v>93</v>
      </c>
      <c r="D793" t="s">
        <v>94</v>
      </c>
      <c r="E793" t="s">
        <v>95</v>
      </c>
      <c r="F793">
        <v>4000</v>
      </c>
      <c r="G793" t="s">
        <v>25</v>
      </c>
      <c r="H793" t="s">
        <v>2160</v>
      </c>
      <c r="I793" t="s">
        <v>71</v>
      </c>
      <c r="J793">
        <v>32700</v>
      </c>
      <c r="K793" t="s">
        <v>3</v>
      </c>
      <c r="L793" t="s">
        <v>2161</v>
      </c>
      <c r="M793" t="s">
        <v>3</v>
      </c>
      <c r="N793" t="s">
        <v>74</v>
      </c>
      <c r="O793" s="25" t="s">
        <v>3827</v>
      </c>
      <c r="P793" s="25">
        <v>1</v>
      </c>
      <c r="Q793" s="25">
        <v>32700</v>
      </c>
      <c r="R793" s="25" t="s">
        <v>26</v>
      </c>
      <c r="S793" s="25" t="s">
        <v>26</v>
      </c>
      <c r="T793" s="25">
        <f t="shared" si="12"/>
        <v>32700</v>
      </c>
    </row>
    <row r="794" spans="1:20">
      <c r="A794" t="s">
        <v>2162</v>
      </c>
      <c r="B794">
        <v>45890</v>
      </c>
      <c r="C794" t="s">
        <v>93</v>
      </c>
      <c r="D794" t="s">
        <v>94</v>
      </c>
      <c r="E794" t="s">
        <v>99</v>
      </c>
      <c r="F794">
        <v>4000</v>
      </c>
      <c r="G794" t="s">
        <v>25</v>
      </c>
      <c r="H794" t="s">
        <v>2163</v>
      </c>
      <c r="I794" t="s">
        <v>71</v>
      </c>
      <c r="J794">
        <v>31400</v>
      </c>
      <c r="K794" t="s">
        <v>3</v>
      </c>
      <c r="L794" t="s">
        <v>2164</v>
      </c>
      <c r="M794" t="s">
        <v>3</v>
      </c>
      <c r="N794" t="s">
        <v>74</v>
      </c>
      <c r="O794" s="25" t="s">
        <v>3827</v>
      </c>
      <c r="P794" s="25">
        <v>1</v>
      </c>
      <c r="Q794" s="25">
        <v>31400</v>
      </c>
      <c r="R794" s="25" t="s">
        <v>26</v>
      </c>
      <c r="S794" s="25" t="s">
        <v>26</v>
      </c>
      <c r="T794" s="25">
        <f t="shared" si="12"/>
        <v>31400</v>
      </c>
    </row>
    <row r="795" spans="1:20">
      <c r="A795" t="s">
        <v>2165</v>
      </c>
      <c r="B795">
        <v>45890</v>
      </c>
      <c r="C795" t="s">
        <v>93</v>
      </c>
      <c r="D795" t="s">
        <v>94</v>
      </c>
      <c r="E795" t="s">
        <v>103</v>
      </c>
      <c r="F795">
        <v>4000</v>
      </c>
      <c r="G795" t="s">
        <v>25</v>
      </c>
      <c r="H795" t="s">
        <v>2166</v>
      </c>
      <c r="I795" t="s">
        <v>71</v>
      </c>
      <c r="J795">
        <v>32700</v>
      </c>
      <c r="K795" t="s">
        <v>3</v>
      </c>
      <c r="L795" t="s">
        <v>2167</v>
      </c>
      <c r="M795" t="s">
        <v>3</v>
      </c>
      <c r="N795" t="s">
        <v>74</v>
      </c>
      <c r="O795" s="25" t="s">
        <v>3827</v>
      </c>
      <c r="P795" s="25">
        <v>1</v>
      </c>
      <c r="Q795" s="25">
        <v>32700</v>
      </c>
      <c r="R795" s="25" t="s">
        <v>26</v>
      </c>
      <c r="S795" s="25" t="s">
        <v>26</v>
      </c>
      <c r="T795" s="25">
        <f t="shared" si="12"/>
        <v>32700</v>
      </c>
    </row>
    <row r="796" spans="1:20">
      <c r="A796" t="s">
        <v>2168</v>
      </c>
      <c r="B796">
        <v>45890</v>
      </c>
      <c r="C796" t="s">
        <v>93</v>
      </c>
      <c r="D796" t="s">
        <v>94</v>
      </c>
      <c r="E796" t="s">
        <v>160</v>
      </c>
      <c r="F796">
        <v>4000</v>
      </c>
      <c r="G796" t="s">
        <v>25</v>
      </c>
      <c r="H796" t="s">
        <v>2169</v>
      </c>
      <c r="I796" t="s">
        <v>71</v>
      </c>
      <c r="J796">
        <v>30000</v>
      </c>
      <c r="K796" t="s">
        <v>3</v>
      </c>
      <c r="L796" t="s">
        <v>2167</v>
      </c>
      <c r="M796" t="s">
        <v>3</v>
      </c>
      <c r="N796" t="s">
        <v>74</v>
      </c>
      <c r="O796" s="25" t="s">
        <v>3827</v>
      </c>
      <c r="P796" s="25">
        <v>1</v>
      </c>
      <c r="Q796" s="25">
        <v>30000</v>
      </c>
      <c r="R796" s="25" t="s">
        <v>26</v>
      </c>
      <c r="S796" s="25" t="s">
        <v>26</v>
      </c>
      <c r="T796" s="25">
        <f t="shared" si="12"/>
        <v>30000</v>
      </c>
    </row>
    <row r="797" spans="1:20">
      <c r="A797" t="s">
        <v>2170</v>
      </c>
      <c r="B797">
        <v>45890</v>
      </c>
      <c r="C797" t="s">
        <v>93</v>
      </c>
      <c r="D797" t="s">
        <v>94</v>
      </c>
      <c r="E797" t="s">
        <v>107</v>
      </c>
      <c r="F797">
        <v>4000</v>
      </c>
      <c r="G797" t="s">
        <v>25</v>
      </c>
      <c r="H797" t="s">
        <v>2171</v>
      </c>
      <c r="I797" t="s">
        <v>71</v>
      </c>
      <c r="J797">
        <v>30100</v>
      </c>
      <c r="K797" t="s">
        <v>3</v>
      </c>
      <c r="L797" t="s">
        <v>2172</v>
      </c>
      <c r="M797" t="s">
        <v>3</v>
      </c>
      <c r="N797" t="s">
        <v>74</v>
      </c>
      <c r="O797" s="25" t="s">
        <v>3827</v>
      </c>
      <c r="P797" s="25">
        <v>1</v>
      </c>
      <c r="Q797" s="25">
        <v>30100</v>
      </c>
      <c r="R797" s="25" t="s">
        <v>26</v>
      </c>
      <c r="S797" s="25" t="s">
        <v>26</v>
      </c>
      <c r="T797" s="25">
        <f t="shared" si="12"/>
        <v>30100</v>
      </c>
    </row>
    <row r="798" spans="1:20">
      <c r="A798" t="s">
        <v>2173</v>
      </c>
      <c r="B798">
        <v>45890</v>
      </c>
      <c r="C798" t="s">
        <v>93</v>
      </c>
      <c r="D798" t="s">
        <v>111</v>
      </c>
      <c r="E798" t="s">
        <v>112</v>
      </c>
      <c r="F798">
        <v>4000</v>
      </c>
      <c r="G798" t="s">
        <v>25</v>
      </c>
      <c r="H798" t="s">
        <v>2174</v>
      </c>
      <c r="I798" t="s">
        <v>71</v>
      </c>
      <c r="J798">
        <v>49700</v>
      </c>
      <c r="K798" t="s">
        <v>3</v>
      </c>
      <c r="L798" t="s">
        <v>2175</v>
      </c>
      <c r="M798" t="s">
        <v>3</v>
      </c>
      <c r="N798" t="s">
        <v>74</v>
      </c>
      <c r="O798" s="25" t="s">
        <v>3827</v>
      </c>
      <c r="P798" s="25">
        <v>1</v>
      </c>
      <c r="Q798" s="25">
        <v>49700</v>
      </c>
      <c r="R798" s="25" t="s">
        <v>26</v>
      </c>
      <c r="S798" s="25" t="s">
        <v>26</v>
      </c>
      <c r="T798" s="25">
        <f t="shared" si="12"/>
        <v>49700</v>
      </c>
    </row>
    <row r="799" spans="1:20">
      <c r="A799" t="s">
        <v>2176</v>
      </c>
      <c r="B799">
        <v>45890</v>
      </c>
      <c r="C799" t="s">
        <v>93</v>
      </c>
      <c r="D799" t="s">
        <v>111</v>
      </c>
      <c r="E799" t="s">
        <v>116</v>
      </c>
      <c r="F799">
        <v>4000</v>
      </c>
      <c r="G799" t="s">
        <v>25</v>
      </c>
      <c r="H799" t="s">
        <v>2177</v>
      </c>
      <c r="I799" t="s">
        <v>71</v>
      </c>
      <c r="J799">
        <v>49200</v>
      </c>
      <c r="K799" t="s">
        <v>3</v>
      </c>
      <c r="L799" t="s">
        <v>2175</v>
      </c>
      <c r="M799" t="s">
        <v>3</v>
      </c>
      <c r="N799" t="s">
        <v>74</v>
      </c>
      <c r="O799" s="25" t="s">
        <v>3827</v>
      </c>
      <c r="P799" s="25">
        <v>1</v>
      </c>
      <c r="Q799" s="25">
        <v>49200</v>
      </c>
      <c r="R799" s="25" t="s">
        <v>26</v>
      </c>
      <c r="S799" s="25" t="s">
        <v>26</v>
      </c>
      <c r="T799" s="25">
        <f t="shared" si="12"/>
        <v>49200</v>
      </c>
    </row>
    <row r="800" spans="1:20">
      <c r="A800" t="s">
        <v>2178</v>
      </c>
      <c r="B800">
        <v>45890</v>
      </c>
      <c r="C800" t="s">
        <v>93</v>
      </c>
      <c r="D800" t="s">
        <v>111</v>
      </c>
      <c r="E800" t="s">
        <v>119</v>
      </c>
      <c r="F800">
        <v>4000</v>
      </c>
      <c r="G800" t="s">
        <v>25</v>
      </c>
      <c r="H800" t="s">
        <v>2179</v>
      </c>
      <c r="I800" t="s">
        <v>71</v>
      </c>
      <c r="J800">
        <v>49300</v>
      </c>
      <c r="K800" t="s">
        <v>3</v>
      </c>
      <c r="L800" t="s">
        <v>2175</v>
      </c>
      <c r="M800" t="s">
        <v>3</v>
      </c>
      <c r="N800" t="s">
        <v>74</v>
      </c>
      <c r="O800" s="25" t="s">
        <v>3827</v>
      </c>
      <c r="P800" s="25">
        <v>1</v>
      </c>
      <c r="Q800" s="25">
        <v>49300</v>
      </c>
      <c r="R800" s="25" t="s">
        <v>26</v>
      </c>
      <c r="S800" s="25" t="s">
        <v>26</v>
      </c>
      <c r="T800" s="25">
        <f t="shared" si="12"/>
        <v>49300</v>
      </c>
    </row>
    <row r="801" spans="1:20">
      <c r="A801" t="s">
        <v>2180</v>
      </c>
      <c r="B801">
        <v>45890</v>
      </c>
      <c r="C801" t="s">
        <v>93</v>
      </c>
      <c r="D801" t="s">
        <v>111</v>
      </c>
      <c r="E801" t="s">
        <v>170</v>
      </c>
      <c r="F801">
        <v>4000</v>
      </c>
      <c r="G801" t="s">
        <v>25</v>
      </c>
      <c r="H801" t="s">
        <v>2181</v>
      </c>
      <c r="I801" t="s">
        <v>71</v>
      </c>
      <c r="J801">
        <v>48900</v>
      </c>
      <c r="K801" t="s">
        <v>3</v>
      </c>
      <c r="L801" t="s">
        <v>2175</v>
      </c>
      <c r="M801" t="s">
        <v>3</v>
      </c>
      <c r="N801" t="s">
        <v>74</v>
      </c>
      <c r="O801" s="25" t="s">
        <v>3827</v>
      </c>
      <c r="P801" s="25">
        <v>1</v>
      </c>
      <c r="Q801" s="25">
        <v>48900</v>
      </c>
      <c r="R801" s="25" t="s">
        <v>26</v>
      </c>
      <c r="S801" s="25" t="s">
        <v>26</v>
      </c>
      <c r="T801" s="25">
        <f t="shared" si="12"/>
        <v>48900</v>
      </c>
    </row>
    <row r="802" spans="1:20">
      <c r="A802" t="s">
        <v>2182</v>
      </c>
      <c r="B802">
        <v>45890</v>
      </c>
      <c r="C802" t="s">
        <v>93</v>
      </c>
      <c r="D802" t="s">
        <v>111</v>
      </c>
      <c r="E802" t="s">
        <v>122</v>
      </c>
      <c r="F802">
        <v>4000</v>
      </c>
      <c r="G802" t="s">
        <v>25</v>
      </c>
      <c r="H802" t="s">
        <v>2183</v>
      </c>
      <c r="I802" t="s">
        <v>71</v>
      </c>
      <c r="J802">
        <v>49100</v>
      </c>
      <c r="K802" t="s">
        <v>3</v>
      </c>
      <c r="L802" t="s">
        <v>2184</v>
      </c>
      <c r="M802" t="s">
        <v>3</v>
      </c>
      <c r="N802" t="s">
        <v>74</v>
      </c>
      <c r="O802" s="25" t="s">
        <v>3827</v>
      </c>
      <c r="P802" s="25">
        <v>1</v>
      </c>
      <c r="Q802" s="25">
        <v>49100</v>
      </c>
      <c r="R802" s="25" t="s">
        <v>26</v>
      </c>
      <c r="S802" s="25" t="s">
        <v>26</v>
      </c>
      <c r="T802" s="25">
        <f t="shared" si="12"/>
        <v>49100</v>
      </c>
    </row>
    <row r="803" spans="1:20">
      <c r="A803" t="s">
        <v>2185</v>
      </c>
      <c r="B803">
        <v>45890</v>
      </c>
      <c r="C803" t="s">
        <v>126</v>
      </c>
      <c r="D803" t="s">
        <v>88</v>
      </c>
      <c r="E803" t="s">
        <v>127</v>
      </c>
      <c r="F803">
        <v>4020</v>
      </c>
      <c r="G803" t="s">
        <v>30</v>
      </c>
      <c r="H803" t="s">
        <v>2186</v>
      </c>
      <c r="I803" t="s">
        <v>72</v>
      </c>
      <c r="J803">
        <v>31.17</v>
      </c>
      <c r="K803" t="s">
        <v>129</v>
      </c>
      <c r="L803" t="s">
        <v>2187</v>
      </c>
      <c r="M803" t="s">
        <v>3</v>
      </c>
      <c r="N803" t="s">
        <v>74</v>
      </c>
      <c r="O803" s="25" t="s">
        <v>3828</v>
      </c>
      <c r="P803" s="25">
        <v>1572</v>
      </c>
      <c r="Q803" s="25">
        <v>48999.240000000005</v>
      </c>
      <c r="R803" s="25" t="s">
        <v>26</v>
      </c>
      <c r="S803" s="25" t="s">
        <v>26</v>
      </c>
      <c r="T803" s="25">
        <f t="shared" si="12"/>
        <v>48999.240000000005</v>
      </c>
    </row>
    <row r="804" spans="1:20">
      <c r="A804" t="s">
        <v>2188</v>
      </c>
      <c r="B804">
        <v>45890</v>
      </c>
      <c r="C804" t="s">
        <v>126</v>
      </c>
      <c r="D804" t="s">
        <v>88</v>
      </c>
      <c r="E804" t="s">
        <v>132</v>
      </c>
      <c r="F804">
        <v>4020</v>
      </c>
      <c r="G804" t="s">
        <v>30</v>
      </c>
      <c r="H804" t="s">
        <v>2189</v>
      </c>
      <c r="I804" t="s">
        <v>71</v>
      </c>
      <c r="J804">
        <v>49000</v>
      </c>
      <c r="K804" t="s">
        <v>134</v>
      </c>
      <c r="L804" t="s">
        <v>2187</v>
      </c>
      <c r="M804" t="s">
        <v>3</v>
      </c>
      <c r="N804" t="s">
        <v>74</v>
      </c>
      <c r="O804" s="25" t="s">
        <v>3827</v>
      </c>
      <c r="P804" s="25">
        <v>1</v>
      </c>
      <c r="Q804" s="25">
        <v>49000</v>
      </c>
      <c r="R804" s="25" t="s">
        <v>26</v>
      </c>
      <c r="S804" s="25" t="s">
        <v>26</v>
      </c>
      <c r="T804" s="25">
        <f t="shared" si="12"/>
        <v>49000</v>
      </c>
    </row>
    <row r="805" spans="1:20">
      <c r="A805" t="s">
        <v>2190</v>
      </c>
      <c r="B805">
        <v>45890</v>
      </c>
      <c r="C805" t="s">
        <v>126</v>
      </c>
      <c r="D805" t="s">
        <v>88</v>
      </c>
      <c r="E805" t="s">
        <v>136</v>
      </c>
      <c r="F805">
        <v>4020</v>
      </c>
      <c r="G805" t="s">
        <v>30</v>
      </c>
      <c r="H805" t="s">
        <v>2191</v>
      </c>
      <c r="I805" t="s">
        <v>71</v>
      </c>
      <c r="J805">
        <v>52700</v>
      </c>
      <c r="K805" t="s">
        <v>138</v>
      </c>
      <c r="L805" t="s">
        <v>2187</v>
      </c>
      <c r="M805" t="s">
        <v>3</v>
      </c>
      <c r="N805" t="s">
        <v>74</v>
      </c>
      <c r="O805" s="25" t="s">
        <v>3827</v>
      </c>
      <c r="P805" s="25">
        <v>1</v>
      </c>
      <c r="Q805" s="25">
        <v>52700</v>
      </c>
      <c r="R805" s="25" t="s">
        <v>26</v>
      </c>
      <c r="S805" s="25" t="s">
        <v>26</v>
      </c>
      <c r="T805" s="25">
        <f t="shared" si="12"/>
        <v>52700</v>
      </c>
    </row>
    <row r="806" spans="1:20">
      <c r="A806" t="s">
        <v>2192</v>
      </c>
      <c r="B806">
        <v>45890</v>
      </c>
      <c r="C806" t="s">
        <v>126</v>
      </c>
      <c r="D806" t="s">
        <v>88</v>
      </c>
      <c r="E806" t="s">
        <v>140</v>
      </c>
      <c r="F806">
        <v>4020</v>
      </c>
      <c r="G806" t="s">
        <v>30</v>
      </c>
      <c r="H806" t="s">
        <v>2193</v>
      </c>
      <c r="I806" t="s">
        <v>71</v>
      </c>
      <c r="J806">
        <v>43500</v>
      </c>
      <c r="K806" t="s">
        <v>3</v>
      </c>
      <c r="L806" t="s">
        <v>2194</v>
      </c>
      <c r="M806" t="s">
        <v>3</v>
      </c>
      <c r="N806" t="s">
        <v>74</v>
      </c>
      <c r="O806" s="25" t="s">
        <v>3827</v>
      </c>
      <c r="P806" s="25">
        <v>1</v>
      </c>
      <c r="Q806" s="25">
        <v>43500</v>
      </c>
      <c r="R806" s="25" t="s">
        <v>26</v>
      </c>
      <c r="S806" s="25" t="s">
        <v>26</v>
      </c>
      <c r="T806" s="25">
        <f t="shared" si="12"/>
        <v>43500</v>
      </c>
    </row>
    <row r="807" spans="1:20">
      <c r="A807" t="s">
        <v>2195</v>
      </c>
      <c r="B807">
        <v>45890</v>
      </c>
      <c r="C807" t="s">
        <v>87</v>
      </c>
      <c r="D807" t="s">
        <v>94</v>
      </c>
      <c r="E807" t="s">
        <v>3</v>
      </c>
      <c r="F807">
        <v>5040</v>
      </c>
      <c r="G807" t="s">
        <v>43</v>
      </c>
      <c r="H807" t="s">
        <v>1387</v>
      </c>
      <c r="I807" t="s">
        <v>71</v>
      </c>
      <c r="J807">
        <v>-631000</v>
      </c>
      <c r="K807" t="s">
        <v>187</v>
      </c>
      <c r="L807" t="s">
        <v>2196</v>
      </c>
      <c r="M807" t="s">
        <v>3</v>
      </c>
      <c r="N807" t="s">
        <v>74</v>
      </c>
      <c r="O807" s="25" t="s">
        <v>3827</v>
      </c>
      <c r="P807" s="25">
        <v>1</v>
      </c>
      <c r="Q807" s="25">
        <v>-631000</v>
      </c>
      <c r="R807" s="25" t="s">
        <v>35</v>
      </c>
      <c r="S807" s="25" t="s">
        <v>35</v>
      </c>
      <c r="T807" s="25">
        <f t="shared" si="12"/>
        <v>-631000</v>
      </c>
    </row>
    <row r="808" spans="1:20">
      <c r="A808" t="s">
        <v>2197</v>
      </c>
      <c r="B808">
        <v>45890</v>
      </c>
      <c r="C808" t="s">
        <v>87</v>
      </c>
      <c r="D808" t="s">
        <v>88</v>
      </c>
      <c r="E808" t="s">
        <v>3</v>
      </c>
      <c r="F808">
        <v>5040</v>
      </c>
      <c r="G808" t="s">
        <v>43</v>
      </c>
      <c r="H808" t="s">
        <v>1431</v>
      </c>
      <c r="I808" t="s">
        <v>71</v>
      </c>
      <c r="J808">
        <v>-713000</v>
      </c>
      <c r="K808" t="s">
        <v>398</v>
      </c>
      <c r="L808" t="s">
        <v>2198</v>
      </c>
      <c r="M808" t="s">
        <v>3</v>
      </c>
      <c r="N808" t="s">
        <v>74</v>
      </c>
      <c r="O808" s="25" t="s">
        <v>3827</v>
      </c>
      <c r="P808" s="25">
        <v>1</v>
      </c>
      <c r="Q808" s="25">
        <v>-713000</v>
      </c>
      <c r="R808" s="25" t="s">
        <v>35</v>
      </c>
      <c r="S808" s="25" t="s">
        <v>35</v>
      </c>
      <c r="T808" s="25">
        <f t="shared" si="12"/>
        <v>-713000</v>
      </c>
    </row>
    <row r="809" spans="1:20">
      <c r="A809" t="s">
        <v>2199</v>
      </c>
      <c r="B809">
        <v>45891</v>
      </c>
      <c r="C809" t="s">
        <v>93</v>
      </c>
      <c r="D809" t="s">
        <v>94</v>
      </c>
      <c r="E809" t="s">
        <v>95</v>
      </c>
      <c r="F809">
        <v>4000</v>
      </c>
      <c r="G809" t="s">
        <v>25</v>
      </c>
      <c r="H809" t="s">
        <v>2200</v>
      </c>
      <c r="I809" t="s">
        <v>71</v>
      </c>
      <c r="J809">
        <v>31600</v>
      </c>
      <c r="K809" t="s">
        <v>3</v>
      </c>
      <c r="L809" t="s">
        <v>2201</v>
      </c>
      <c r="M809" t="s">
        <v>3</v>
      </c>
      <c r="N809" t="s">
        <v>74</v>
      </c>
      <c r="O809" s="25" t="s">
        <v>3827</v>
      </c>
      <c r="P809" s="25">
        <v>1</v>
      </c>
      <c r="Q809" s="25">
        <v>31600</v>
      </c>
      <c r="R809" s="25" t="s">
        <v>26</v>
      </c>
      <c r="S809" s="25" t="s">
        <v>26</v>
      </c>
      <c r="T809" s="25">
        <f t="shared" si="12"/>
        <v>31600</v>
      </c>
    </row>
    <row r="810" spans="1:20">
      <c r="A810" t="s">
        <v>2202</v>
      </c>
      <c r="B810">
        <v>45891</v>
      </c>
      <c r="C810" t="s">
        <v>93</v>
      </c>
      <c r="D810" t="s">
        <v>94</v>
      </c>
      <c r="E810" t="s">
        <v>99</v>
      </c>
      <c r="F810">
        <v>4000</v>
      </c>
      <c r="G810" t="s">
        <v>25</v>
      </c>
      <c r="H810" t="s">
        <v>2203</v>
      </c>
      <c r="I810" t="s">
        <v>71</v>
      </c>
      <c r="J810">
        <v>29900</v>
      </c>
      <c r="K810" t="s">
        <v>3</v>
      </c>
      <c r="L810" t="s">
        <v>2204</v>
      </c>
      <c r="M810" t="s">
        <v>3</v>
      </c>
      <c r="N810" t="s">
        <v>74</v>
      </c>
      <c r="O810" s="25" t="s">
        <v>3827</v>
      </c>
      <c r="P810" s="25">
        <v>1</v>
      </c>
      <c r="Q810" s="25">
        <v>29900</v>
      </c>
      <c r="R810" s="25" t="s">
        <v>26</v>
      </c>
      <c r="S810" s="25" t="s">
        <v>26</v>
      </c>
      <c r="T810" s="25">
        <f t="shared" si="12"/>
        <v>29900</v>
      </c>
    </row>
    <row r="811" spans="1:20">
      <c r="A811" t="s">
        <v>2205</v>
      </c>
      <c r="B811">
        <v>45891</v>
      </c>
      <c r="C811" t="s">
        <v>93</v>
      </c>
      <c r="D811" t="s">
        <v>94</v>
      </c>
      <c r="E811" t="s">
        <v>103</v>
      </c>
      <c r="F811">
        <v>4000</v>
      </c>
      <c r="G811" t="s">
        <v>25</v>
      </c>
      <c r="H811" t="s">
        <v>2206</v>
      </c>
      <c r="I811" t="s">
        <v>71</v>
      </c>
      <c r="J811">
        <v>30000</v>
      </c>
      <c r="K811" t="s">
        <v>3</v>
      </c>
      <c r="L811" t="s">
        <v>2207</v>
      </c>
      <c r="M811" t="s">
        <v>3</v>
      </c>
      <c r="N811" t="s">
        <v>74</v>
      </c>
      <c r="O811" s="25" t="s">
        <v>3827</v>
      </c>
      <c r="P811" s="25">
        <v>1</v>
      </c>
      <c r="Q811" s="25">
        <v>30000</v>
      </c>
      <c r="R811" s="25" t="s">
        <v>26</v>
      </c>
      <c r="S811" s="25" t="s">
        <v>26</v>
      </c>
      <c r="T811" s="25">
        <f t="shared" si="12"/>
        <v>30000</v>
      </c>
    </row>
    <row r="812" spans="1:20">
      <c r="A812" t="s">
        <v>2208</v>
      </c>
      <c r="B812">
        <v>45891</v>
      </c>
      <c r="C812" t="s">
        <v>93</v>
      </c>
      <c r="D812" t="s">
        <v>94</v>
      </c>
      <c r="E812" t="s">
        <v>107</v>
      </c>
      <c r="F812">
        <v>4000</v>
      </c>
      <c r="G812" t="s">
        <v>25</v>
      </c>
      <c r="H812" t="s">
        <v>2209</v>
      </c>
      <c r="I812" t="s">
        <v>71</v>
      </c>
      <c r="J812">
        <v>29300</v>
      </c>
      <c r="K812" t="s">
        <v>3</v>
      </c>
      <c r="L812" t="s">
        <v>2210</v>
      </c>
      <c r="M812" t="s">
        <v>3</v>
      </c>
      <c r="N812" t="s">
        <v>74</v>
      </c>
      <c r="O812" s="25" t="s">
        <v>3827</v>
      </c>
      <c r="P812" s="25">
        <v>1</v>
      </c>
      <c r="Q812" s="25">
        <v>29300</v>
      </c>
      <c r="R812" s="25" t="s">
        <v>26</v>
      </c>
      <c r="S812" s="25" t="s">
        <v>26</v>
      </c>
      <c r="T812" s="25">
        <f t="shared" si="12"/>
        <v>29300</v>
      </c>
    </row>
    <row r="813" spans="1:20">
      <c r="A813" t="s">
        <v>2211</v>
      </c>
      <c r="B813">
        <v>45891</v>
      </c>
      <c r="C813" t="s">
        <v>93</v>
      </c>
      <c r="D813" t="s">
        <v>111</v>
      </c>
      <c r="E813" t="s">
        <v>112</v>
      </c>
      <c r="F813">
        <v>4000</v>
      </c>
      <c r="G813" t="s">
        <v>25</v>
      </c>
      <c r="H813" t="s">
        <v>2212</v>
      </c>
      <c r="I813" t="s">
        <v>71</v>
      </c>
      <c r="J813">
        <v>52500</v>
      </c>
      <c r="K813" t="s">
        <v>3</v>
      </c>
      <c r="L813" t="s">
        <v>2213</v>
      </c>
      <c r="M813" t="s">
        <v>3</v>
      </c>
      <c r="N813" t="s">
        <v>74</v>
      </c>
      <c r="O813" s="25" t="s">
        <v>3827</v>
      </c>
      <c r="P813" s="25">
        <v>1</v>
      </c>
      <c r="Q813" s="25">
        <v>52500</v>
      </c>
      <c r="R813" s="25" t="s">
        <v>26</v>
      </c>
      <c r="S813" s="25" t="s">
        <v>26</v>
      </c>
      <c r="T813" s="25">
        <f t="shared" si="12"/>
        <v>52500</v>
      </c>
    </row>
    <row r="814" spans="1:20">
      <c r="A814" t="s">
        <v>2214</v>
      </c>
      <c r="B814">
        <v>45891</v>
      </c>
      <c r="C814" t="s">
        <v>93</v>
      </c>
      <c r="D814" t="s">
        <v>111</v>
      </c>
      <c r="E814" t="s">
        <v>116</v>
      </c>
      <c r="F814">
        <v>4000</v>
      </c>
      <c r="G814" t="s">
        <v>25</v>
      </c>
      <c r="H814" t="s">
        <v>2215</v>
      </c>
      <c r="I814" t="s">
        <v>71</v>
      </c>
      <c r="J814">
        <v>47800</v>
      </c>
      <c r="K814" t="s">
        <v>3</v>
      </c>
      <c r="L814" t="s">
        <v>2213</v>
      </c>
      <c r="M814" t="s">
        <v>3</v>
      </c>
      <c r="N814" t="s">
        <v>74</v>
      </c>
      <c r="O814" s="25" t="s">
        <v>3827</v>
      </c>
      <c r="P814" s="25">
        <v>1</v>
      </c>
      <c r="Q814" s="25">
        <v>47800</v>
      </c>
      <c r="R814" s="25" t="s">
        <v>26</v>
      </c>
      <c r="S814" s="25" t="s">
        <v>26</v>
      </c>
      <c r="T814" s="25">
        <f t="shared" si="12"/>
        <v>47800</v>
      </c>
    </row>
    <row r="815" spans="1:20">
      <c r="A815" t="s">
        <v>2216</v>
      </c>
      <c r="B815">
        <v>45891</v>
      </c>
      <c r="C815" t="s">
        <v>93</v>
      </c>
      <c r="D815" t="s">
        <v>111</v>
      </c>
      <c r="E815" t="s">
        <v>119</v>
      </c>
      <c r="F815">
        <v>4000</v>
      </c>
      <c r="G815" t="s">
        <v>25</v>
      </c>
      <c r="H815" t="s">
        <v>2217</v>
      </c>
      <c r="I815" t="s">
        <v>71</v>
      </c>
      <c r="J815">
        <v>50000</v>
      </c>
      <c r="K815" t="s">
        <v>3</v>
      </c>
      <c r="L815" t="s">
        <v>2213</v>
      </c>
      <c r="M815" t="s">
        <v>3</v>
      </c>
      <c r="N815" t="s">
        <v>74</v>
      </c>
      <c r="O815" s="25" t="s">
        <v>3827</v>
      </c>
      <c r="P815" s="25">
        <v>1</v>
      </c>
      <c r="Q815" s="25">
        <v>50000</v>
      </c>
      <c r="R815" s="25" t="s">
        <v>26</v>
      </c>
      <c r="S815" s="25" t="s">
        <v>26</v>
      </c>
      <c r="T815" s="25">
        <f t="shared" si="12"/>
        <v>50000</v>
      </c>
    </row>
    <row r="816" spans="1:20">
      <c r="A816" t="s">
        <v>2218</v>
      </c>
      <c r="B816">
        <v>45891</v>
      </c>
      <c r="C816" t="s">
        <v>93</v>
      </c>
      <c r="D816" t="s">
        <v>111</v>
      </c>
      <c r="E816" t="s">
        <v>122</v>
      </c>
      <c r="F816">
        <v>4000</v>
      </c>
      <c r="G816" t="s">
        <v>25</v>
      </c>
      <c r="H816" t="s">
        <v>2219</v>
      </c>
      <c r="I816" t="s">
        <v>71</v>
      </c>
      <c r="J816">
        <v>53000</v>
      </c>
      <c r="K816" t="s">
        <v>3</v>
      </c>
      <c r="L816" t="s">
        <v>2220</v>
      </c>
      <c r="M816" t="s">
        <v>3</v>
      </c>
      <c r="N816" t="s">
        <v>74</v>
      </c>
      <c r="O816" s="25" t="s">
        <v>3827</v>
      </c>
      <c r="P816" s="25">
        <v>1</v>
      </c>
      <c r="Q816" s="25">
        <v>53000</v>
      </c>
      <c r="R816" s="25" t="s">
        <v>26</v>
      </c>
      <c r="S816" s="25" t="s">
        <v>26</v>
      </c>
      <c r="T816" s="25">
        <f t="shared" si="12"/>
        <v>53000</v>
      </c>
    </row>
    <row r="817" spans="1:20">
      <c r="A817" t="s">
        <v>2221</v>
      </c>
      <c r="B817">
        <v>45891</v>
      </c>
      <c r="C817" t="s">
        <v>126</v>
      </c>
      <c r="D817" t="s">
        <v>88</v>
      </c>
      <c r="E817" t="s">
        <v>127</v>
      </c>
      <c r="F817">
        <v>4020</v>
      </c>
      <c r="G817" t="s">
        <v>30</v>
      </c>
      <c r="H817" t="s">
        <v>2222</v>
      </c>
      <c r="I817" t="s">
        <v>71</v>
      </c>
      <c r="J817">
        <v>46600</v>
      </c>
      <c r="K817" t="s">
        <v>129</v>
      </c>
      <c r="L817" t="s">
        <v>2223</v>
      </c>
      <c r="M817" t="s">
        <v>3</v>
      </c>
      <c r="N817" t="s">
        <v>74</v>
      </c>
      <c r="O817" s="25" t="s">
        <v>3827</v>
      </c>
      <c r="P817" s="25">
        <v>1</v>
      </c>
      <c r="Q817" s="25">
        <v>46600</v>
      </c>
      <c r="R817" s="25" t="s">
        <v>26</v>
      </c>
      <c r="S817" s="25" t="s">
        <v>26</v>
      </c>
      <c r="T817" s="25">
        <f t="shared" si="12"/>
        <v>46600</v>
      </c>
    </row>
    <row r="818" spans="1:20">
      <c r="A818" t="s">
        <v>2224</v>
      </c>
      <c r="B818">
        <v>45891</v>
      </c>
      <c r="C818" t="s">
        <v>126</v>
      </c>
      <c r="D818" t="s">
        <v>88</v>
      </c>
      <c r="E818" t="s">
        <v>132</v>
      </c>
      <c r="F818">
        <v>4020</v>
      </c>
      <c r="G818" t="s">
        <v>30</v>
      </c>
      <c r="H818" t="s">
        <v>2225</v>
      </c>
      <c r="I818" t="s">
        <v>71</v>
      </c>
      <c r="J818">
        <v>48600</v>
      </c>
      <c r="K818" t="s">
        <v>134</v>
      </c>
      <c r="L818" t="s">
        <v>2223</v>
      </c>
      <c r="M818" t="s">
        <v>3</v>
      </c>
      <c r="N818" t="s">
        <v>74</v>
      </c>
      <c r="O818" s="25" t="s">
        <v>3827</v>
      </c>
      <c r="P818" s="25">
        <v>1</v>
      </c>
      <c r="Q818" s="25">
        <v>48600</v>
      </c>
      <c r="R818" s="25" t="s">
        <v>26</v>
      </c>
      <c r="S818" s="25" t="s">
        <v>26</v>
      </c>
      <c r="T818" s="25">
        <f t="shared" si="12"/>
        <v>48600</v>
      </c>
    </row>
    <row r="819" spans="1:20">
      <c r="A819" t="s">
        <v>2226</v>
      </c>
      <c r="B819">
        <v>45891</v>
      </c>
      <c r="C819" t="s">
        <v>126</v>
      </c>
      <c r="D819" t="s">
        <v>88</v>
      </c>
      <c r="E819" t="s">
        <v>136</v>
      </c>
      <c r="F819">
        <v>4020</v>
      </c>
      <c r="G819" t="s">
        <v>30</v>
      </c>
      <c r="H819" t="s">
        <v>2227</v>
      </c>
      <c r="I819" t="s">
        <v>71</v>
      </c>
      <c r="J819">
        <v>54500</v>
      </c>
      <c r="K819" t="s">
        <v>138</v>
      </c>
      <c r="L819" t="s">
        <v>2223</v>
      </c>
      <c r="M819" t="s">
        <v>3</v>
      </c>
      <c r="N819" t="s">
        <v>74</v>
      </c>
      <c r="O819" s="25" t="s">
        <v>3827</v>
      </c>
      <c r="P819" s="25">
        <v>1</v>
      </c>
      <c r="Q819" s="25">
        <v>54500</v>
      </c>
      <c r="R819" s="25" t="s">
        <v>26</v>
      </c>
      <c r="S819" s="25" t="s">
        <v>26</v>
      </c>
      <c r="T819" s="25">
        <f t="shared" si="12"/>
        <v>54500</v>
      </c>
    </row>
    <row r="820" spans="1:20">
      <c r="A820" t="s">
        <v>2228</v>
      </c>
      <c r="B820">
        <v>45891</v>
      </c>
      <c r="C820" t="s">
        <v>126</v>
      </c>
      <c r="D820" t="s">
        <v>88</v>
      </c>
      <c r="E820" t="s">
        <v>140</v>
      </c>
      <c r="F820">
        <v>4020</v>
      </c>
      <c r="G820" t="s">
        <v>30</v>
      </c>
      <c r="H820" t="s">
        <v>2229</v>
      </c>
      <c r="I820" t="s">
        <v>71</v>
      </c>
      <c r="J820">
        <v>52000</v>
      </c>
      <c r="K820" t="s">
        <v>3</v>
      </c>
      <c r="L820" t="s">
        <v>2230</v>
      </c>
      <c r="M820" t="s">
        <v>3</v>
      </c>
      <c r="N820" t="s">
        <v>74</v>
      </c>
      <c r="O820" s="25" t="s">
        <v>3827</v>
      </c>
      <c r="P820" s="25">
        <v>1</v>
      </c>
      <c r="Q820" s="25">
        <v>52000</v>
      </c>
      <c r="R820" s="25" t="s">
        <v>26</v>
      </c>
      <c r="S820" s="25" t="s">
        <v>26</v>
      </c>
      <c r="T820" s="25">
        <f t="shared" si="12"/>
        <v>52000</v>
      </c>
    </row>
    <row r="821" spans="1:20">
      <c r="A821" t="s">
        <v>2231</v>
      </c>
      <c r="B821">
        <v>45891</v>
      </c>
      <c r="C821" t="s">
        <v>87</v>
      </c>
      <c r="D821" t="s">
        <v>94</v>
      </c>
      <c r="E821" t="s">
        <v>3</v>
      </c>
      <c r="F821">
        <v>5050</v>
      </c>
      <c r="G821" t="s">
        <v>45</v>
      </c>
      <c r="H821" t="s">
        <v>2157</v>
      </c>
      <c r="I821" t="s">
        <v>71</v>
      </c>
      <c r="J821">
        <v>-245000</v>
      </c>
      <c r="K821" t="s">
        <v>668</v>
      </c>
      <c r="L821" t="s">
        <v>2232</v>
      </c>
      <c r="M821" t="s">
        <v>3</v>
      </c>
      <c r="N821" t="s">
        <v>74</v>
      </c>
      <c r="O821" s="25" t="s">
        <v>3827</v>
      </c>
      <c r="P821" s="25">
        <v>1</v>
      </c>
      <c r="Q821" s="25">
        <v>-245000</v>
      </c>
      <c r="R821" s="25" t="s">
        <v>35</v>
      </c>
      <c r="S821" s="25" t="s">
        <v>35</v>
      </c>
      <c r="T821" s="25">
        <f t="shared" si="12"/>
        <v>-245000</v>
      </c>
    </row>
    <row r="822" spans="1:20">
      <c r="A822" t="s">
        <v>2233</v>
      </c>
      <c r="B822">
        <v>45891</v>
      </c>
      <c r="C822" t="s">
        <v>87</v>
      </c>
      <c r="D822" t="s">
        <v>111</v>
      </c>
      <c r="E822" t="s">
        <v>3</v>
      </c>
      <c r="F822">
        <v>5010</v>
      </c>
      <c r="G822" t="s">
        <v>37</v>
      </c>
      <c r="H822" t="s">
        <v>1792</v>
      </c>
      <c r="I822" t="s">
        <v>71</v>
      </c>
      <c r="J822">
        <v>-1016000</v>
      </c>
      <c r="K822" t="s">
        <v>195</v>
      </c>
      <c r="L822" t="s">
        <v>2234</v>
      </c>
      <c r="M822" t="s">
        <v>3</v>
      </c>
      <c r="N822" t="s">
        <v>74</v>
      </c>
      <c r="O822" s="25" t="s">
        <v>3827</v>
      </c>
      <c r="P822" s="25">
        <v>1</v>
      </c>
      <c r="Q822" s="25">
        <v>-1016000</v>
      </c>
      <c r="R822" s="25" t="s">
        <v>35</v>
      </c>
      <c r="S822" s="25" t="s">
        <v>35</v>
      </c>
      <c r="T822" s="25">
        <f t="shared" si="12"/>
        <v>-1016000</v>
      </c>
    </row>
    <row r="823" spans="1:20">
      <c r="A823" t="s">
        <v>2235</v>
      </c>
      <c r="B823">
        <v>45891</v>
      </c>
      <c r="C823" t="s">
        <v>87</v>
      </c>
      <c r="D823" t="s">
        <v>88</v>
      </c>
      <c r="E823" t="s">
        <v>3</v>
      </c>
      <c r="F823">
        <v>5030</v>
      </c>
      <c r="G823" t="s">
        <v>41</v>
      </c>
      <c r="H823" t="s">
        <v>1428</v>
      </c>
      <c r="I823" t="s">
        <v>71</v>
      </c>
      <c r="J823">
        <v>-522000</v>
      </c>
      <c r="K823" t="s">
        <v>90</v>
      </c>
      <c r="L823" t="s">
        <v>2236</v>
      </c>
      <c r="M823" t="s">
        <v>3</v>
      </c>
      <c r="N823" t="s">
        <v>74</v>
      </c>
      <c r="O823" s="25" t="s">
        <v>3827</v>
      </c>
      <c r="P823" s="25">
        <v>1</v>
      </c>
      <c r="Q823" s="25">
        <v>-522000</v>
      </c>
      <c r="R823" s="25" t="s">
        <v>35</v>
      </c>
      <c r="S823" s="25" t="s">
        <v>35</v>
      </c>
      <c r="T823" s="25">
        <f t="shared" si="12"/>
        <v>-522000</v>
      </c>
    </row>
    <row r="824" spans="1:20">
      <c r="A824" t="s">
        <v>2237</v>
      </c>
      <c r="B824">
        <v>45892</v>
      </c>
      <c r="C824" t="s">
        <v>93</v>
      </c>
      <c r="D824" t="s">
        <v>94</v>
      </c>
      <c r="E824" t="s">
        <v>95</v>
      </c>
      <c r="F824">
        <v>4000</v>
      </c>
      <c r="G824" t="s">
        <v>25</v>
      </c>
      <c r="H824" t="s">
        <v>2238</v>
      </c>
      <c r="I824" t="s">
        <v>71</v>
      </c>
      <c r="J824">
        <v>38400</v>
      </c>
      <c r="K824" t="s">
        <v>3</v>
      </c>
      <c r="L824" t="s">
        <v>2239</v>
      </c>
      <c r="M824" t="s">
        <v>3</v>
      </c>
      <c r="N824" t="s">
        <v>74</v>
      </c>
      <c r="O824" s="25" t="s">
        <v>3827</v>
      </c>
      <c r="P824" s="25">
        <v>1</v>
      </c>
      <c r="Q824" s="25">
        <v>38400</v>
      </c>
      <c r="R824" s="25" t="s">
        <v>26</v>
      </c>
      <c r="S824" s="25" t="s">
        <v>26</v>
      </c>
      <c r="T824" s="25">
        <f t="shared" si="12"/>
        <v>38400</v>
      </c>
    </row>
    <row r="825" spans="1:20">
      <c r="A825" t="s">
        <v>2240</v>
      </c>
      <c r="B825">
        <v>45892</v>
      </c>
      <c r="C825" t="s">
        <v>93</v>
      </c>
      <c r="D825" t="s">
        <v>94</v>
      </c>
      <c r="E825" t="s">
        <v>99</v>
      </c>
      <c r="F825">
        <v>4000</v>
      </c>
      <c r="G825" t="s">
        <v>25</v>
      </c>
      <c r="H825" t="s">
        <v>2241</v>
      </c>
      <c r="I825" t="s">
        <v>71</v>
      </c>
      <c r="J825">
        <v>37000</v>
      </c>
      <c r="K825" t="s">
        <v>3</v>
      </c>
      <c r="L825" t="s">
        <v>2242</v>
      </c>
      <c r="M825" t="s">
        <v>3</v>
      </c>
      <c r="N825" t="s">
        <v>74</v>
      </c>
      <c r="O825" s="25" t="s">
        <v>3827</v>
      </c>
      <c r="P825" s="25">
        <v>1</v>
      </c>
      <c r="Q825" s="25">
        <v>37000</v>
      </c>
      <c r="R825" s="25" t="s">
        <v>26</v>
      </c>
      <c r="S825" s="25" t="s">
        <v>26</v>
      </c>
      <c r="T825" s="25">
        <f t="shared" si="12"/>
        <v>37000</v>
      </c>
    </row>
    <row r="826" spans="1:20">
      <c r="A826" t="s">
        <v>2243</v>
      </c>
      <c r="B826">
        <v>45892</v>
      </c>
      <c r="C826" t="s">
        <v>93</v>
      </c>
      <c r="D826" t="s">
        <v>94</v>
      </c>
      <c r="E826" t="s">
        <v>103</v>
      </c>
      <c r="F826">
        <v>4000</v>
      </c>
      <c r="G826" t="s">
        <v>25</v>
      </c>
      <c r="H826" t="s">
        <v>2244</v>
      </c>
      <c r="I826" t="s">
        <v>71</v>
      </c>
      <c r="J826">
        <v>40300</v>
      </c>
      <c r="K826" t="s">
        <v>3</v>
      </c>
      <c r="L826" t="s">
        <v>2245</v>
      </c>
      <c r="M826" t="s">
        <v>3</v>
      </c>
      <c r="N826" t="s">
        <v>74</v>
      </c>
      <c r="O826" s="25" t="s">
        <v>3827</v>
      </c>
      <c r="P826" s="25">
        <v>1</v>
      </c>
      <c r="Q826" s="25">
        <v>40300</v>
      </c>
      <c r="R826" s="25" t="s">
        <v>26</v>
      </c>
      <c r="S826" s="25" t="s">
        <v>26</v>
      </c>
      <c r="T826" s="25">
        <f t="shared" si="12"/>
        <v>40300</v>
      </c>
    </row>
    <row r="827" spans="1:20">
      <c r="A827" t="s">
        <v>2246</v>
      </c>
      <c r="B827">
        <v>45892</v>
      </c>
      <c r="C827" t="s">
        <v>93</v>
      </c>
      <c r="D827" t="s">
        <v>94</v>
      </c>
      <c r="E827" t="s">
        <v>160</v>
      </c>
      <c r="F827">
        <v>4000</v>
      </c>
      <c r="G827" t="s">
        <v>25</v>
      </c>
      <c r="H827" t="s">
        <v>2247</v>
      </c>
      <c r="I827" t="s">
        <v>71</v>
      </c>
      <c r="J827">
        <v>35800</v>
      </c>
      <c r="K827" t="s">
        <v>3</v>
      </c>
      <c r="L827" t="s">
        <v>2245</v>
      </c>
      <c r="M827" t="s">
        <v>3</v>
      </c>
      <c r="N827" t="s">
        <v>74</v>
      </c>
      <c r="O827" s="25" t="s">
        <v>3827</v>
      </c>
      <c r="P827" s="25">
        <v>1</v>
      </c>
      <c r="Q827" s="25">
        <v>35800</v>
      </c>
      <c r="R827" s="25" t="s">
        <v>26</v>
      </c>
      <c r="S827" s="25" t="s">
        <v>26</v>
      </c>
      <c r="T827" s="25">
        <f t="shared" si="12"/>
        <v>35800</v>
      </c>
    </row>
    <row r="828" spans="1:20">
      <c r="A828" t="s">
        <v>2248</v>
      </c>
      <c r="B828">
        <v>45892</v>
      </c>
      <c r="C828" t="s">
        <v>93</v>
      </c>
      <c r="D828" t="s">
        <v>94</v>
      </c>
      <c r="E828" t="s">
        <v>107</v>
      </c>
      <c r="F828">
        <v>4000</v>
      </c>
      <c r="G828" t="s">
        <v>25</v>
      </c>
      <c r="H828" t="s">
        <v>2249</v>
      </c>
      <c r="I828" t="s">
        <v>71</v>
      </c>
      <c r="J828">
        <v>38200</v>
      </c>
      <c r="K828" t="s">
        <v>3</v>
      </c>
      <c r="L828" t="s">
        <v>2250</v>
      </c>
      <c r="M828" t="s">
        <v>3</v>
      </c>
      <c r="N828" t="s">
        <v>74</v>
      </c>
      <c r="O828" s="25" t="s">
        <v>3827</v>
      </c>
      <c r="P828" s="25">
        <v>1</v>
      </c>
      <c r="Q828" s="25">
        <v>38200</v>
      </c>
      <c r="R828" s="25" t="s">
        <v>26</v>
      </c>
      <c r="S828" s="25" t="s">
        <v>26</v>
      </c>
      <c r="T828" s="25">
        <f t="shared" si="12"/>
        <v>38200</v>
      </c>
    </row>
    <row r="829" spans="1:20">
      <c r="A829" t="s">
        <v>2251</v>
      </c>
      <c r="B829">
        <v>45892</v>
      </c>
      <c r="C829" t="s">
        <v>93</v>
      </c>
      <c r="D829" t="s">
        <v>111</v>
      </c>
      <c r="E829" t="s">
        <v>116</v>
      </c>
      <c r="F829">
        <v>4000</v>
      </c>
      <c r="G829" t="s">
        <v>25</v>
      </c>
      <c r="H829" t="s">
        <v>2252</v>
      </c>
      <c r="I829" t="s">
        <v>71</v>
      </c>
      <c r="J829">
        <v>60100</v>
      </c>
      <c r="K829" t="s">
        <v>3</v>
      </c>
      <c r="L829" t="s">
        <v>2253</v>
      </c>
      <c r="M829" t="s">
        <v>3</v>
      </c>
      <c r="N829" t="s">
        <v>74</v>
      </c>
      <c r="O829" s="25" t="s">
        <v>3827</v>
      </c>
      <c r="P829" s="25">
        <v>1</v>
      </c>
      <c r="Q829" s="25">
        <v>60100</v>
      </c>
      <c r="R829" s="25" t="s">
        <v>26</v>
      </c>
      <c r="S829" s="25" t="s">
        <v>26</v>
      </c>
      <c r="T829" s="25">
        <f t="shared" si="12"/>
        <v>60100</v>
      </c>
    </row>
    <row r="830" spans="1:20">
      <c r="A830" t="s">
        <v>2254</v>
      </c>
      <c r="B830">
        <v>45892</v>
      </c>
      <c r="C830" t="s">
        <v>93</v>
      </c>
      <c r="D830" t="s">
        <v>111</v>
      </c>
      <c r="E830" t="s">
        <v>119</v>
      </c>
      <c r="F830">
        <v>4000</v>
      </c>
      <c r="G830" t="s">
        <v>25</v>
      </c>
      <c r="H830" t="s">
        <v>2255</v>
      </c>
      <c r="I830" t="s">
        <v>71</v>
      </c>
      <c r="J830">
        <v>65100</v>
      </c>
      <c r="K830" t="s">
        <v>3</v>
      </c>
      <c r="L830" t="s">
        <v>2253</v>
      </c>
      <c r="M830" t="s">
        <v>3</v>
      </c>
      <c r="N830" t="s">
        <v>74</v>
      </c>
      <c r="O830" s="25" t="s">
        <v>3827</v>
      </c>
      <c r="P830" s="25">
        <v>1</v>
      </c>
      <c r="Q830" s="25">
        <v>65100</v>
      </c>
      <c r="R830" s="25" t="s">
        <v>26</v>
      </c>
      <c r="S830" s="25" t="s">
        <v>26</v>
      </c>
      <c r="T830" s="25">
        <f t="shared" si="12"/>
        <v>65100</v>
      </c>
    </row>
    <row r="831" spans="1:20">
      <c r="A831" t="s">
        <v>2256</v>
      </c>
      <c r="B831">
        <v>45892</v>
      </c>
      <c r="C831" t="s">
        <v>93</v>
      </c>
      <c r="D831" t="s">
        <v>111</v>
      </c>
      <c r="E831" t="s">
        <v>170</v>
      </c>
      <c r="F831">
        <v>4000</v>
      </c>
      <c r="G831" t="s">
        <v>25</v>
      </c>
      <c r="H831" t="s">
        <v>2257</v>
      </c>
      <c r="I831" t="s">
        <v>71</v>
      </c>
      <c r="J831">
        <v>64500</v>
      </c>
      <c r="K831" t="s">
        <v>3</v>
      </c>
      <c r="L831" t="s">
        <v>2253</v>
      </c>
      <c r="M831" t="s">
        <v>3</v>
      </c>
      <c r="N831" t="s">
        <v>74</v>
      </c>
      <c r="O831" s="25" t="s">
        <v>3827</v>
      </c>
      <c r="P831" s="25">
        <v>1</v>
      </c>
      <c r="Q831" s="25">
        <v>64500</v>
      </c>
      <c r="R831" s="25" t="s">
        <v>26</v>
      </c>
      <c r="S831" s="25" t="s">
        <v>26</v>
      </c>
      <c r="T831" s="25">
        <f t="shared" si="12"/>
        <v>64500</v>
      </c>
    </row>
    <row r="832" spans="1:20">
      <c r="A832" t="s">
        <v>2258</v>
      </c>
      <c r="B832">
        <v>45892</v>
      </c>
      <c r="C832" t="s">
        <v>126</v>
      </c>
      <c r="D832" t="s">
        <v>88</v>
      </c>
      <c r="E832" t="s">
        <v>127</v>
      </c>
      <c r="F832">
        <v>4020</v>
      </c>
      <c r="G832" t="s">
        <v>30</v>
      </c>
      <c r="H832" t="s">
        <v>2259</v>
      </c>
      <c r="I832" t="s">
        <v>72</v>
      </c>
      <c r="J832">
        <v>28.88</v>
      </c>
      <c r="K832" t="s">
        <v>129</v>
      </c>
      <c r="L832" t="s">
        <v>2260</v>
      </c>
      <c r="M832" t="s">
        <v>3</v>
      </c>
      <c r="N832" t="s">
        <v>74</v>
      </c>
      <c r="O832" s="25" t="s">
        <v>3828</v>
      </c>
      <c r="P832" s="25">
        <v>1572</v>
      </c>
      <c r="Q832" s="25">
        <v>45399.360000000001</v>
      </c>
      <c r="R832" s="25" t="s">
        <v>26</v>
      </c>
      <c r="S832" s="25" t="s">
        <v>26</v>
      </c>
      <c r="T832" s="25">
        <f t="shared" si="12"/>
        <v>45399.360000000001</v>
      </c>
    </row>
    <row r="833" spans="1:20">
      <c r="A833" t="s">
        <v>2261</v>
      </c>
      <c r="B833">
        <v>45892</v>
      </c>
      <c r="C833" t="s">
        <v>126</v>
      </c>
      <c r="D833" t="s">
        <v>88</v>
      </c>
      <c r="E833" t="s">
        <v>132</v>
      </c>
      <c r="F833">
        <v>4020</v>
      </c>
      <c r="G833" t="s">
        <v>30</v>
      </c>
      <c r="H833" t="s">
        <v>2262</v>
      </c>
      <c r="I833" t="s">
        <v>71</v>
      </c>
      <c r="J833">
        <v>47800</v>
      </c>
      <c r="K833" t="s">
        <v>134</v>
      </c>
      <c r="L833" t="s">
        <v>2260</v>
      </c>
      <c r="M833" t="s">
        <v>3</v>
      </c>
      <c r="N833" t="s">
        <v>74</v>
      </c>
      <c r="O833" s="25" t="s">
        <v>3827</v>
      </c>
      <c r="P833" s="25">
        <v>1</v>
      </c>
      <c r="Q833" s="25">
        <v>47800</v>
      </c>
      <c r="R833" s="25" t="s">
        <v>26</v>
      </c>
      <c r="S833" s="25" t="s">
        <v>26</v>
      </c>
      <c r="T833" s="25">
        <f t="shared" si="12"/>
        <v>47800</v>
      </c>
    </row>
    <row r="834" spans="1:20">
      <c r="A834" t="s">
        <v>2263</v>
      </c>
      <c r="B834">
        <v>45892</v>
      </c>
      <c r="C834" t="s">
        <v>126</v>
      </c>
      <c r="D834" t="s">
        <v>88</v>
      </c>
      <c r="E834" t="s">
        <v>136</v>
      </c>
      <c r="F834">
        <v>4020</v>
      </c>
      <c r="G834" t="s">
        <v>30</v>
      </c>
      <c r="H834" t="s">
        <v>2264</v>
      </c>
      <c r="I834" t="s">
        <v>72</v>
      </c>
      <c r="J834">
        <v>27.93</v>
      </c>
      <c r="K834" t="s">
        <v>138</v>
      </c>
      <c r="L834" t="s">
        <v>2260</v>
      </c>
      <c r="M834" t="s">
        <v>3</v>
      </c>
      <c r="N834" t="s">
        <v>74</v>
      </c>
      <c r="O834" s="25" t="s">
        <v>3828</v>
      </c>
      <c r="P834" s="25">
        <v>1572</v>
      </c>
      <c r="Q834" s="25">
        <v>43905.96</v>
      </c>
      <c r="R834" s="25" t="s">
        <v>26</v>
      </c>
      <c r="S834" s="25" t="s">
        <v>26</v>
      </c>
      <c r="T834" s="25">
        <f t="shared" ref="T834:T897" si="13">IF(AND(S834="Revenue",G834&lt;&gt;"Refunds &amp; Chargebacks"),ABS(Q834),-ABS(Q834))</f>
        <v>43905.96</v>
      </c>
    </row>
    <row r="835" spans="1:20">
      <c r="A835" t="s">
        <v>2265</v>
      </c>
      <c r="B835">
        <v>45892</v>
      </c>
      <c r="C835" t="s">
        <v>126</v>
      </c>
      <c r="D835" t="s">
        <v>88</v>
      </c>
      <c r="E835" t="s">
        <v>140</v>
      </c>
      <c r="F835">
        <v>4020</v>
      </c>
      <c r="G835" t="s">
        <v>30</v>
      </c>
      <c r="H835" t="s">
        <v>2266</v>
      </c>
      <c r="I835" t="s">
        <v>71</v>
      </c>
      <c r="J835">
        <v>43500</v>
      </c>
      <c r="K835" t="s">
        <v>3</v>
      </c>
      <c r="L835" t="s">
        <v>2267</v>
      </c>
      <c r="M835" t="s">
        <v>3</v>
      </c>
      <c r="N835" t="s">
        <v>74</v>
      </c>
      <c r="O835" s="25" t="s">
        <v>3827</v>
      </c>
      <c r="P835" s="25">
        <v>1</v>
      </c>
      <c r="Q835" s="25">
        <v>43500</v>
      </c>
      <c r="R835" s="25" t="s">
        <v>26</v>
      </c>
      <c r="S835" s="25" t="s">
        <v>26</v>
      </c>
      <c r="T835" s="25">
        <f t="shared" si="13"/>
        <v>43500</v>
      </c>
    </row>
    <row r="836" spans="1:20">
      <c r="A836" t="s">
        <v>2268</v>
      </c>
      <c r="B836">
        <v>45892</v>
      </c>
      <c r="C836" t="s">
        <v>87</v>
      </c>
      <c r="D836" t="s">
        <v>111</v>
      </c>
      <c r="E836" t="s">
        <v>3</v>
      </c>
      <c r="F836">
        <v>5020</v>
      </c>
      <c r="G836" t="s">
        <v>39</v>
      </c>
      <c r="H836" t="s">
        <v>1423</v>
      </c>
      <c r="I836" t="s">
        <v>71</v>
      </c>
      <c r="J836">
        <v>-99000</v>
      </c>
      <c r="K836" t="s">
        <v>276</v>
      </c>
      <c r="L836" t="s">
        <v>2269</v>
      </c>
      <c r="M836" t="s">
        <v>3</v>
      </c>
      <c r="N836" t="s">
        <v>74</v>
      </c>
      <c r="O836" s="25" t="s">
        <v>3827</v>
      </c>
      <c r="P836" s="25">
        <v>1</v>
      </c>
      <c r="Q836" s="25">
        <v>-99000</v>
      </c>
      <c r="R836" s="25" t="s">
        <v>35</v>
      </c>
      <c r="S836" s="25" t="s">
        <v>35</v>
      </c>
      <c r="T836" s="25">
        <f t="shared" si="13"/>
        <v>-99000</v>
      </c>
    </row>
    <row r="837" spans="1:20">
      <c r="A837" t="s">
        <v>2270</v>
      </c>
      <c r="B837">
        <v>45893</v>
      </c>
      <c r="C837" t="s">
        <v>93</v>
      </c>
      <c r="D837" t="s">
        <v>94</v>
      </c>
      <c r="E837" t="s">
        <v>95</v>
      </c>
      <c r="F837">
        <v>4000</v>
      </c>
      <c r="G837" t="s">
        <v>25</v>
      </c>
      <c r="H837" t="s">
        <v>2271</v>
      </c>
      <c r="I837" t="s">
        <v>71</v>
      </c>
      <c r="J837">
        <v>36200</v>
      </c>
      <c r="K837" t="s">
        <v>3</v>
      </c>
      <c r="L837" t="s">
        <v>2272</v>
      </c>
      <c r="M837" t="s">
        <v>3</v>
      </c>
      <c r="N837" t="s">
        <v>74</v>
      </c>
      <c r="O837" s="25" t="s">
        <v>3827</v>
      </c>
      <c r="P837" s="25">
        <v>1</v>
      </c>
      <c r="Q837" s="25">
        <v>36200</v>
      </c>
      <c r="R837" s="25" t="s">
        <v>26</v>
      </c>
      <c r="S837" s="25" t="s">
        <v>26</v>
      </c>
      <c r="T837" s="25">
        <f t="shared" si="13"/>
        <v>36200</v>
      </c>
    </row>
    <row r="838" spans="1:20">
      <c r="A838" t="s">
        <v>2273</v>
      </c>
      <c r="B838">
        <v>45893</v>
      </c>
      <c r="C838" t="s">
        <v>93</v>
      </c>
      <c r="D838" t="s">
        <v>94</v>
      </c>
      <c r="E838" t="s">
        <v>99</v>
      </c>
      <c r="F838">
        <v>4000</v>
      </c>
      <c r="G838" t="s">
        <v>25</v>
      </c>
      <c r="H838" t="s">
        <v>2274</v>
      </c>
      <c r="I838" t="s">
        <v>71</v>
      </c>
      <c r="J838">
        <v>36300</v>
      </c>
      <c r="K838" t="s">
        <v>3</v>
      </c>
      <c r="L838" t="s">
        <v>2275</v>
      </c>
      <c r="M838" t="s">
        <v>3</v>
      </c>
      <c r="N838" t="s">
        <v>74</v>
      </c>
      <c r="O838" s="25" t="s">
        <v>3827</v>
      </c>
      <c r="P838" s="25">
        <v>1</v>
      </c>
      <c r="Q838" s="25">
        <v>36300</v>
      </c>
      <c r="R838" s="25" t="s">
        <v>26</v>
      </c>
      <c r="S838" s="25" t="s">
        <v>26</v>
      </c>
      <c r="T838" s="25">
        <f t="shared" si="13"/>
        <v>36300</v>
      </c>
    </row>
    <row r="839" spans="1:20">
      <c r="A839" t="s">
        <v>2276</v>
      </c>
      <c r="B839">
        <v>45893</v>
      </c>
      <c r="C839" t="s">
        <v>93</v>
      </c>
      <c r="D839" t="s">
        <v>94</v>
      </c>
      <c r="E839" t="s">
        <v>103</v>
      </c>
      <c r="F839">
        <v>4000</v>
      </c>
      <c r="G839" t="s">
        <v>25</v>
      </c>
      <c r="H839" t="s">
        <v>2277</v>
      </c>
      <c r="I839" t="s">
        <v>71</v>
      </c>
      <c r="J839">
        <v>41000</v>
      </c>
      <c r="K839" t="s">
        <v>3</v>
      </c>
      <c r="L839" t="s">
        <v>2278</v>
      </c>
      <c r="M839" t="s">
        <v>3</v>
      </c>
      <c r="N839" t="s">
        <v>74</v>
      </c>
      <c r="O839" s="25" t="s">
        <v>3827</v>
      </c>
      <c r="P839" s="25">
        <v>1</v>
      </c>
      <c r="Q839" s="25">
        <v>41000</v>
      </c>
      <c r="R839" s="25" t="s">
        <v>26</v>
      </c>
      <c r="S839" s="25" t="s">
        <v>26</v>
      </c>
      <c r="T839" s="25">
        <f t="shared" si="13"/>
        <v>41000</v>
      </c>
    </row>
    <row r="840" spans="1:20">
      <c r="A840" t="s">
        <v>2279</v>
      </c>
      <c r="B840">
        <v>45893</v>
      </c>
      <c r="C840" t="s">
        <v>93</v>
      </c>
      <c r="D840" t="s">
        <v>94</v>
      </c>
      <c r="E840" t="s">
        <v>160</v>
      </c>
      <c r="F840">
        <v>4000</v>
      </c>
      <c r="G840" t="s">
        <v>25</v>
      </c>
      <c r="H840" t="s">
        <v>2280</v>
      </c>
      <c r="I840" t="s">
        <v>71</v>
      </c>
      <c r="J840">
        <v>38300</v>
      </c>
      <c r="K840" t="s">
        <v>3</v>
      </c>
      <c r="L840" t="s">
        <v>2278</v>
      </c>
      <c r="M840" t="s">
        <v>3</v>
      </c>
      <c r="N840" t="s">
        <v>74</v>
      </c>
      <c r="O840" s="25" t="s">
        <v>3827</v>
      </c>
      <c r="P840" s="25">
        <v>1</v>
      </c>
      <c r="Q840" s="25">
        <v>38300</v>
      </c>
      <c r="R840" s="25" t="s">
        <v>26</v>
      </c>
      <c r="S840" s="25" t="s">
        <v>26</v>
      </c>
      <c r="T840" s="25">
        <f t="shared" si="13"/>
        <v>38300</v>
      </c>
    </row>
    <row r="841" spans="1:20">
      <c r="A841" t="s">
        <v>2281</v>
      </c>
      <c r="B841">
        <v>45893</v>
      </c>
      <c r="C841" t="s">
        <v>93</v>
      </c>
      <c r="D841" t="s">
        <v>94</v>
      </c>
      <c r="E841" t="s">
        <v>107</v>
      </c>
      <c r="F841">
        <v>4000</v>
      </c>
      <c r="G841" t="s">
        <v>25</v>
      </c>
      <c r="H841" t="s">
        <v>2282</v>
      </c>
      <c r="I841" t="s">
        <v>71</v>
      </c>
      <c r="J841">
        <v>38400</v>
      </c>
      <c r="K841" t="s">
        <v>3</v>
      </c>
      <c r="L841" t="s">
        <v>2283</v>
      </c>
      <c r="M841" t="s">
        <v>3</v>
      </c>
      <c r="N841" t="s">
        <v>74</v>
      </c>
      <c r="O841" s="25" t="s">
        <v>3827</v>
      </c>
      <c r="P841" s="25">
        <v>1</v>
      </c>
      <c r="Q841" s="25">
        <v>38400</v>
      </c>
      <c r="R841" s="25" t="s">
        <v>26</v>
      </c>
      <c r="S841" s="25" t="s">
        <v>26</v>
      </c>
      <c r="T841" s="25">
        <f t="shared" si="13"/>
        <v>38400</v>
      </c>
    </row>
    <row r="842" spans="1:20">
      <c r="A842" t="s">
        <v>2284</v>
      </c>
      <c r="B842">
        <v>45893</v>
      </c>
      <c r="C842" t="s">
        <v>93</v>
      </c>
      <c r="D842" t="s">
        <v>111</v>
      </c>
      <c r="E842" t="s">
        <v>112</v>
      </c>
      <c r="F842">
        <v>4000</v>
      </c>
      <c r="G842" t="s">
        <v>25</v>
      </c>
      <c r="H842" t="s">
        <v>2285</v>
      </c>
      <c r="I842" t="s">
        <v>71</v>
      </c>
      <c r="J842">
        <v>66900</v>
      </c>
      <c r="K842" t="s">
        <v>3</v>
      </c>
      <c r="L842" t="s">
        <v>2286</v>
      </c>
      <c r="M842" t="s">
        <v>3</v>
      </c>
      <c r="N842" t="s">
        <v>74</v>
      </c>
      <c r="O842" s="25" t="s">
        <v>3827</v>
      </c>
      <c r="P842" s="25">
        <v>1</v>
      </c>
      <c r="Q842" s="25">
        <v>66900</v>
      </c>
      <c r="R842" s="25" t="s">
        <v>26</v>
      </c>
      <c r="S842" s="25" t="s">
        <v>26</v>
      </c>
      <c r="T842" s="25">
        <f t="shared" si="13"/>
        <v>66900</v>
      </c>
    </row>
    <row r="843" spans="1:20">
      <c r="A843" t="s">
        <v>2287</v>
      </c>
      <c r="B843">
        <v>45893</v>
      </c>
      <c r="C843" t="s">
        <v>93</v>
      </c>
      <c r="D843" t="s">
        <v>111</v>
      </c>
      <c r="E843" t="s">
        <v>116</v>
      </c>
      <c r="F843">
        <v>4000</v>
      </c>
      <c r="G843" t="s">
        <v>25</v>
      </c>
      <c r="H843" t="s">
        <v>2288</v>
      </c>
      <c r="I843" t="s">
        <v>71</v>
      </c>
      <c r="J843">
        <v>63300</v>
      </c>
      <c r="K843" t="s">
        <v>3</v>
      </c>
      <c r="L843" t="s">
        <v>2286</v>
      </c>
      <c r="M843" t="s">
        <v>3</v>
      </c>
      <c r="N843" t="s">
        <v>74</v>
      </c>
      <c r="O843" s="25" t="s">
        <v>3827</v>
      </c>
      <c r="P843" s="25">
        <v>1</v>
      </c>
      <c r="Q843" s="25">
        <v>63300</v>
      </c>
      <c r="R843" s="25" t="s">
        <v>26</v>
      </c>
      <c r="S843" s="25" t="s">
        <v>26</v>
      </c>
      <c r="T843" s="25">
        <f t="shared" si="13"/>
        <v>63300</v>
      </c>
    </row>
    <row r="844" spans="1:20">
      <c r="A844" t="s">
        <v>2289</v>
      </c>
      <c r="B844">
        <v>45893</v>
      </c>
      <c r="C844" t="s">
        <v>93</v>
      </c>
      <c r="D844" t="s">
        <v>111</v>
      </c>
      <c r="E844" t="s">
        <v>119</v>
      </c>
      <c r="F844">
        <v>4000</v>
      </c>
      <c r="G844" t="s">
        <v>25</v>
      </c>
      <c r="H844" t="s">
        <v>2290</v>
      </c>
      <c r="I844" t="s">
        <v>71</v>
      </c>
      <c r="J844">
        <v>61100</v>
      </c>
      <c r="K844" t="s">
        <v>3</v>
      </c>
      <c r="L844" t="s">
        <v>2286</v>
      </c>
      <c r="M844" t="s">
        <v>3</v>
      </c>
      <c r="N844" t="s">
        <v>74</v>
      </c>
      <c r="O844" s="25" t="s">
        <v>3827</v>
      </c>
      <c r="P844" s="25">
        <v>1</v>
      </c>
      <c r="Q844" s="25">
        <v>61100</v>
      </c>
      <c r="R844" s="25" t="s">
        <v>26</v>
      </c>
      <c r="S844" s="25" t="s">
        <v>26</v>
      </c>
      <c r="T844" s="25">
        <f t="shared" si="13"/>
        <v>61100</v>
      </c>
    </row>
    <row r="845" spans="1:20">
      <c r="A845" t="s">
        <v>2291</v>
      </c>
      <c r="B845">
        <v>45893</v>
      </c>
      <c r="C845" t="s">
        <v>93</v>
      </c>
      <c r="D845" t="s">
        <v>111</v>
      </c>
      <c r="E845" t="s">
        <v>170</v>
      </c>
      <c r="F845">
        <v>4000</v>
      </c>
      <c r="G845" t="s">
        <v>25</v>
      </c>
      <c r="H845" t="s">
        <v>2292</v>
      </c>
      <c r="I845" t="s">
        <v>71</v>
      </c>
      <c r="J845">
        <v>61200</v>
      </c>
      <c r="K845" t="s">
        <v>3</v>
      </c>
      <c r="L845" t="s">
        <v>2286</v>
      </c>
      <c r="M845" t="s">
        <v>3</v>
      </c>
      <c r="N845" t="s">
        <v>74</v>
      </c>
      <c r="O845" s="25" t="s">
        <v>3827</v>
      </c>
      <c r="P845" s="25">
        <v>1</v>
      </c>
      <c r="Q845" s="25">
        <v>61200</v>
      </c>
      <c r="R845" s="25" t="s">
        <v>26</v>
      </c>
      <c r="S845" s="25" t="s">
        <v>26</v>
      </c>
      <c r="T845" s="25">
        <f t="shared" si="13"/>
        <v>61200</v>
      </c>
    </row>
    <row r="846" spans="1:20">
      <c r="A846" t="s">
        <v>2293</v>
      </c>
      <c r="B846">
        <v>45893</v>
      </c>
      <c r="C846" t="s">
        <v>93</v>
      </c>
      <c r="D846" t="s">
        <v>111</v>
      </c>
      <c r="E846" t="s">
        <v>122</v>
      </c>
      <c r="F846">
        <v>4000</v>
      </c>
      <c r="G846" t="s">
        <v>25</v>
      </c>
      <c r="H846" t="s">
        <v>2294</v>
      </c>
      <c r="I846" t="s">
        <v>71</v>
      </c>
      <c r="J846">
        <v>65000</v>
      </c>
      <c r="K846" t="s">
        <v>3</v>
      </c>
      <c r="L846" t="s">
        <v>2295</v>
      </c>
      <c r="M846" t="s">
        <v>3</v>
      </c>
      <c r="N846" t="s">
        <v>74</v>
      </c>
      <c r="O846" s="25" t="s">
        <v>3827</v>
      </c>
      <c r="P846" s="25">
        <v>1</v>
      </c>
      <c r="Q846" s="25">
        <v>65000</v>
      </c>
      <c r="R846" s="25" t="s">
        <v>26</v>
      </c>
      <c r="S846" s="25" t="s">
        <v>26</v>
      </c>
      <c r="T846" s="25">
        <f t="shared" si="13"/>
        <v>65000</v>
      </c>
    </row>
    <row r="847" spans="1:20">
      <c r="A847" t="s">
        <v>2296</v>
      </c>
      <c r="B847">
        <v>45893</v>
      </c>
      <c r="C847" t="s">
        <v>126</v>
      </c>
      <c r="D847" t="s">
        <v>88</v>
      </c>
      <c r="E847" t="s">
        <v>127</v>
      </c>
      <c r="F847">
        <v>4020</v>
      </c>
      <c r="G847" t="s">
        <v>30</v>
      </c>
      <c r="H847" t="s">
        <v>2297</v>
      </c>
      <c r="I847" t="s">
        <v>72</v>
      </c>
      <c r="J847">
        <v>35.049999999999997</v>
      </c>
      <c r="K847" t="s">
        <v>129</v>
      </c>
      <c r="L847" t="s">
        <v>2298</v>
      </c>
      <c r="M847" t="s">
        <v>3</v>
      </c>
      <c r="N847" t="s">
        <v>74</v>
      </c>
      <c r="O847" s="25" t="s">
        <v>3828</v>
      </c>
      <c r="P847" s="25">
        <v>1572</v>
      </c>
      <c r="Q847" s="25">
        <v>55098.6</v>
      </c>
      <c r="R847" s="25" t="s">
        <v>26</v>
      </c>
      <c r="S847" s="25" t="s">
        <v>26</v>
      </c>
      <c r="T847" s="25">
        <f t="shared" si="13"/>
        <v>55098.6</v>
      </c>
    </row>
    <row r="848" spans="1:20">
      <c r="A848" t="s">
        <v>2299</v>
      </c>
      <c r="B848">
        <v>45893</v>
      </c>
      <c r="C848" t="s">
        <v>126</v>
      </c>
      <c r="D848" t="s">
        <v>88</v>
      </c>
      <c r="E848" t="s">
        <v>132</v>
      </c>
      <c r="F848">
        <v>4020</v>
      </c>
      <c r="G848" t="s">
        <v>30</v>
      </c>
      <c r="H848" t="s">
        <v>2300</v>
      </c>
      <c r="I848" t="s">
        <v>71</v>
      </c>
      <c r="J848">
        <v>52200</v>
      </c>
      <c r="K848" t="s">
        <v>134</v>
      </c>
      <c r="L848" t="s">
        <v>2298</v>
      </c>
      <c r="M848" t="s">
        <v>3</v>
      </c>
      <c r="N848" t="s">
        <v>74</v>
      </c>
      <c r="O848" s="25" t="s">
        <v>3827</v>
      </c>
      <c r="P848" s="25">
        <v>1</v>
      </c>
      <c r="Q848" s="25">
        <v>52200</v>
      </c>
      <c r="R848" s="25" t="s">
        <v>26</v>
      </c>
      <c r="S848" s="25" t="s">
        <v>26</v>
      </c>
      <c r="T848" s="25">
        <f t="shared" si="13"/>
        <v>52200</v>
      </c>
    </row>
    <row r="849" spans="1:20">
      <c r="A849" t="s">
        <v>2301</v>
      </c>
      <c r="B849">
        <v>45893</v>
      </c>
      <c r="C849" t="s">
        <v>126</v>
      </c>
      <c r="D849" t="s">
        <v>88</v>
      </c>
      <c r="E849" t="s">
        <v>136</v>
      </c>
      <c r="F849">
        <v>4020</v>
      </c>
      <c r="G849" t="s">
        <v>30</v>
      </c>
      <c r="H849" t="s">
        <v>2302</v>
      </c>
      <c r="I849" t="s">
        <v>72</v>
      </c>
      <c r="J849">
        <v>34.92</v>
      </c>
      <c r="K849" t="s">
        <v>138</v>
      </c>
      <c r="L849" t="s">
        <v>2298</v>
      </c>
      <c r="M849" t="s">
        <v>3</v>
      </c>
      <c r="N849" t="s">
        <v>74</v>
      </c>
      <c r="O849" s="25" t="s">
        <v>3828</v>
      </c>
      <c r="P849" s="25">
        <v>1572</v>
      </c>
      <c r="Q849" s="25">
        <v>54894.240000000005</v>
      </c>
      <c r="R849" s="25" t="s">
        <v>26</v>
      </c>
      <c r="S849" s="25" t="s">
        <v>26</v>
      </c>
      <c r="T849" s="25">
        <f t="shared" si="13"/>
        <v>54894.240000000005</v>
      </c>
    </row>
    <row r="850" spans="1:20">
      <c r="A850" t="s">
        <v>2303</v>
      </c>
      <c r="B850">
        <v>45893</v>
      </c>
      <c r="C850" t="s">
        <v>87</v>
      </c>
      <c r="D850" t="s">
        <v>94</v>
      </c>
      <c r="E850" t="s">
        <v>3</v>
      </c>
      <c r="F850">
        <v>5000</v>
      </c>
      <c r="G850" t="s">
        <v>34</v>
      </c>
      <c r="H850" t="s">
        <v>1630</v>
      </c>
      <c r="I850" t="s">
        <v>71</v>
      </c>
      <c r="J850">
        <v>-553000</v>
      </c>
      <c r="K850" t="s">
        <v>316</v>
      </c>
      <c r="L850" t="s">
        <v>2304</v>
      </c>
      <c r="M850" t="s">
        <v>3</v>
      </c>
      <c r="N850" t="s">
        <v>74</v>
      </c>
      <c r="O850" s="25" t="s">
        <v>3827</v>
      </c>
      <c r="P850" s="25">
        <v>1</v>
      </c>
      <c r="Q850" s="25">
        <v>-553000</v>
      </c>
      <c r="R850" s="25" t="s">
        <v>35</v>
      </c>
      <c r="S850" s="25" t="s">
        <v>35</v>
      </c>
      <c r="T850" s="25">
        <f t="shared" si="13"/>
        <v>-553000</v>
      </c>
    </row>
    <row r="851" spans="1:20">
      <c r="A851" t="s">
        <v>2305</v>
      </c>
      <c r="B851">
        <v>45894</v>
      </c>
      <c r="C851" t="s">
        <v>93</v>
      </c>
      <c r="D851" t="s">
        <v>94</v>
      </c>
      <c r="E851" t="s">
        <v>95</v>
      </c>
      <c r="F851">
        <v>4000</v>
      </c>
      <c r="G851" t="s">
        <v>25</v>
      </c>
      <c r="H851" t="s">
        <v>2306</v>
      </c>
      <c r="I851" t="s">
        <v>71</v>
      </c>
      <c r="J851">
        <v>30500</v>
      </c>
      <c r="K851" t="s">
        <v>3</v>
      </c>
      <c r="L851" t="s">
        <v>2307</v>
      </c>
      <c r="M851" t="s">
        <v>3</v>
      </c>
      <c r="N851" t="s">
        <v>74</v>
      </c>
      <c r="O851" s="25" t="s">
        <v>3827</v>
      </c>
      <c r="P851" s="25">
        <v>1</v>
      </c>
      <c r="Q851" s="25">
        <v>30500</v>
      </c>
      <c r="R851" s="25" t="s">
        <v>26</v>
      </c>
      <c r="S851" s="25" t="s">
        <v>26</v>
      </c>
      <c r="T851" s="25">
        <f t="shared" si="13"/>
        <v>30500</v>
      </c>
    </row>
    <row r="852" spans="1:20">
      <c r="A852" t="s">
        <v>2308</v>
      </c>
      <c r="B852">
        <v>45894</v>
      </c>
      <c r="C852" t="s">
        <v>93</v>
      </c>
      <c r="D852" t="s">
        <v>94</v>
      </c>
      <c r="E852" t="s">
        <v>99</v>
      </c>
      <c r="F852">
        <v>4000</v>
      </c>
      <c r="G852" t="s">
        <v>25</v>
      </c>
      <c r="H852" t="s">
        <v>2309</v>
      </c>
      <c r="I852" t="s">
        <v>71</v>
      </c>
      <c r="J852">
        <v>29600</v>
      </c>
      <c r="K852" t="s">
        <v>3</v>
      </c>
      <c r="L852" t="s">
        <v>2310</v>
      </c>
      <c r="M852" t="s">
        <v>3</v>
      </c>
      <c r="N852" t="s">
        <v>74</v>
      </c>
      <c r="O852" s="25" t="s">
        <v>3827</v>
      </c>
      <c r="P852" s="25">
        <v>1</v>
      </c>
      <c r="Q852" s="25">
        <v>29600</v>
      </c>
      <c r="R852" s="25" t="s">
        <v>26</v>
      </c>
      <c r="S852" s="25" t="s">
        <v>26</v>
      </c>
      <c r="T852" s="25">
        <f t="shared" si="13"/>
        <v>29600</v>
      </c>
    </row>
    <row r="853" spans="1:20">
      <c r="A853" t="s">
        <v>2311</v>
      </c>
      <c r="B853">
        <v>45894</v>
      </c>
      <c r="C853" t="s">
        <v>93</v>
      </c>
      <c r="D853" t="s">
        <v>94</v>
      </c>
      <c r="E853" t="s">
        <v>103</v>
      </c>
      <c r="F853">
        <v>4000</v>
      </c>
      <c r="G853" t="s">
        <v>25</v>
      </c>
      <c r="H853" t="s">
        <v>2312</v>
      </c>
      <c r="I853" t="s">
        <v>71</v>
      </c>
      <c r="J853">
        <v>28400</v>
      </c>
      <c r="K853" t="s">
        <v>3</v>
      </c>
      <c r="L853" t="s">
        <v>2313</v>
      </c>
      <c r="M853" t="s">
        <v>3</v>
      </c>
      <c r="N853" t="s">
        <v>74</v>
      </c>
      <c r="O853" s="25" t="s">
        <v>3827</v>
      </c>
      <c r="P853" s="25">
        <v>1</v>
      </c>
      <c r="Q853" s="25">
        <v>28400</v>
      </c>
      <c r="R853" s="25" t="s">
        <v>26</v>
      </c>
      <c r="S853" s="25" t="s">
        <v>26</v>
      </c>
      <c r="T853" s="25">
        <f t="shared" si="13"/>
        <v>28400</v>
      </c>
    </row>
    <row r="854" spans="1:20">
      <c r="A854" t="s">
        <v>2314</v>
      </c>
      <c r="B854">
        <v>45894</v>
      </c>
      <c r="C854" t="s">
        <v>93</v>
      </c>
      <c r="D854" t="s">
        <v>94</v>
      </c>
      <c r="E854" t="s">
        <v>160</v>
      </c>
      <c r="F854">
        <v>4000</v>
      </c>
      <c r="G854" t="s">
        <v>25</v>
      </c>
      <c r="H854" t="s">
        <v>2315</v>
      </c>
      <c r="I854" t="s">
        <v>71</v>
      </c>
      <c r="J854">
        <v>27900</v>
      </c>
      <c r="K854" t="s">
        <v>3</v>
      </c>
      <c r="L854" t="s">
        <v>2313</v>
      </c>
      <c r="M854" t="s">
        <v>3</v>
      </c>
      <c r="N854" t="s">
        <v>74</v>
      </c>
      <c r="O854" s="25" t="s">
        <v>3827</v>
      </c>
      <c r="P854" s="25">
        <v>1</v>
      </c>
      <c r="Q854" s="25">
        <v>27900</v>
      </c>
      <c r="R854" s="25" t="s">
        <v>26</v>
      </c>
      <c r="S854" s="25" t="s">
        <v>26</v>
      </c>
      <c r="T854" s="25">
        <f t="shared" si="13"/>
        <v>27900</v>
      </c>
    </row>
    <row r="855" spans="1:20">
      <c r="A855" t="s">
        <v>2316</v>
      </c>
      <c r="B855">
        <v>45894</v>
      </c>
      <c r="C855" t="s">
        <v>93</v>
      </c>
      <c r="D855" t="s">
        <v>94</v>
      </c>
      <c r="E855" t="s">
        <v>107</v>
      </c>
      <c r="F855">
        <v>4000</v>
      </c>
      <c r="G855" t="s">
        <v>25</v>
      </c>
      <c r="H855" t="s">
        <v>2317</v>
      </c>
      <c r="I855" t="s">
        <v>71</v>
      </c>
      <c r="J855">
        <v>30300</v>
      </c>
      <c r="K855" t="s">
        <v>3</v>
      </c>
      <c r="L855" t="s">
        <v>2318</v>
      </c>
      <c r="M855" t="s">
        <v>3</v>
      </c>
      <c r="N855" t="s">
        <v>74</v>
      </c>
      <c r="O855" s="25" t="s">
        <v>3827</v>
      </c>
      <c r="P855" s="25">
        <v>1</v>
      </c>
      <c r="Q855" s="25">
        <v>30300</v>
      </c>
      <c r="R855" s="25" t="s">
        <v>26</v>
      </c>
      <c r="S855" s="25" t="s">
        <v>26</v>
      </c>
      <c r="T855" s="25">
        <f t="shared" si="13"/>
        <v>30300</v>
      </c>
    </row>
    <row r="856" spans="1:20">
      <c r="A856" t="s">
        <v>2319</v>
      </c>
      <c r="B856">
        <v>45894</v>
      </c>
      <c r="C856" t="s">
        <v>93</v>
      </c>
      <c r="D856" t="s">
        <v>111</v>
      </c>
      <c r="E856" t="s">
        <v>112</v>
      </c>
      <c r="F856">
        <v>4000</v>
      </c>
      <c r="G856" t="s">
        <v>25</v>
      </c>
      <c r="H856" t="s">
        <v>2320</v>
      </c>
      <c r="I856" t="s">
        <v>71</v>
      </c>
      <c r="J856">
        <v>50700</v>
      </c>
      <c r="K856" t="s">
        <v>3</v>
      </c>
      <c r="L856" t="s">
        <v>2321</v>
      </c>
      <c r="M856" t="s">
        <v>3</v>
      </c>
      <c r="N856" t="s">
        <v>74</v>
      </c>
      <c r="O856" s="25" t="s">
        <v>3827</v>
      </c>
      <c r="P856" s="25">
        <v>1</v>
      </c>
      <c r="Q856" s="25">
        <v>50700</v>
      </c>
      <c r="R856" s="25" t="s">
        <v>26</v>
      </c>
      <c r="S856" s="25" t="s">
        <v>26</v>
      </c>
      <c r="T856" s="25">
        <f t="shared" si="13"/>
        <v>50700</v>
      </c>
    </row>
    <row r="857" spans="1:20">
      <c r="A857" t="s">
        <v>2322</v>
      </c>
      <c r="B857">
        <v>45894</v>
      </c>
      <c r="C857" t="s">
        <v>93</v>
      </c>
      <c r="D857" t="s">
        <v>111</v>
      </c>
      <c r="E857" t="s">
        <v>116</v>
      </c>
      <c r="F857">
        <v>4000</v>
      </c>
      <c r="G857" t="s">
        <v>25</v>
      </c>
      <c r="H857" t="s">
        <v>2323</v>
      </c>
      <c r="I857" t="s">
        <v>71</v>
      </c>
      <c r="J857">
        <v>53300</v>
      </c>
      <c r="K857" t="s">
        <v>3</v>
      </c>
      <c r="L857" t="s">
        <v>2321</v>
      </c>
      <c r="M857" t="s">
        <v>3</v>
      </c>
      <c r="N857" t="s">
        <v>74</v>
      </c>
      <c r="O857" s="25" t="s">
        <v>3827</v>
      </c>
      <c r="P857" s="25">
        <v>1</v>
      </c>
      <c r="Q857" s="25">
        <v>53300</v>
      </c>
      <c r="R857" s="25" t="s">
        <v>26</v>
      </c>
      <c r="S857" s="25" t="s">
        <v>26</v>
      </c>
      <c r="T857" s="25">
        <f t="shared" si="13"/>
        <v>53300</v>
      </c>
    </row>
    <row r="858" spans="1:20">
      <c r="A858" t="s">
        <v>2324</v>
      </c>
      <c r="B858">
        <v>45894</v>
      </c>
      <c r="C858" t="s">
        <v>93</v>
      </c>
      <c r="D858" t="s">
        <v>111</v>
      </c>
      <c r="E858" t="s">
        <v>119</v>
      </c>
      <c r="F858">
        <v>4000</v>
      </c>
      <c r="G858" t="s">
        <v>25</v>
      </c>
      <c r="H858" t="s">
        <v>2325</v>
      </c>
      <c r="I858" t="s">
        <v>71</v>
      </c>
      <c r="J858">
        <v>52600</v>
      </c>
      <c r="K858" t="s">
        <v>3</v>
      </c>
      <c r="L858" t="s">
        <v>2321</v>
      </c>
      <c r="M858" t="s">
        <v>3</v>
      </c>
      <c r="N858" t="s">
        <v>74</v>
      </c>
      <c r="O858" s="25" t="s">
        <v>3827</v>
      </c>
      <c r="P858" s="25">
        <v>1</v>
      </c>
      <c r="Q858" s="25">
        <v>52600</v>
      </c>
      <c r="R858" s="25" t="s">
        <v>26</v>
      </c>
      <c r="S858" s="25" t="s">
        <v>26</v>
      </c>
      <c r="T858" s="25">
        <f t="shared" si="13"/>
        <v>52600</v>
      </c>
    </row>
    <row r="859" spans="1:20">
      <c r="A859" t="s">
        <v>2326</v>
      </c>
      <c r="B859">
        <v>45894</v>
      </c>
      <c r="C859" t="s">
        <v>93</v>
      </c>
      <c r="D859" t="s">
        <v>111</v>
      </c>
      <c r="E859" t="s">
        <v>170</v>
      </c>
      <c r="F859">
        <v>4000</v>
      </c>
      <c r="G859" t="s">
        <v>25</v>
      </c>
      <c r="H859" t="s">
        <v>2327</v>
      </c>
      <c r="I859" t="s">
        <v>71</v>
      </c>
      <c r="J859">
        <v>53400</v>
      </c>
      <c r="K859" t="s">
        <v>3</v>
      </c>
      <c r="L859" t="s">
        <v>2321</v>
      </c>
      <c r="M859" t="s">
        <v>3</v>
      </c>
      <c r="N859" t="s">
        <v>74</v>
      </c>
      <c r="O859" s="25" t="s">
        <v>3827</v>
      </c>
      <c r="P859" s="25">
        <v>1</v>
      </c>
      <c r="Q859" s="25">
        <v>53400</v>
      </c>
      <c r="R859" s="25" t="s">
        <v>26</v>
      </c>
      <c r="S859" s="25" t="s">
        <v>26</v>
      </c>
      <c r="T859" s="25">
        <f t="shared" si="13"/>
        <v>53400</v>
      </c>
    </row>
    <row r="860" spans="1:20">
      <c r="A860" t="s">
        <v>2328</v>
      </c>
      <c r="B860">
        <v>45894</v>
      </c>
      <c r="C860" t="s">
        <v>93</v>
      </c>
      <c r="D860" t="s">
        <v>111</v>
      </c>
      <c r="E860" t="s">
        <v>122</v>
      </c>
      <c r="F860">
        <v>4000</v>
      </c>
      <c r="G860" t="s">
        <v>25</v>
      </c>
      <c r="H860" t="s">
        <v>2329</v>
      </c>
      <c r="I860" t="s">
        <v>71</v>
      </c>
      <c r="J860">
        <v>53600</v>
      </c>
      <c r="K860" t="s">
        <v>3</v>
      </c>
      <c r="L860" t="s">
        <v>2330</v>
      </c>
      <c r="M860" t="s">
        <v>3</v>
      </c>
      <c r="N860" t="s">
        <v>74</v>
      </c>
      <c r="O860" s="25" t="s">
        <v>3827</v>
      </c>
      <c r="P860" s="25">
        <v>1</v>
      </c>
      <c r="Q860" s="25">
        <v>53600</v>
      </c>
      <c r="R860" s="25" t="s">
        <v>26</v>
      </c>
      <c r="S860" s="25" t="s">
        <v>26</v>
      </c>
      <c r="T860" s="25">
        <f t="shared" si="13"/>
        <v>53600</v>
      </c>
    </row>
    <row r="861" spans="1:20">
      <c r="A861" t="s">
        <v>2331</v>
      </c>
      <c r="B861">
        <v>45894</v>
      </c>
      <c r="C861" t="s">
        <v>126</v>
      </c>
      <c r="D861" t="s">
        <v>88</v>
      </c>
      <c r="E861" t="s">
        <v>127</v>
      </c>
      <c r="F861">
        <v>4020</v>
      </c>
      <c r="G861" t="s">
        <v>30</v>
      </c>
      <c r="H861" t="s">
        <v>2332</v>
      </c>
      <c r="I861" t="s">
        <v>71</v>
      </c>
      <c r="J861">
        <v>44400</v>
      </c>
      <c r="K861" t="s">
        <v>129</v>
      </c>
      <c r="L861" t="s">
        <v>2333</v>
      </c>
      <c r="M861" t="s">
        <v>3</v>
      </c>
      <c r="N861" t="s">
        <v>74</v>
      </c>
      <c r="O861" s="25" t="s">
        <v>3827</v>
      </c>
      <c r="P861" s="25">
        <v>1</v>
      </c>
      <c r="Q861" s="25">
        <v>44400</v>
      </c>
      <c r="R861" s="25" t="s">
        <v>26</v>
      </c>
      <c r="S861" s="25" t="s">
        <v>26</v>
      </c>
      <c r="T861" s="25">
        <f t="shared" si="13"/>
        <v>44400</v>
      </c>
    </row>
    <row r="862" spans="1:20">
      <c r="A862" t="s">
        <v>2334</v>
      </c>
      <c r="B862">
        <v>45894</v>
      </c>
      <c r="C862" t="s">
        <v>126</v>
      </c>
      <c r="D862" t="s">
        <v>88</v>
      </c>
      <c r="E862" t="s">
        <v>132</v>
      </c>
      <c r="F862">
        <v>4020</v>
      </c>
      <c r="G862" t="s">
        <v>30</v>
      </c>
      <c r="H862" t="s">
        <v>2335</v>
      </c>
      <c r="I862" t="s">
        <v>71</v>
      </c>
      <c r="J862">
        <v>46500</v>
      </c>
      <c r="K862" t="s">
        <v>134</v>
      </c>
      <c r="L862" t="s">
        <v>2333</v>
      </c>
      <c r="M862" t="s">
        <v>3</v>
      </c>
      <c r="N862" t="s">
        <v>74</v>
      </c>
      <c r="O862" s="25" t="s">
        <v>3827</v>
      </c>
      <c r="P862" s="25">
        <v>1</v>
      </c>
      <c r="Q862" s="25">
        <v>46500</v>
      </c>
      <c r="R862" s="25" t="s">
        <v>26</v>
      </c>
      <c r="S862" s="25" t="s">
        <v>26</v>
      </c>
      <c r="T862" s="25">
        <f t="shared" si="13"/>
        <v>46500</v>
      </c>
    </row>
    <row r="863" spans="1:20">
      <c r="A863" t="s">
        <v>2336</v>
      </c>
      <c r="B863">
        <v>45894</v>
      </c>
      <c r="C863" t="s">
        <v>126</v>
      </c>
      <c r="D863" t="s">
        <v>88</v>
      </c>
      <c r="E863" t="s">
        <v>136</v>
      </c>
      <c r="F863">
        <v>4020</v>
      </c>
      <c r="G863" t="s">
        <v>30</v>
      </c>
      <c r="H863" t="s">
        <v>2337</v>
      </c>
      <c r="I863" t="s">
        <v>72</v>
      </c>
      <c r="J863">
        <v>28.31</v>
      </c>
      <c r="K863" t="s">
        <v>138</v>
      </c>
      <c r="L863" t="s">
        <v>2333</v>
      </c>
      <c r="M863" t="s">
        <v>3</v>
      </c>
      <c r="N863" t="s">
        <v>74</v>
      </c>
      <c r="O863" s="25" t="s">
        <v>3828</v>
      </c>
      <c r="P863" s="25">
        <v>1572</v>
      </c>
      <c r="Q863" s="25">
        <v>44503.32</v>
      </c>
      <c r="R863" s="25" t="s">
        <v>26</v>
      </c>
      <c r="S863" s="25" t="s">
        <v>26</v>
      </c>
      <c r="T863" s="25">
        <f t="shared" si="13"/>
        <v>44503.32</v>
      </c>
    </row>
    <row r="864" spans="1:20">
      <c r="A864" t="s">
        <v>2338</v>
      </c>
      <c r="B864">
        <v>45894</v>
      </c>
      <c r="C864" t="s">
        <v>126</v>
      </c>
      <c r="D864" t="s">
        <v>88</v>
      </c>
      <c r="E864" t="s">
        <v>140</v>
      </c>
      <c r="F864">
        <v>4020</v>
      </c>
      <c r="G864" t="s">
        <v>30</v>
      </c>
      <c r="H864" t="s">
        <v>2339</v>
      </c>
      <c r="I864" t="s">
        <v>71</v>
      </c>
      <c r="J864">
        <v>44600</v>
      </c>
      <c r="K864" t="s">
        <v>3</v>
      </c>
      <c r="L864" t="s">
        <v>2340</v>
      </c>
      <c r="M864" t="s">
        <v>3</v>
      </c>
      <c r="N864" t="s">
        <v>74</v>
      </c>
      <c r="O864" s="25" t="s">
        <v>3827</v>
      </c>
      <c r="P864" s="25">
        <v>1</v>
      </c>
      <c r="Q864" s="25">
        <v>44600</v>
      </c>
      <c r="R864" s="25" t="s">
        <v>26</v>
      </c>
      <c r="S864" s="25" t="s">
        <v>26</v>
      </c>
      <c r="T864" s="25">
        <f t="shared" si="13"/>
        <v>44600</v>
      </c>
    </row>
    <row r="865" spans="1:20">
      <c r="A865" t="s">
        <v>2341</v>
      </c>
      <c r="B865">
        <v>45894</v>
      </c>
      <c r="C865" t="s">
        <v>87</v>
      </c>
      <c r="D865" t="s">
        <v>94</v>
      </c>
      <c r="E865" t="s">
        <v>3</v>
      </c>
      <c r="F865">
        <v>5040</v>
      </c>
      <c r="G865" t="s">
        <v>43</v>
      </c>
      <c r="H865" t="s">
        <v>1387</v>
      </c>
      <c r="I865" t="s">
        <v>71</v>
      </c>
      <c r="J865">
        <v>-502000</v>
      </c>
      <c r="K865" t="s">
        <v>187</v>
      </c>
      <c r="L865" t="s">
        <v>2342</v>
      </c>
      <c r="M865" t="s">
        <v>3</v>
      </c>
      <c r="N865" t="s">
        <v>74</v>
      </c>
      <c r="O865" s="25" t="s">
        <v>3827</v>
      </c>
      <c r="P865" s="25">
        <v>1</v>
      </c>
      <c r="Q865" s="25">
        <v>-502000</v>
      </c>
      <c r="R865" s="25" t="s">
        <v>35</v>
      </c>
      <c r="S865" s="25" t="s">
        <v>35</v>
      </c>
      <c r="T865" s="25">
        <f t="shared" si="13"/>
        <v>-502000</v>
      </c>
    </row>
    <row r="866" spans="1:20">
      <c r="A866" t="s">
        <v>2343</v>
      </c>
      <c r="B866">
        <v>45894</v>
      </c>
      <c r="C866" t="s">
        <v>87</v>
      </c>
      <c r="D866" t="s">
        <v>94</v>
      </c>
      <c r="E866" t="s">
        <v>3</v>
      </c>
      <c r="F866">
        <v>5050</v>
      </c>
      <c r="G866" t="s">
        <v>45</v>
      </c>
      <c r="H866" t="s">
        <v>1711</v>
      </c>
      <c r="I866" t="s">
        <v>71</v>
      </c>
      <c r="J866">
        <v>-182000</v>
      </c>
      <c r="K866" t="s">
        <v>191</v>
      </c>
      <c r="L866" t="s">
        <v>2344</v>
      </c>
      <c r="M866" t="s">
        <v>3</v>
      </c>
      <c r="N866" t="s">
        <v>74</v>
      </c>
      <c r="O866" s="25" t="s">
        <v>3827</v>
      </c>
      <c r="P866" s="25">
        <v>1</v>
      </c>
      <c r="Q866" s="25">
        <v>-182000</v>
      </c>
      <c r="R866" s="25" t="s">
        <v>35</v>
      </c>
      <c r="S866" s="25" t="s">
        <v>35</v>
      </c>
      <c r="T866" s="25">
        <f t="shared" si="13"/>
        <v>-182000</v>
      </c>
    </row>
    <row r="867" spans="1:20">
      <c r="A867" t="s">
        <v>2345</v>
      </c>
      <c r="B867">
        <v>45894</v>
      </c>
      <c r="C867" t="s">
        <v>1106</v>
      </c>
      <c r="D867" t="s">
        <v>94</v>
      </c>
      <c r="E867" t="s">
        <v>3</v>
      </c>
      <c r="F867">
        <v>6000</v>
      </c>
      <c r="G867" t="s">
        <v>47</v>
      </c>
      <c r="H867" t="s">
        <v>2346</v>
      </c>
      <c r="I867" t="s">
        <v>71</v>
      </c>
      <c r="J867">
        <v>-3274828</v>
      </c>
      <c r="K867" t="s">
        <v>1108</v>
      </c>
      <c r="L867" t="s">
        <v>2347</v>
      </c>
      <c r="M867" t="s">
        <v>3</v>
      </c>
      <c r="N867" t="s">
        <v>74</v>
      </c>
      <c r="O867" s="25" t="s">
        <v>3827</v>
      </c>
      <c r="P867" s="25">
        <v>1</v>
      </c>
      <c r="Q867" s="25">
        <v>-3274828</v>
      </c>
      <c r="R867" s="25" t="s">
        <v>48</v>
      </c>
      <c r="S867" s="25" t="s">
        <v>48</v>
      </c>
      <c r="T867" s="25">
        <f t="shared" si="13"/>
        <v>-3274828</v>
      </c>
    </row>
    <row r="868" spans="1:20">
      <c r="A868" t="s">
        <v>2348</v>
      </c>
      <c r="B868">
        <v>45894</v>
      </c>
      <c r="C868" t="s">
        <v>1106</v>
      </c>
      <c r="D868" t="s">
        <v>111</v>
      </c>
      <c r="E868" t="s">
        <v>3</v>
      </c>
      <c r="F868">
        <v>6000</v>
      </c>
      <c r="G868" t="s">
        <v>47</v>
      </c>
      <c r="H868" t="s">
        <v>2346</v>
      </c>
      <c r="I868" t="s">
        <v>71</v>
      </c>
      <c r="J868">
        <v>-4195873</v>
      </c>
      <c r="K868" t="s">
        <v>1108</v>
      </c>
      <c r="L868" t="s">
        <v>2347</v>
      </c>
      <c r="M868" t="s">
        <v>3</v>
      </c>
      <c r="N868" t="s">
        <v>74</v>
      </c>
      <c r="O868" s="25" t="s">
        <v>3827</v>
      </c>
      <c r="P868" s="25">
        <v>1</v>
      </c>
      <c r="Q868" s="25">
        <v>-4195873</v>
      </c>
      <c r="R868" s="25" t="s">
        <v>48</v>
      </c>
      <c r="S868" s="25" t="s">
        <v>48</v>
      </c>
      <c r="T868" s="25">
        <f t="shared" si="13"/>
        <v>-4195873</v>
      </c>
    </row>
    <row r="869" spans="1:20">
      <c r="A869" t="s">
        <v>2349</v>
      </c>
      <c r="B869">
        <v>45894</v>
      </c>
      <c r="C869" t="s">
        <v>1106</v>
      </c>
      <c r="D869" t="s">
        <v>88</v>
      </c>
      <c r="E869" t="s">
        <v>3</v>
      </c>
      <c r="F869">
        <v>6000</v>
      </c>
      <c r="G869" t="s">
        <v>47</v>
      </c>
      <c r="H869" t="s">
        <v>2346</v>
      </c>
      <c r="I869" t="s">
        <v>71</v>
      </c>
      <c r="J869">
        <v>-2763136</v>
      </c>
      <c r="K869" t="s">
        <v>1108</v>
      </c>
      <c r="L869" t="s">
        <v>2347</v>
      </c>
      <c r="M869" t="s">
        <v>3</v>
      </c>
      <c r="N869" t="s">
        <v>74</v>
      </c>
      <c r="O869" s="25" t="s">
        <v>3827</v>
      </c>
      <c r="P869" s="25">
        <v>1</v>
      </c>
      <c r="Q869" s="25">
        <v>-2763136</v>
      </c>
      <c r="R869" s="25" t="s">
        <v>48</v>
      </c>
      <c r="S869" s="25" t="s">
        <v>48</v>
      </c>
      <c r="T869" s="25">
        <f t="shared" si="13"/>
        <v>-2763136</v>
      </c>
    </row>
    <row r="870" spans="1:20">
      <c r="A870" t="s">
        <v>2353</v>
      </c>
      <c r="B870">
        <v>45895</v>
      </c>
      <c r="C870" t="s">
        <v>93</v>
      </c>
      <c r="D870" t="s">
        <v>94</v>
      </c>
      <c r="E870" t="s">
        <v>95</v>
      </c>
      <c r="F870">
        <v>4000</v>
      </c>
      <c r="G870" t="s">
        <v>25</v>
      </c>
      <c r="H870" t="s">
        <v>2354</v>
      </c>
      <c r="I870" t="s">
        <v>71</v>
      </c>
      <c r="J870">
        <v>29700</v>
      </c>
      <c r="K870" t="s">
        <v>3</v>
      </c>
      <c r="L870" t="s">
        <v>2355</v>
      </c>
      <c r="M870" t="s">
        <v>3</v>
      </c>
      <c r="N870" t="s">
        <v>74</v>
      </c>
      <c r="O870" s="25" t="s">
        <v>3827</v>
      </c>
      <c r="P870" s="25">
        <v>1</v>
      </c>
      <c r="Q870" s="25">
        <v>29700</v>
      </c>
      <c r="R870" s="25" t="s">
        <v>26</v>
      </c>
      <c r="S870" s="25" t="s">
        <v>26</v>
      </c>
      <c r="T870" s="25">
        <f t="shared" si="13"/>
        <v>29700</v>
      </c>
    </row>
    <row r="871" spans="1:20">
      <c r="A871" t="s">
        <v>2356</v>
      </c>
      <c r="B871">
        <v>45895</v>
      </c>
      <c r="C871" t="s">
        <v>93</v>
      </c>
      <c r="D871" t="s">
        <v>94</v>
      </c>
      <c r="E871" t="s">
        <v>99</v>
      </c>
      <c r="F871">
        <v>4000</v>
      </c>
      <c r="G871" t="s">
        <v>25</v>
      </c>
      <c r="H871" t="s">
        <v>2357</v>
      </c>
      <c r="I871" t="s">
        <v>71</v>
      </c>
      <c r="J871">
        <v>32200</v>
      </c>
      <c r="K871" t="s">
        <v>3</v>
      </c>
      <c r="L871" t="s">
        <v>2358</v>
      </c>
      <c r="M871" t="s">
        <v>3</v>
      </c>
      <c r="N871" t="s">
        <v>74</v>
      </c>
      <c r="O871" s="25" t="s">
        <v>3827</v>
      </c>
      <c r="P871" s="25">
        <v>1</v>
      </c>
      <c r="Q871" s="25">
        <v>32200</v>
      </c>
      <c r="R871" s="25" t="s">
        <v>26</v>
      </c>
      <c r="S871" s="25" t="s">
        <v>26</v>
      </c>
      <c r="T871" s="25">
        <f t="shared" si="13"/>
        <v>32200</v>
      </c>
    </row>
    <row r="872" spans="1:20">
      <c r="A872" t="s">
        <v>2359</v>
      </c>
      <c r="B872">
        <v>45895</v>
      </c>
      <c r="C872" t="s">
        <v>93</v>
      </c>
      <c r="D872" t="s">
        <v>94</v>
      </c>
      <c r="E872" t="s">
        <v>103</v>
      </c>
      <c r="F872">
        <v>4000</v>
      </c>
      <c r="G872" t="s">
        <v>25</v>
      </c>
      <c r="H872" t="s">
        <v>2360</v>
      </c>
      <c r="I872" t="s">
        <v>71</v>
      </c>
      <c r="J872">
        <v>31600</v>
      </c>
      <c r="K872" t="s">
        <v>3</v>
      </c>
      <c r="L872" t="s">
        <v>2361</v>
      </c>
      <c r="M872" t="s">
        <v>3</v>
      </c>
      <c r="N872" t="s">
        <v>74</v>
      </c>
      <c r="O872" s="25" t="s">
        <v>3827</v>
      </c>
      <c r="P872" s="25">
        <v>1</v>
      </c>
      <c r="Q872" s="25">
        <v>31600</v>
      </c>
      <c r="R872" s="25" t="s">
        <v>26</v>
      </c>
      <c r="S872" s="25" t="s">
        <v>26</v>
      </c>
      <c r="T872" s="25">
        <f t="shared" si="13"/>
        <v>31600</v>
      </c>
    </row>
    <row r="873" spans="1:20">
      <c r="A873" t="s">
        <v>2362</v>
      </c>
      <c r="B873">
        <v>45895</v>
      </c>
      <c r="C873" t="s">
        <v>93</v>
      </c>
      <c r="D873" t="s">
        <v>94</v>
      </c>
      <c r="E873" t="s">
        <v>160</v>
      </c>
      <c r="F873">
        <v>4000</v>
      </c>
      <c r="G873" t="s">
        <v>25</v>
      </c>
      <c r="H873" t="s">
        <v>2363</v>
      </c>
      <c r="I873" t="s">
        <v>71</v>
      </c>
      <c r="J873">
        <v>28100</v>
      </c>
      <c r="K873" t="s">
        <v>3</v>
      </c>
      <c r="L873" t="s">
        <v>2361</v>
      </c>
      <c r="M873" t="s">
        <v>3</v>
      </c>
      <c r="N873" t="s">
        <v>74</v>
      </c>
      <c r="O873" s="25" t="s">
        <v>3827</v>
      </c>
      <c r="P873" s="25">
        <v>1</v>
      </c>
      <c r="Q873" s="25">
        <v>28100</v>
      </c>
      <c r="R873" s="25" t="s">
        <v>26</v>
      </c>
      <c r="S873" s="25" t="s">
        <v>26</v>
      </c>
      <c r="T873" s="25">
        <f t="shared" si="13"/>
        <v>28100</v>
      </c>
    </row>
    <row r="874" spans="1:20">
      <c r="A874" t="s">
        <v>2364</v>
      </c>
      <c r="B874">
        <v>45895</v>
      </c>
      <c r="C874" t="s">
        <v>93</v>
      </c>
      <c r="D874" t="s">
        <v>94</v>
      </c>
      <c r="E874" t="s">
        <v>107</v>
      </c>
      <c r="F874">
        <v>4000</v>
      </c>
      <c r="G874" t="s">
        <v>25</v>
      </c>
      <c r="H874" t="s">
        <v>2365</v>
      </c>
      <c r="I874" t="s">
        <v>71</v>
      </c>
      <c r="J874">
        <v>29600</v>
      </c>
      <c r="K874" t="s">
        <v>3</v>
      </c>
      <c r="L874" t="s">
        <v>2366</v>
      </c>
      <c r="M874" t="s">
        <v>3</v>
      </c>
      <c r="N874" t="s">
        <v>74</v>
      </c>
      <c r="O874" s="25" t="s">
        <v>3827</v>
      </c>
      <c r="P874" s="25">
        <v>1</v>
      </c>
      <c r="Q874" s="25">
        <v>29600</v>
      </c>
      <c r="R874" s="25" t="s">
        <v>26</v>
      </c>
      <c r="S874" s="25" t="s">
        <v>26</v>
      </c>
      <c r="T874" s="25">
        <f t="shared" si="13"/>
        <v>29600</v>
      </c>
    </row>
    <row r="875" spans="1:20">
      <c r="A875" t="s">
        <v>2367</v>
      </c>
      <c r="B875">
        <v>45895</v>
      </c>
      <c r="C875" t="s">
        <v>93</v>
      </c>
      <c r="D875" t="s">
        <v>111</v>
      </c>
      <c r="E875" t="s">
        <v>112</v>
      </c>
      <c r="F875">
        <v>4000</v>
      </c>
      <c r="G875" t="s">
        <v>25</v>
      </c>
      <c r="H875" t="s">
        <v>2368</v>
      </c>
      <c r="I875" t="s">
        <v>71</v>
      </c>
      <c r="J875">
        <v>52000</v>
      </c>
      <c r="K875" t="s">
        <v>3</v>
      </c>
      <c r="L875" t="s">
        <v>2369</v>
      </c>
      <c r="M875" t="s">
        <v>3</v>
      </c>
      <c r="N875" t="s">
        <v>74</v>
      </c>
      <c r="O875" s="25" t="s">
        <v>3827</v>
      </c>
      <c r="P875" s="25">
        <v>1</v>
      </c>
      <c r="Q875" s="25">
        <v>52000</v>
      </c>
      <c r="R875" s="25" t="s">
        <v>26</v>
      </c>
      <c r="S875" s="25" t="s">
        <v>26</v>
      </c>
      <c r="T875" s="25">
        <f t="shared" si="13"/>
        <v>52000</v>
      </c>
    </row>
    <row r="876" spans="1:20">
      <c r="A876" t="s">
        <v>2370</v>
      </c>
      <c r="B876">
        <v>45895</v>
      </c>
      <c r="C876" t="s">
        <v>93</v>
      </c>
      <c r="D876" t="s">
        <v>111</v>
      </c>
      <c r="E876" t="s">
        <v>116</v>
      </c>
      <c r="F876">
        <v>4000</v>
      </c>
      <c r="G876" t="s">
        <v>25</v>
      </c>
      <c r="H876" t="s">
        <v>2371</v>
      </c>
      <c r="I876" t="s">
        <v>71</v>
      </c>
      <c r="J876">
        <v>50100</v>
      </c>
      <c r="K876" t="s">
        <v>3</v>
      </c>
      <c r="L876" t="s">
        <v>2369</v>
      </c>
      <c r="M876" t="s">
        <v>3</v>
      </c>
      <c r="N876" t="s">
        <v>74</v>
      </c>
      <c r="O876" s="25" t="s">
        <v>3827</v>
      </c>
      <c r="P876" s="25">
        <v>1</v>
      </c>
      <c r="Q876" s="25">
        <v>50100</v>
      </c>
      <c r="R876" s="25" t="s">
        <v>26</v>
      </c>
      <c r="S876" s="25" t="s">
        <v>26</v>
      </c>
      <c r="T876" s="25">
        <f t="shared" si="13"/>
        <v>50100</v>
      </c>
    </row>
    <row r="877" spans="1:20">
      <c r="A877" t="s">
        <v>2372</v>
      </c>
      <c r="B877">
        <v>45895</v>
      </c>
      <c r="C877" t="s">
        <v>93</v>
      </c>
      <c r="D877" t="s">
        <v>111</v>
      </c>
      <c r="E877" t="s">
        <v>119</v>
      </c>
      <c r="F877">
        <v>4000</v>
      </c>
      <c r="G877" t="s">
        <v>25</v>
      </c>
      <c r="H877" t="s">
        <v>2373</v>
      </c>
      <c r="I877" t="s">
        <v>71</v>
      </c>
      <c r="J877">
        <v>48000</v>
      </c>
      <c r="K877" t="s">
        <v>3</v>
      </c>
      <c r="L877" t="s">
        <v>2369</v>
      </c>
      <c r="M877" t="s">
        <v>3</v>
      </c>
      <c r="N877" t="s">
        <v>74</v>
      </c>
      <c r="O877" s="25" t="s">
        <v>3827</v>
      </c>
      <c r="P877" s="25">
        <v>1</v>
      </c>
      <c r="Q877" s="25">
        <v>48000</v>
      </c>
      <c r="R877" s="25" t="s">
        <v>26</v>
      </c>
      <c r="S877" s="25" t="s">
        <v>26</v>
      </c>
      <c r="T877" s="25">
        <f t="shared" si="13"/>
        <v>48000</v>
      </c>
    </row>
    <row r="878" spans="1:20">
      <c r="A878" t="s">
        <v>2374</v>
      </c>
      <c r="B878">
        <v>45895</v>
      </c>
      <c r="C878" t="s">
        <v>93</v>
      </c>
      <c r="D878" t="s">
        <v>111</v>
      </c>
      <c r="E878" t="s">
        <v>122</v>
      </c>
      <c r="F878">
        <v>4000</v>
      </c>
      <c r="G878" t="s">
        <v>25</v>
      </c>
      <c r="H878" t="s">
        <v>2375</v>
      </c>
      <c r="I878" t="s">
        <v>71</v>
      </c>
      <c r="J878">
        <v>51200</v>
      </c>
      <c r="K878" t="s">
        <v>3</v>
      </c>
      <c r="L878" t="s">
        <v>2376</v>
      </c>
      <c r="M878" t="s">
        <v>3</v>
      </c>
      <c r="N878" t="s">
        <v>74</v>
      </c>
      <c r="O878" s="25" t="s">
        <v>3827</v>
      </c>
      <c r="P878" s="25">
        <v>1</v>
      </c>
      <c r="Q878" s="25">
        <v>51200</v>
      </c>
      <c r="R878" s="25" t="s">
        <v>26</v>
      </c>
      <c r="S878" s="25" t="s">
        <v>26</v>
      </c>
      <c r="T878" s="25">
        <f t="shared" si="13"/>
        <v>51200</v>
      </c>
    </row>
    <row r="879" spans="1:20">
      <c r="A879" t="s">
        <v>2377</v>
      </c>
      <c r="B879">
        <v>45895</v>
      </c>
      <c r="C879" t="s">
        <v>126</v>
      </c>
      <c r="D879" t="s">
        <v>88</v>
      </c>
      <c r="E879" t="s">
        <v>127</v>
      </c>
      <c r="F879">
        <v>4020</v>
      </c>
      <c r="G879" t="s">
        <v>30</v>
      </c>
      <c r="H879" t="s">
        <v>2378</v>
      </c>
      <c r="I879" t="s">
        <v>71</v>
      </c>
      <c r="J879">
        <v>47700</v>
      </c>
      <c r="K879" t="s">
        <v>129</v>
      </c>
      <c r="L879" t="s">
        <v>2379</v>
      </c>
      <c r="M879" t="s">
        <v>3</v>
      </c>
      <c r="N879" t="s">
        <v>74</v>
      </c>
      <c r="O879" s="25" t="s">
        <v>3827</v>
      </c>
      <c r="P879" s="25">
        <v>1</v>
      </c>
      <c r="Q879" s="25">
        <v>47700</v>
      </c>
      <c r="R879" s="25" t="s">
        <v>26</v>
      </c>
      <c r="S879" s="25" t="s">
        <v>26</v>
      </c>
      <c r="T879" s="25">
        <f t="shared" si="13"/>
        <v>47700</v>
      </c>
    </row>
    <row r="880" spans="1:20">
      <c r="A880" t="s">
        <v>2380</v>
      </c>
      <c r="B880">
        <v>45895</v>
      </c>
      <c r="C880" t="s">
        <v>126</v>
      </c>
      <c r="D880" t="s">
        <v>88</v>
      </c>
      <c r="E880" t="s">
        <v>132</v>
      </c>
      <c r="F880">
        <v>4020</v>
      </c>
      <c r="G880" t="s">
        <v>30</v>
      </c>
      <c r="H880" t="s">
        <v>2381</v>
      </c>
      <c r="I880" t="s">
        <v>72</v>
      </c>
      <c r="J880">
        <v>33.4</v>
      </c>
      <c r="K880" t="s">
        <v>134</v>
      </c>
      <c r="L880" t="s">
        <v>2379</v>
      </c>
      <c r="M880" t="s">
        <v>3</v>
      </c>
      <c r="N880" t="s">
        <v>74</v>
      </c>
      <c r="O880" s="25" t="s">
        <v>3828</v>
      </c>
      <c r="P880" s="25">
        <v>1572</v>
      </c>
      <c r="Q880" s="25">
        <v>52504.799999999996</v>
      </c>
      <c r="R880" s="25" t="s">
        <v>26</v>
      </c>
      <c r="S880" s="25" t="s">
        <v>26</v>
      </c>
      <c r="T880" s="25">
        <f t="shared" si="13"/>
        <v>52504.799999999996</v>
      </c>
    </row>
    <row r="881" spans="1:20">
      <c r="A881" t="s">
        <v>2382</v>
      </c>
      <c r="B881">
        <v>45895</v>
      </c>
      <c r="C881" t="s">
        <v>126</v>
      </c>
      <c r="D881" t="s">
        <v>88</v>
      </c>
      <c r="E881" t="s">
        <v>136</v>
      </c>
      <c r="F881">
        <v>4020</v>
      </c>
      <c r="G881" t="s">
        <v>30</v>
      </c>
      <c r="H881" t="s">
        <v>2383</v>
      </c>
      <c r="I881" t="s">
        <v>72</v>
      </c>
      <c r="J881">
        <v>31.81</v>
      </c>
      <c r="K881" t="s">
        <v>138</v>
      </c>
      <c r="L881" t="s">
        <v>2379</v>
      </c>
      <c r="M881" t="s">
        <v>3</v>
      </c>
      <c r="N881" t="s">
        <v>74</v>
      </c>
      <c r="O881" s="25" t="s">
        <v>3828</v>
      </c>
      <c r="P881" s="25">
        <v>1572</v>
      </c>
      <c r="Q881" s="25">
        <v>50005.32</v>
      </c>
      <c r="R881" s="25" t="s">
        <v>26</v>
      </c>
      <c r="S881" s="25" t="s">
        <v>26</v>
      </c>
      <c r="T881" s="25">
        <f t="shared" si="13"/>
        <v>50005.32</v>
      </c>
    </row>
    <row r="882" spans="1:20">
      <c r="A882" t="s">
        <v>2384</v>
      </c>
      <c r="B882">
        <v>45895</v>
      </c>
      <c r="C882" t="s">
        <v>126</v>
      </c>
      <c r="D882" t="s">
        <v>88</v>
      </c>
      <c r="E882" t="s">
        <v>140</v>
      </c>
      <c r="F882">
        <v>4020</v>
      </c>
      <c r="G882" t="s">
        <v>30</v>
      </c>
      <c r="H882" t="s">
        <v>2385</v>
      </c>
      <c r="I882" t="s">
        <v>71</v>
      </c>
      <c r="J882">
        <v>51900</v>
      </c>
      <c r="K882" t="s">
        <v>3</v>
      </c>
      <c r="L882" t="s">
        <v>2386</v>
      </c>
      <c r="M882" t="s">
        <v>3</v>
      </c>
      <c r="N882" t="s">
        <v>74</v>
      </c>
      <c r="O882" s="25" t="s">
        <v>3827</v>
      </c>
      <c r="P882" s="25">
        <v>1</v>
      </c>
      <c r="Q882" s="25">
        <v>51900</v>
      </c>
      <c r="R882" s="25" t="s">
        <v>26</v>
      </c>
      <c r="S882" s="25" t="s">
        <v>26</v>
      </c>
      <c r="T882" s="25">
        <f t="shared" si="13"/>
        <v>51900</v>
      </c>
    </row>
    <row r="883" spans="1:20">
      <c r="A883" t="s">
        <v>2387</v>
      </c>
      <c r="B883">
        <v>45895</v>
      </c>
      <c r="C883" t="s">
        <v>87</v>
      </c>
      <c r="D883" t="s">
        <v>111</v>
      </c>
      <c r="E883" t="s">
        <v>3</v>
      </c>
      <c r="F883">
        <v>5010</v>
      </c>
      <c r="G883" t="s">
        <v>37</v>
      </c>
      <c r="H883" t="s">
        <v>1879</v>
      </c>
      <c r="I883" t="s">
        <v>71</v>
      </c>
      <c r="J883">
        <v>-2129000</v>
      </c>
      <c r="K883" t="s">
        <v>145</v>
      </c>
      <c r="L883" t="s">
        <v>2388</v>
      </c>
      <c r="M883" t="s">
        <v>3</v>
      </c>
      <c r="N883" t="s">
        <v>74</v>
      </c>
      <c r="O883" s="25" t="s">
        <v>3827</v>
      </c>
      <c r="P883" s="25">
        <v>1</v>
      </c>
      <c r="Q883" s="25">
        <v>-2129000</v>
      </c>
      <c r="R883" s="25" t="s">
        <v>35</v>
      </c>
      <c r="S883" s="25" t="s">
        <v>35</v>
      </c>
      <c r="T883" s="25">
        <f t="shared" si="13"/>
        <v>-2129000</v>
      </c>
    </row>
    <row r="884" spans="1:20">
      <c r="A884" t="s">
        <v>2389</v>
      </c>
      <c r="B884">
        <v>45896</v>
      </c>
      <c r="C884" t="s">
        <v>93</v>
      </c>
      <c r="D884" t="s">
        <v>94</v>
      </c>
      <c r="E884" t="s">
        <v>95</v>
      </c>
      <c r="F884">
        <v>4000</v>
      </c>
      <c r="G884" t="s">
        <v>25</v>
      </c>
      <c r="H884" t="s">
        <v>2390</v>
      </c>
      <c r="I884" t="s">
        <v>71</v>
      </c>
      <c r="J884">
        <v>29400</v>
      </c>
      <c r="K884" t="s">
        <v>3</v>
      </c>
      <c r="L884" t="s">
        <v>2391</v>
      </c>
      <c r="M884" t="s">
        <v>3</v>
      </c>
      <c r="N884" t="s">
        <v>74</v>
      </c>
      <c r="O884" s="25" t="s">
        <v>3827</v>
      </c>
      <c r="P884" s="25">
        <v>1</v>
      </c>
      <c r="Q884" s="25">
        <v>29400</v>
      </c>
      <c r="R884" s="25" t="s">
        <v>26</v>
      </c>
      <c r="S884" s="25" t="s">
        <v>26</v>
      </c>
      <c r="T884" s="25">
        <f t="shared" si="13"/>
        <v>29400</v>
      </c>
    </row>
    <row r="885" spans="1:20">
      <c r="A885" t="s">
        <v>2392</v>
      </c>
      <c r="B885">
        <v>45896</v>
      </c>
      <c r="C885" t="s">
        <v>93</v>
      </c>
      <c r="D885" t="s">
        <v>94</v>
      </c>
      <c r="E885" t="s">
        <v>99</v>
      </c>
      <c r="F885">
        <v>4000</v>
      </c>
      <c r="G885" t="s">
        <v>25</v>
      </c>
      <c r="H885" t="s">
        <v>2393</v>
      </c>
      <c r="I885" t="s">
        <v>71</v>
      </c>
      <c r="J885">
        <v>30600</v>
      </c>
      <c r="K885" t="s">
        <v>3</v>
      </c>
      <c r="L885" t="s">
        <v>2394</v>
      </c>
      <c r="M885" t="s">
        <v>3</v>
      </c>
      <c r="N885" t="s">
        <v>74</v>
      </c>
      <c r="O885" s="25" t="s">
        <v>3827</v>
      </c>
      <c r="P885" s="25">
        <v>1</v>
      </c>
      <c r="Q885" s="25">
        <v>30600</v>
      </c>
      <c r="R885" s="25" t="s">
        <v>26</v>
      </c>
      <c r="S885" s="25" t="s">
        <v>26</v>
      </c>
      <c r="T885" s="25">
        <f t="shared" si="13"/>
        <v>30600</v>
      </c>
    </row>
    <row r="886" spans="1:20">
      <c r="A886" t="s">
        <v>2395</v>
      </c>
      <c r="B886">
        <v>45896</v>
      </c>
      <c r="C886" t="s">
        <v>93</v>
      </c>
      <c r="D886" t="s">
        <v>94</v>
      </c>
      <c r="E886" t="s">
        <v>103</v>
      </c>
      <c r="F886">
        <v>4000</v>
      </c>
      <c r="G886" t="s">
        <v>25</v>
      </c>
      <c r="H886" t="s">
        <v>2396</v>
      </c>
      <c r="I886" t="s">
        <v>71</v>
      </c>
      <c r="J886">
        <v>27700</v>
      </c>
      <c r="K886" t="s">
        <v>3</v>
      </c>
      <c r="L886" t="s">
        <v>2397</v>
      </c>
      <c r="M886" t="s">
        <v>3</v>
      </c>
      <c r="N886" t="s">
        <v>74</v>
      </c>
      <c r="O886" s="25" t="s">
        <v>3827</v>
      </c>
      <c r="P886" s="25">
        <v>1</v>
      </c>
      <c r="Q886" s="25">
        <v>27700</v>
      </c>
      <c r="R886" s="25" t="s">
        <v>26</v>
      </c>
      <c r="S886" s="25" t="s">
        <v>26</v>
      </c>
      <c r="T886" s="25">
        <f t="shared" si="13"/>
        <v>27700</v>
      </c>
    </row>
    <row r="887" spans="1:20">
      <c r="A887" t="s">
        <v>2398</v>
      </c>
      <c r="B887">
        <v>45896</v>
      </c>
      <c r="C887" t="s">
        <v>93</v>
      </c>
      <c r="D887" t="s">
        <v>94</v>
      </c>
      <c r="E887" t="s">
        <v>160</v>
      </c>
      <c r="F887">
        <v>4000</v>
      </c>
      <c r="G887" t="s">
        <v>25</v>
      </c>
      <c r="H887" t="s">
        <v>2399</v>
      </c>
      <c r="I887" t="s">
        <v>71</v>
      </c>
      <c r="J887">
        <v>30300</v>
      </c>
      <c r="K887" t="s">
        <v>3</v>
      </c>
      <c r="L887" t="s">
        <v>2397</v>
      </c>
      <c r="M887" t="s">
        <v>3</v>
      </c>
      <c r="N887" t="s">
        <v>74</v>
      </c>
      <c r="O887" s="25" t="s">
        <v>3827</v>
      </c>
      <c r="P887" s="25">
        <v>1</v>
      </c>
      <c r="Q887" s="25">
        <v>30300</v>
      </c>
      <c r="R887" s="25" t="s">
        <v>26</v>
      </c>
      <c r="S887" s="25" t="s">
        <v>26</v>
      </c>
      <c r="T887" s="25">
        <f t="shared" si="13"/>
        <v>30300</v>
      </c>
    </row>
    <row r="888" spans="1:20">
      <c r="A888" t="s">
        <v>2400</v>
      </c>
      <c r="B888">
        <v>45896</v>
      </c>
      <c r="C888" t="s">
        <v>93</v>
      </c>
      <c r="D888" t="s">
        <v>94</v>
      </c>
      <c r="E888" t="s">
        <v>107</v>
      </c>
      <c r="F888">
        <v>4000</v>
      </c>
      <c r="G888" t="s">
        <v>25</v>
      </c>
      <c r="H888" t="s">
        <v>2401</v>
      </c>
      <c r="I888" t="s">
        <v>71</v>
      </c>
      <c r="J888">
        <v>27800</v>
      </c>
      <c r="K888" t="s">
        <v>3</v>
      </c>
      <c r="L888" t="s">
        <v>2402</v>
      </c>
      <c r="M888" t="s">
        <v>3</v>
      </c>
      <c r="N888" t="s">
        <v>74</v>
      </c>
      <c r="O888" s="25" t="s">
        <v>3827</v>
      </c>
      <c r="P888" s="25">
        <v>1</v>
      </c>
      <c r="Q888" s="25">
        <v>27800</v>
      </c>
      <c r="R888" s="25" t="s">
        <v>26</v>
      </c>
      <c r="S888" s="25" t="s">
        <v>26</v>
      </c>
      <c r="T888" s="25">
        <f t="shared" si="13"/>
        <v>27800</v>
      </c>
    </row>
    <row r="889" spans="1:20">
      <c r="A889" t="s">
        <v>2403</v>
      </c>
      <c r="B889">
        <v>45896</v>
      </c>
      <c r="C889" t="s">
        <v>93</v>
      </c>
      <c r="D889" t="s">
        <v>111</v>
      </c>
      <c r="E889" t="s">
        <v>112</v>
      </c>
      <c r="F889">
        <v>4000</v>
      </c>
      <c r="G889" t="s">
        <v>25</v>
      </c>
      <c r="H889" t="s">
        <v>2404</v>
      </c>
      <c r="I889" t="s">
        <v>71</v>
      </c>
      <c r="J889">
        <v>50100</v>
      </c>
      <c r="K889" t="s">
        <v>3</v>
      </c>
      <c r="L889" t="s">
        <v>2405</v>
      </c>
      <c r="M889" t="s">
        <v>3</v>
      </c>
      <c r="N889" t="s">
        <v>74</v>
      </c>
      <c r="O889" s="25" t="s">
        <v>3827</v>
      </c>
      <c r="P889" s="25">
        <v>1</v>
      </c>
      <c r="Q889" s="25">
        <v>50100</v>
      </c>
      <c r="R889" s="25" t="s">
        <v>26</v>
      </c>
      <c r="S889" s="25" t="s">
        <v>26</v>
      </c>
      <c r="T889" s="25">
        <f t="shared" si="13"/>
        <v>50100</v>
      </c>
    </row>
    <row r="890" spans="1:20">
      <c r="A890" t="s">
        <v>2406</v>
      </c>
      <c r="B890">
        <v>45896</v>
      </c>
      <c r="C890" t="s">
        <v>93</v>
      </c>
      <c r="D890" t="s">
        <v>111</v>
      </c>
      <c r="E890" t="s">
        <v>116</v>
      </c>
      <c r="F890">
        <v>4000</v>
      </c>
      <c r="G890" t="s">
        <v>25</v>
      </c>
      <c r="H890" t="s">
        <v>2407</v>
      </c>
      <c r="I890" t="s">
        <v>71</v>
      </c>
      <c r="J890">
        <v>53200</v>
      </c>
      <c r="K890" t="s">
        <v>3</v>
      </c>
      <c r="L890" t="s">
        <v>2405</v>
      </c>
      <c r="M890" t="s">
        <v>3</v>
      </c>
      <c r="N890" t="s">
        <v>74</v>
      </c>
      <c r="O890" s="25" t="s">
        <v>3827</v>
      </c>
      <c r="P890" s="25">
        <v>1</v>
      </c>
      <c r="Q890" s="25">
        <v>53200</v>
      </c>
      <c r="R890" s="25" t="s">
        <v>26</v>
      </c>
      <c r="S890" s="25" t="s">
        <v>26</v>
      </c>
      <c r="T890" s="25">
        <f t="shared" si="13"/>
        <v>53200</v>
      </c>
    </row>
    <row r="891" spans="1:20">
      <c r="A891" t="s">
        <v>2408</v>
      </c>
      <c r="B891">
        <v>45896</v>
      </c>
      <c r="C891" t="s">
        <v>93</v>
      </c>
      <c r="D891" t="s">
        <v>111</v>
      </c>
      <c r="E891" t="s">
        <v>170</v>
      </c>
      <c r="F891">
        <v>4000</v>
      </c>
      <c r="G891" t="s">
        <v>25</v>
      </c>
      <c r="H891" t="s">
        <v>2409</v>
      </c>
      <c r="I891" t="s">
        <v>71</v>
      </c>
      <c r="J891">
        <v>50100</v>
      </c>
      <c r="K891" t="s">
        <v>3</v>
      </c>
      <c r="L891" t="s">
        <v>2405</v>
      </c>
      <c r="M891" t="s">
        <v>3</v>
      </c>
      <c r="N891" t="s">
        <v>74</v>
      </c>
      <c r="O891" s="25" t="s">
        <v>3827</v>
      </c>
      <c r="P891" s="25">
        <v>1</v>
      </c>
      <c r="Q891" s="25">
        <v>50100</v>
      </c>
      <c r="R891" s="25" t="s">
        <v>26</v>
      </c>
      <c r="S891" s="25" t="s">
        <v>26</v>
      </c>
      <c r="T891" s="25">
        <f t="shared" si="13"/>
        <v>50100</v>
      </c>
    </row>
    <row r="892" spans="1:20">
      <c r="A892" t="s">
        <v>2410</v>
      </c>
      <c r="B892">
        <v>45896</v>
      </c>
      <c r="C892" t="s">
        <v>93</v>
      </c>
      <c r="D892" t="s">
        <v>111</v>
      </c>
      <c r="E892" t="s">
        <v>122</v>
      </c>
      <c r="F892">
        <v>4000</v>
      </c>
      <c r="G892" t="s">
        <v>25</v>
      </c>
      <c r="H892" t="s">
        <v>2411</v>
      </c>
      <c r="I892" t="s">
        <v>71</v>
      </c>
      <c r="J892">
        <v>51400</v>
      </c>
      <c r="K892" t="s">
        <v>3</v>
      </c>
      <c r="L892" t="s">
        <v>2412</v>
      </c>
      <c r="M892" t="s">
        <v>3</v>
      </c>
      <c r="N892" t="s">
        <v>74</v>
      </c>
      <c r="O892" s="25" t="s">
        <v>3827</v>
      </c>
      <c r="P892" s="25">
        <v>1</v>
      </c>
      <c r="Q892" s="25">
        <v>51400</v>
      </c>
      <c r="R892" s="25" t="s">
        <v>26</v>
      </c>
      <c r="S892" s="25" t="s">
        <v>26</v>
      </c>
      <c r="T892" s="25">
        <f t="shared" si="13"/>
        <v>51400</v>
      </c>
    </row>
    <row r="893" spans="1:20">
      <c r="A893" t="s">
        <v>2413</v>
      </c>
      <c r="B893">
        <v>45896</v>
      </c>
      <c r="C893" t="s">
        <v>126</v>
      </c>
      <c r="D893" t="s">
        <v>88</v>
      </c>
      <c r="E893" t="s">
        <v>127</v>
      </c>
      <c r="F893">
        <v>4020</v>
      </c>
      <c r="G893" t="s">
        <v>30</v>
      </c>
      <c r="H893" t="s">
        <v>2414</v>
      </c>
      <c r="I893" t="s">
        <v>71</v>
      </c>
      <c r="J893">
        <v>46500</v>
      </c>
      <c r="K893" t="s">
        <v>129</v>
      </c>
      <c r="L893" t="s">
        <v>2415</v>
      </c>
      <c r="M893" t="s">
        <v>3</v>
      </c>
      <c r="N893" t="s">
        <v>74</v>
      </c>
      <c r="O893" s="25" t="s">
        <v>3827</v>
      </c>
      <c r="P893" s="25">
        <v>1</v>
      </c>
      <c r="Q893" s="25">
        <v>46500</v>
      </c>
      <c r="R893" s="25" t="s">
        <v>26</v>
      </c>
      <c r="S893" s="25" t="s">
        <v>26</v>
      </c>
      <c r="T893" s="25">
        <f t="shared" si="13"/>
        <v>46500</v>
      </c>
    </row>
    <row r="894" spans="1:20">
      <c r="A894" t="s">
        <v>2416</v>
      </c>
      <c r="B894">
        <v>45896</v>
      </c>
      <c r="C894" t="s">
        <v>126</v>
      </c>
      <c r="D894" t="s">
        <v>88</v>
      </c>
      <c r="E894" t="s">
        <v>132</v>
      </c>
      <c r="F894">
        <v>4020</v>
      </c>
      <c r="G894" t="s">
        <v>30</v>
      </c>
      <c r="H894" t="s">
        <v>2417</v>
      </c>
      <c r="I894" t="s">
        <v>71</v>
      </c>
      <c r="J894">
        <v>50200</v>
      </c>
      <c r="K894" t="s">
        <v>134</v>
      </c>
      <c r="L894" t="s">
        <v>2415</v>
      </c>
      <c r="M894" t="s">
        <v>3</v>
      </c>
      <c r="N894" t="s">
        <v>74</v>
      </c>
      <c r="O894" s="25" t="s">
        <v>3827</v>
      </c>
      <c r="P894" s="25">
        <v>1</v>
      </c>
      <c r="Q894" s="25">
        <v>50200</v>
      </c>
      <c r="R894" s="25" t="s">
        <v>26</v>
      </c>
      <c r="S894" s="25" t="s">
        <v>26</v>
      </c>
      <c r="T894" s="25">
        <f t="shared" si="13"/>
        <v>50200</v>
      </c>
    </row>
    <row r="895" spans="1:20">
      <c r="A895" t="s">
        <v>2418</v>
      </c>
      <c r="B895">
        <v>45896</v>
      </c>
      <c r="C895" t="s">
        <v>126</v>
      </c>
      <c r="D895" t="s">
        <v>88</v>
      </c>
      <c r="E895" t="s">
        <v>136</v>
      </c>
      <c r="F895">
        <v>4020</v>
      </c>
      <c r="G895" t="s">
        <v>30</v>
      </c>
      <c r="H895" t="s">
        <v>2419</v>
      </c>
      <c r="I895" t="s">
        <v>71</v>
      </c>
      <c r="J895">
        <v>52200</v>
      </c>
      <c r="K895" t="s">
        <v>138</v>
      </c>
      <c r="L895" t="s">
        <v>2415</v>
      </c>
      <c r="M895" t="s">
        <v>3</v>
      </c>
      <c r="N895" t="s">
        <v>74</v>
      </c>
      <c r="O895" s="25" t="s">
        <v>3827</v>
      </c>
      <c r="P895" s="25">
        <v>1</v>
      </c>
      <c r="Q895" s="25">
        <v>52200</v>
      </c>
      <c r="R895" s="25" t="s">
        <v>26</v>
      </c>
      <c r="S895" s="25" t="s">
        <v>26</v>
      </c>
      <c r="T895" s="25">
        <f t="shared" si="13"/>
        <v>52200</v>
      </c>
    </row>
    <row r="896" spans="1:20">
      <c r="A896" t="s">
        <v>2420</v>
      </c>
      <c r="B896">
        <v>45896</v>
      </c>
      <c r="C896" t="s">
        <v>126</v>
      </c>
      <c r="D896" t="s">
        <v>88</v>
      </c>
      <c r="E896" t="s">
        <v>140</v>
      </c>
      <c r="F896">
        <v>4020</v>
      </c>
      <c r="G896" t="s">
        <v>30</v>
      </c>
      <c r="H896" t="s">
        <v>2421</v>
      </c>
      <c r="I896" t="s">
        <v>71</v>
      </c>
      <c r="J896">
        <v>48700</v>
      </c>
      <c r="K896" t="s">
        <v>3</v>
      </c>
      <c r="L896" t="s">
        <v>2422</v>
      </c>
      <c r="M896" t="s">
        <v>3</v>
      </c>
      <c r="N896" t="s">
        <v>74</v>
      </c>
      <c r="O896" s="25" t="s">
        <v>3827</v>
      </c>
      <c r="P896" s="25">
        <v>1</v>
      </c>
      <c r="Q896" s="25">
        <v>48700</v>
      </c>
      <c r="R896" s="25" t="s">
        <v>26</v>
      </c>
      <c r="S896" s="25" t="s">
        <v>26</v>
      </c>
      <c r="T896" s="25">
        <f t="shared" si="13"/>
        <v>48700</v>
      </c>
    </row>
    <row r="897" spans="1:20">
      <c r="A897" t="s">
        <v>2423</v>
      </c>
      <c r="B897">
        <v>45896</v>
      </c>
      <c r="C897" t="s">
        <v>93</v>
      </c>
      <c r="D897" t="s">
        <v>94</v>
      </c>
      <c r="E897" t="s">
        <v>95</v>
      </c>
      <c r="F897">
        <v>4900</v>
      </c>
      <c r="G897" t="s">
        <v>32</v>
      </c>
      <c r="H897" t="s">
        <v>2424</v>
      </c>
      <c r="I897" t="s">
        <v>71</v>
      </c>
      <c r="J897">
        <v>-44691</v>
      </c>
      <c r="K897" t="s">
        <v>3</v>
      </c>
      <c r="L897" t="s">
        <v>2425</v>
      </c>
      <c r="M897" t="s">
        <v>3</v>
      </c>
      <c r="N897" t="s">
        <v>74</v>
      </c>
      <c r="O897" s="25" t="s">
        <v>3827</v>
      </c>
      <c r="P897" s="25">
        <v>1</v>
      </c>
      <c r="Q897" s="25">
        <v>-44691</v>
      </c>
      <c r="R897" s="25" t="s">
        <v>26</v>
      </c>
      <c r="S897" s="25" t="s">
        <v>26</v>
      </c>
      <c r="T897" s="25">
        <f t="shared" si="13"/>
        <v>-44691</v>
      </c>
    </row>
    <row r="898" spans="1:20">
      <c r="A898" t="s">
        <v>2426</v>
      </c>
      <c r="B898">
        <v>45896</v>
      </c>
      <c r="C898" t="s">
        <v>87</v>
      </c>
      <c r="D898" t="s">
        <v>94</v>
      </c>
      <c r="E898" t="s">
        <v>3</v>
      </c>
      <c r="F898">
        <v>5000</v>
      </c>
      <c r="G898" t="s">
        <v>34</v>
      </c>
      <c r="H898" t="s">
        <v>1630</v>
      </c>
      <c r="I898" t="s">
        <v>71</v>
      </c>
      <c r="J898">
        <v>-690000</v>
      </c>
      <c r="K898" t="s">
        <v>316</v>
      </c>
      <c r="L898" t="s">
        <v>2427</v>
      </c>
      <c r="M898" t="s">
        <v>3</v>
      </c>
      <c r="N898" t="s">
        <v>74</v>
      </c>
      <c r="O898" s="25" t="s">
        <v>3827</v>
      </c>
      <c r="P898" s="25">
        <v>1</v>
      </c>
      <c r="Q898" s="25">
        <v>-690000</v>
      </c>
      <c r="R898" s="25" t="s">
        <v>35</v>
      </c>
      <c r="S898" s="25" t="s">
        <v>35</v>
      </c>
      <c r="T898" s="25">
        <f t="shared" ref="T898:T961" si="14">IF(AND(S898="Revenue",G898&lt;&gt;"Refunds &amp; Chargebacks"),ABS(Q898),-ABS(Q898))</f>
        <v>-690000</v>
      </c>
    </row>
    <row r="899" spans="1:20">
      <c r="A899" t="s">
        <v>2428</v>
      </c>
      <c r="B899">
        <v>45897</v>
      </c>
      <c r="C899" t="s">
        <v>93</v>
      </c>
      <c r="D899" t="s">
        <v>94</v>
      </c>
      <c r="E899" t="s">
        <v>95</v>
      </c>
      <c r="F899">
        <v>4000</v>
      </c>
      <c r="G899" t="s">
        <v>25</v>
      </c>
      <c r="H899" t="s">
        <v>2429</v>
      </c>
      <c r="I899" t="s">
        <v>71</v>
      </c>
      <c r="J899">
        <v>31600</v>
      </c>
      <c r="K899" t="s">
        <v>3</v>
      </c>
      <c r="L899" t="s">
        <v>2430</v>
      </c>
      <c r="M899" t="s">
        <v>3</v>
      </c>
      <c r="N899" t="s">
        <v>74</v>
      </c>
      <c r="O899" s="25" t="s">
        <v>3827</v>
      </c>
      <c r="P899" s="25">
        <v>1</v>
      </c>
      <c r="Q899" s="25">
        <v>31600</v>
      </c>
      <c r="R899" s="25" t="s">
        <v>26</v>
      </c>
      <c r="S899" s="25" t="s">
        <v>26</v>
      </c>
      <c r="T899" s="25">
        <f t="shared" si="14"/>
        <v>31600</v>
      </c>
    </row>
    <row r="900" spans="1:20">
      <c r="A900" t="s">
        <v>2431</v>
      </c>
      <c r="B900">
        <v>45897</v>
      </c>
      <c r="C900" t="s">
        <v>93</v>
      </c>
      <c r="D900" t="s">
        <v>94</v>
      </c>
      <c r="E900" t="s">
        <v>99</v>
      </c>
      <c r="F900">
        <v>4000</v>
      </c>
      <c r="G900" t="s">
        <v>25</v>
      </c>
      <c r="H900" t="s">
        <v>2432</v>
      </c>
      <c r="I900" t="s">
        <v>71</v>
      </c>
      <c r="J900">
        <v>32900</v>
      </c>
      <c r="K900" t="s">
        <v>3</v>
      </c>
      <c r="L900" t="s">
        <v>2433</v>
      </c>
      <c r="M900" t="s">
        <v>3</v>
      </c>
      <c r="N900" t="s">
        <v>74</v>
      </c>
      <c r="O900" s="25" t="s">
        <v>3827</v>
      </c>
      <c r="P900" s="25">
        <v>1</v>
      </c>
      <c r="Q900" s="25">
        <v>32900</v>
      </c>
      <c r="R900" s="25" t="s">
        <v>26</v>
      </c>
      <c r="S900" s="25" t="s">
        <v>26</v>
      </c>
      <c r="T900" s="25">
        <f t="shared" si="14"/>
        <v>32900</v>
      </c>
    </row>
    <row r="901" spans="1:20">
      <c r="A901" t="s">
        <v>2434</v>
      </c>
      <c r="B901">
        <v>45897</v>
      </c>
      <c r="C901" t="s">
        <v>93</v>
      </c>
      <c r="D901" t="s">
        <v>94</v>
      </c>
      <c r="E901" t="s">
        <v>103</v>
      </c>
      <c r="F901">
        <v>4000</v>
      </c>
      <c r="G901" t="s">
        <v>25</v>
      </c>
      <c r="H901" t="s">
        <v>2435</v>
      </c>
      <c r="I901" t="s">
        <v>71</v>
      </c>
      <c r="J901">
        <v>27700</v>
      </c>
      <c r="K901" t="s">
        <v>3</v>
      </c>
      <c r="L901" t="s">
        <v>2436</v>
      </c>
      <c r="M901" t="s">
        <v>3</v>
      </c>
      <c r="N901" t="s">
        <v>74</v>
      </c>
      <c r="O901" s="25" t="s">
        <v>3827</v>
      </c>
      <c r="P901" s="25">
        <v>1</v>
      </c>
      <c r="Q901" s="25">
        <v>27700</v>
      </c>
      <c r="R901" s="25" t="s">
        <v>26</v>
      </c>
      <c r="S901" s="25" t="s">
        <v>26</v>
      </c>
      <c r="T901" s="25">
        <f t="shared" si="14"/>
        <v>27700</v>
      </c>
    </row>
    <row r="902" spans="1:20">
      <c r="A902" t="s">
        <v>2437</v>
      </c>
      <c r="B902">
        <v>45897</v>
      </c>
      <c r="C902" t="s">
        <v>93</v>
      </c>
      <c r="D902" t="s">
        <v>94</v>
      </c>
      <c r="E902" t="s">
        <v>160</v>
      </c>
      <c r="F902">
        <v>4000</v>
      </c>
      <c r="G902" t="s">
        <v>25</v>
      </c>
      <c r="H902" t="s">
        <v>2438</v>
      </c>
      <c r="I902" t="s">
        <v>71</v>
      </c>
      <c r="J902">
        <v>32800</v>
      </c>
      <c r="K902" t="s">
        <v>3</v>
      </c>
      <c r="L902" t="s">
        <v>2436</v>
      </c>
      <c r="M902" t="s">
        <v>3</v>
      </c>
      <c r="N902" t="s">
        <v>74</v>
      </c>
      <c r="O902" s="25" t="s">
        <v>3827</v>
      </c>
      <c r="P902" s="25">
        <v>1</v>
      </c>
      <c r="Q902" s="25">
        <v>32800</v>
      </c>
      <c r="R902" s="25" t="s">
        <v>26</v>
      </c>
      <c r="S902" s="25" t="s">
        <v>26</v>
      </c>
      <c r="T902" s="25">
        <f t="shared" si="14"/>
        <v>32800</v>
      </c>
    </row>
    <row r="903" spans="1:20">
      <c r="A903" t="s">
        <v>2439</v>
      </c>
      <c r="B903">
        <v>45897</v>
      </c>
      <c r="C903" t="s">
        <v>93</v>
      </c>
      <c r="D903" t="s">
        <v>94</v>
      </c>
      <c r="E903" t="s">
        <v>107</v>
      </c>
      <c r="F903">
        <v>4000</v>
      </c>
      <c r="G903" t="s">
        <v>25</v>
      </c>
      <c r="H903" t="s">
        <v>2440</v>
      </c>
      <c r="I903" t="s">
        <v>71</v>
      </c>
      <c r="J903">
        <v>32100</v>
      </c>
      <c r="K903" t="s">
        <v>3</v>
      </c>
      <c r="L903" t="s">
        <v>2441</v>
      </c>
      <c r="M903" t="s">
        <v>3</v>
      </c>
      <c r="N903" t="s">
        <v>74</v>
      </c>
      <c r="O903" s="25" t="s">
        <v>3827</v>
      </c>
      <c r="P903" s="25">
        <v>1</v>
      </c>
      <c r="Q903" s="25">
        <v>32100</v>
      </c>
      <c r="R903" s="25" t="s">
        <v>26</v>
      </c>
      <c r="S903" s="25" t="s">
        <v>26</v>
      </c>
      <c r="T903" s="25">
        <f t="shared" si="14"/>
        <v>32100</v>
      </c>
    </row>
    <row r="904" spans="1:20">
      <c r="A904" t="s">
        <v>2442</v>
      </c>
      <c r="B904">
        <v>45897</v>
      </c>
      <c r="C904" t="s">
        <v>93</v>
      </c>
      <c r="D904" t="s">
        <v>111</v>
      </c>
      <c r="E904" t="s">
        <v>112</v>
      </c>
      <c r="F904">
        <v>4000</v>
      </c>
      <c r="G904" t="s">
        <v>25</v>
      </c>
      <c r="H904" t="s">
        <v>2443</v>
      </c>
      <c r="I904" t="s">
        <v>71</v>
      </c>
      <c r="J904">
        <v>53100</v>
      </c>
      <c r="K904" t="s">
        <v>3</v>
      </c>
      <c r="L904" t="s">
        <v>2444</v>
      </c>
      <c r="M904" t="s">
        <v>3</v>
      </c>
      <c r="N904" t="s">
        <v>74</v>
      </c>
      <c r="O904" s="25" t="s">
        <v>3827</v>
      </c>
      <c r="P904" s="25">
        <v>1</v>
      </c>
      <c r="Q904" s="25">
        <v>53100</v>
      </c>
      <c r="R904" s="25" t="s">
        <v>26</v>
      </c>
      <c r="S904" s="25" t="s">
        <v>26</v>
      </c>
      <c r="T904" s="25">
        <f t="shared" si="14"/>
        <v>53100</v>
      </c>
    </row>
    <row r="905" spans="1:20">
      <c r="A905" t="s">
        <v>2445</v>
      </c>
      <c r="B905">
        <v>45897</v>
      </c>
      <c r="C905" t="s">
        <v>93</v>
      </c>
      <c r="D905" t="s">
        <v>111</v>
      </c>
      <c r="E905" t="s">
        <v>116</v>
      </c>
      <c r="F905">
        <v>4000</v>
      </c>
      <c r="G905" t="s">
        <v>25</v>
      </c>
      <c r="H905" t="s">
        <v>2446</v>
      </c>
      <c r="I905" t="s">
        <v>71</v>
      </c>
      <c r="J905">
        <v>50900</v>
      </c>
      <c r="K905" t="s">
        <v>3</v>
      </c>
      <c r="L905" t="s">
        <v>2444</v>
      </c>
      <c r="M905" t="s">
        <v>3</v>
      </c>
      <c r="N905" t="s">
        <v>74</v>
      </c>
      <c r="O905" s="25" t="s">
        <v>3827</v>
      </c>
      <c r="P905" s="25">
        <v>1</v>
      </c>
      <c r="Q905" s="25">
        <v>50900</v>
      </c>
      <c r="R905" s="25" t="s">
        <v>26</v>
      </c>
      <c r="S905" s="25" t="s">
        <v>26</v>
      </c>
      <c r="T905" s="25">
        <f t="shared" si="14"/>
        <v>50900</v>
      </c>
    </row>
    <row r="906" spans="1:20">
      <c r="A906" t="s">
        <v>2447</v>
      </c>
      <c r="B906">
        <v>45897</v>
      </c>
      <c r="C906" t="s">
        <v>93</v>
      </c>
      <c r="D906" t="s">
        <v>111</v>
      </c>
      <c r="E906" t="s">
        <v>119</v>
      </c>
      <c r="F906">
        <v>4000</v>
      </c>
      <c r="G906" t="s">
        <v>25</v>
      </c>
      <c r="H906" t="s">
        <v>2448</v>
      </c>
      <c r="I906" t="s">
        <v>71</v>
      </c>
      <c r="J906">
        <v>50500</v>
      </c>
      <c r="K906" t="s">
        <v>3</v>
      </c>
      <c r="L906" t="s">
        <v>2444</v>
      </c>
      <c r="M906" t="s">
        <v>3</v>
      </c>
      <c r="N906" t="s">
        <v>74</v>
      </c>
      <c r="O906" s="25" t="s">
        <v>3827</v>
      </c>
      <c r="P906" s="25">
        <v>1</v>
      </c>
      <c r="Q906" s="25">
        <v>50500</v>
      </c>
      <c r="R906" s="25" t="s">
        <v>26</v>
      </c>
      <c r="S906" s="25" t="s">
        <v>26</v>
      </c>
      <c r="T906" s="25">
        <f t="shared" si="14"/>
        <v>50500</v>
      </c>
    </row>
    <row r="907" spans="1:20">
      <c r="A907" t="s">
        <v>2449</v>
      </c>
      <c r="B907">
        <v>45897</v>
      </c>
      <c r="C907" t="s">
        <v>93</v>
      </c>
      <c r="D907" t="s">
        <v>111</v>
      </c>
      <c r="E907" t="s">
        <v>170</v>
      </c>
      <c r="F907">
        <v>4000</v>
      </c>
      <c r="G907" t="s">
        <v>25</v>
      </c>
      <c r="H907" t="s">
        <v>2450</v>
      </c>
      <c r="I907" t="s">
        <v>71</v>
      </c>
      <c r="J907">
        <v>50900</v>
      </c>
      <c r="K907" t="s">
        <v>3</v>
      </c>
      <c r="L907" t="s">
        <v>2444</v>
      </c>
      <c r="M907" t="s">
        <v>3</v>
      </c>
      <c r="N907" t="s">
        <v>74</v>
      </c>
      <c r="O907" s="25" t="s">
        <v>3827</v>
      </c>
      <c r="P907" s="25">
        <v>1</v>
      </c>
      <c r="Q907" s="25">
        <v>50900</v>
      </c>
      <c r="R907" s="25" t="s">
        <v>26</v>
      </c>
      <c r="S907" s="25" t="s">
        <v>26</v>
      </c>
      <c r="T907" s="25">
        <f t="shared" si="14"/>
        <v>50900</v>
      </c>
    </row>
    <row r="908" spans="1:20">
      <c r="A908" t="s">
        <v>2451</v>
      </c>
      <c r="B908">
        <v>45897</v>
      </c>
      <c r="C908" t="s">
        <v>93</v>
      </c>
      <c r="D908" t="s">
        <v>111</v>
      </c>
      <c r="E908" t="s">
        <v>122</v>
      </c>
      <c r="F908">
        <v>4000</v>
      </c>
      <c r="G908" t="s">
        <v>25</v>
      </c>
      <c r="H908" t="s">
        <v>2452</v>
      </c>
      <c r="I908" t="s">
        <v>71</v>
      </c>
      <c r="J908">
        <v>49300</v>
      </c>
      <c r="K908" t="s">
        <v>3</v>
      </c>
      <c r="L908" t="s">
        <v>2453</v>
      </c>
      <c r="M908" t="s">
        <v>3</v>
      </c>
      <c r="N908" t="s">
        <v>74</v>
      </c>
      <c r="O908" s="25" t="s">
        <v>3827</v>
      </c>
      <c r="P908" s="25">
        <v>1</v>
      </c>
      <c r="Q908" s="25">
        <v>49300</v>
      </c>
      <c r="R908" s="25" t="s">
        <v>26</v>
      </c>
      <c r="S908" s="25" t="s">
        <v>26</v>
      </c>
      <c r="T908" s="25">
        <f t="shared" si="14"/>
        <v>49300</v>
      </c>
    </row>
    <row r="909" spans="1:20">
      <c r="A909" t="s">
        <v>2454</v>
      </c>
      <c r="B909">
        <v>45897</v>
      </c>
      <c r="C909" t="s">
        <v>126</v>
      </c>
      <c r="D909" t="s">
        <v>88</v>
      </c>
      <c r="E909" t="s">
        <v>127</v>
      </c>
      <c r="F909">
        <v>4020</v>
      </c>
      <c r="G909" t="s">
        <v>30</v>
      </c>
      <c r="H909" t="s">
        <v>2455</v>
      </c>
      <c r="I909" t="s">
        <v>71</v>
      </c>
      <c r="J909">
        <v>48200</v>
      </c>
      <c r="K909" t="s">
        <v>129</v>
      </c>
      <c r="L909" t="s">
        <v>2456</v>
      </c>
      <c r="M909" t="s">
        <v>3</v>
      </c>
      <c r="N909" t="s">
        <v>74</v>
      </c>
      <c r="O909" s="25" t="s">
        <v>3827</v>
      </c>
      <c r="P909" s="25">
        <v>1</v>
      </c>
      <c r="Q909" s="25">
        <v>48200</v>
      </c>
      <c r="R909" s="25" t="s">
        <v>26</v>
      </c>
      <c r="S909" s="25" t="s">
        <v>26</v>
      </c>
      <c r="T909" s="25">
        <f t="shared" si="14"/>
        <v>48200</v>
      </c>
    </row>
    <row r="910" spans="1:20">
      <c r="A910" t="s">
        <v>2457</v>
      </c>
      <c r="B910">
        <v>45897</v>
      </c>
      <c r="C910" t="s">
        <v>126</v>
      </c>
      <c r="D910" t="s">
        <v>88</v>
      </c>
      <c r="E910" t="s">
        <v>132</v>
      </c>
      <c r="F910">
        <v>4020</v>
      </c>
      <c r="G910" t="s">
        <v>30</v>
      </c>
      <c r="H910" t="s">
        <v>2458</v>
      </c>
      <c r="I910" t="s">
        <v>71</v>
      </c>
      <c r="J910">
        <v>48600</v>
      </c>
      <c r="K910" t="s">
        <v>134</v>
      </c>
      <c r="L910" t="s">
        <v>2456</v>
      </c>
      <c r="M910" t="s">
        <v>3</v>
      </c>
      <c r="N910" t="s">
        <v>74</v>
      </c>
      <c r="O910" s="25" t="s">
        <v>3827</v>
      </c>
      <c r="P910" s="25">
        <v>1</v>
      </c>
      <c r="Q910" s="25">
        <v>48600</v>
      </c>
      <c r="R910" s="25" t="s">
        <v>26</v>
      </c>
      <c r="S910" s="25" t="s">
        <v>26</v>
      </c>
      <c r="T910" s="25">
        <f t="shared" si="14"/>
        <v>48600</v>
      </c>
    </row>
    <row r="911" spans="1:20">
      <c r="A911" t="s">
        <v>2459</v>
      </c>
      <c r="B911">
        <v>45897</v>
      </c>
      <c r="C911" t="s">
        <v>126</v>
      </c>
      <c r="D911" t="s">
        <v>88</v>
      </c>
      <c r="E911" t="s">
        <v>136</v>
      </c>
      <c r="F911">
        <v>4020</v>
      </c>
      <c r="G911" t="s">
        <v>30</v>
      </c>
      <c r="H911" t="s">
        <v>2460</v>
      </c>
      <c r="I911" t="s">
        <v>72</v>
      </c>
      <c r="J911">
        <v>29.52</v>
      </c>
      <c r="K911" t="s">
        <v>138</v>
      </c>
      <c r="L911" t="s">
        <v>2456</v>
      </c>
      <c r="M911" t="s">
        <v>3</v>
      </c>
      <c r="N911" t="s">
        <v>74</v>
      </c>
      <c r="O911" s="25" t="s">
        <v>3828</v>
      </c>
      <c r="P911" s="25">
        <v>1572</v>
      </c>
      <c r="Q911" s="25">
        <v>46405.440000000002</v>
      </c>
      <c r="R911" s="25" t="s">
        <v>26</v>
      </c>
      <c r="S911" s="25" t="s">
        <v>26</v>
      </c>
      <c r="T911" s="25">
        <f t="shared" si="14"/>
        <v>46405.440000000002</v>
      </c>
    </row>
    <row r="912" spans="1:20">
      <c r="A912" t="s">
        <v>2461</v>
      </c>
      <c r="B912">
        <v>45897</v>
      </c>
      <c r="C912" t="s">
        <v>126</v>
      </c>
      <c r="D912" t="s">
        <v>88</v>
      </c>
      <c r="E912" t="s">
        <v>140</v>
      </c>
      <c r="F912">
        <v>4020</v>
      </c>
      <c r="G912" t="s">
        <v>30</v>
      </c>
      <c r="H912" t="s">
        <v>2462</v>
      </c>
      <c r="I912" t="s">
        <v>71</v>
      </c>
      <c r="J912">
        <v>53700</v>
      </c>
      <c r="K912" t="s">
        <v>3</v>
      </c>
      <c r="L912" t="s">
        <v>2463</v>
      </c>
      <c r="M912" t="s">
        <v>3</v>
      </c>
      <c r="N912" t="s">
        <v>74</v>
      </c>
      <c r="O912" s="25" t="s">
        <v>3827</v>
      </c>
      <c r="P912" s="25">
        <v>1</v>
      </c>
      <c r="Q912" s="25">
        <v>53700</v>
      </c>
      <c r="R912" s="25" t="s">
        <v>26</v>
      </c>
      <c r="S912" s="25" t="s">
        <v>26</v>
      </c>
      <c r="T912" s="25">
        <f t="shared" si="14"/>
        <v>53700</v>
      </c>
    </row>
    <row r="913" spans="1:20">
      <c r="A913" t="s">
        <v>2464</v>
      </c>
      <c r="B913">
        <v>45897</v>
      </c>
      <c r="C913" t="s">
        <v>87</v>
      </c>
      <c r="D913" t="s">
        <v>88</v>
      </c>
      <c r="E913" t="s">
        <v>3</v>
      </c>
      <c r="F913">
        <v>5030</v>
      </c>
      <c r="G913" t="s">
        <v>41</v>
      </c>
      <c r="H913" t="s">
        <v>1471</v>
      </c>
      <c r="I913" t="s">
        <v>71</v>
      </c>
      <c r="J913">
        <v>-184000</v>
      </c>
      <c r="K913" t="s">
        <v>280</v>
      </c>
      <c r="L913" t="s">
        <v>2465</v>
      </c>
      <c r="M913" t="s">
        <v>3</v>
      </c>
      <c r="N913" t="s">
        <v>74</v>
      </c>
      <c r="O913" s="25" t="s">
        <v>3827</v>
      </c>
      <c r="P913" s="25">
        <v>1</v>
      </c>
      <c r="Q913" s="25">
        <v>-184000</v>
      </c>
      <c r="R913" s="25" t="s">
        <v>35</v>
      </c>
      <c r="S913" s="25" t="s">
        <v>35</v>
      </c>
      <c r="T913" s="25">
        <f t="shared" si="14"/>
        <v>-184000</v>
      </c>
    </row>
    <row r="914" spans="1:20">
      <c r="A914" t="s">
        <v>2466</v>
      </c>
      <c r="B914">
        <v>45898</v>
      </c>
      <c r="C914" t="s">
        <v>93</v>
      </c>
      <c r="D914" t="s">
        <v>94</v>
      </c>
      <c r="E914" t="s">
        <v>95</v>
      </c>
      <c r="F914">
        <v>4000</v>
      </c>
      <c r="G914" t="s">
        <v>25</v>
      </c>
      <c r="H914" t="s">
        <v>2467</v>
      </c>
      <c r="I914" t="s">
        <v>71</v>
      </c>
      <c r="J914">
        <v>29400</v>
      </c>
      <c r="K914" t="s">
        <v>3</v>
      </c>
      <c r="L914" t="s">
        <v>2468</v>
      </c>
      <c r="M914" t="s">
        <v>3</v>
      </c>
      <c r="N914" t="s">
        <v>74</v>
      </c>
      <c r="O914" s="25" t="s">
        <v>3827</v>
      </c>
      <c r="P914" s="25">
        <v>1</v>
      </c>
      <c r="Q914" s="25">
        <v>29400</v>
      </c>
      <c r="R914" s="25" t="s">
        <v>26</v>
      </c>
      <c r="S914" s="25" t="s">
        <v>26</v>
      </c>
      <c r="T914" s="25">
        <f t="shared" si="14"/>
        <v>29400</v>
      </c>
    </row>
    <row r="915" spans="1:20">
      <c r="A915" t="s">
        <v>2469</v>
      </c>
      <c r="B915">
        <v>45898</v>
      </c>
      <c r="C915" t="s">
        <v>93</v>
      </c>
      <c r="D915" t="s">
        <v>94</v>
      </c>
      <c r="E915" t="s">
        <v>99</v>
      </c>
      <c r="F915">
        <v>4000</v>
      </c>
      <c r="G915" t="s">
        <v>25</v>
      </c>
      <c r="H915" t="s">
        <v>2470</v>
      </c>
      <c r="I915" t="s">
        <v>71</v>
      </c>
      <c r="J915">
        <v>27600</v>
      </c>
      <c r="K915" t="s">
        <v>3</v>
      </c>
      <c r="L915" t="s">
        <v>2471</v>
      </c>
      <c r="M915" t="s">
        <v>3</v>
      </c>
      <c r="N915" t="s">
        <v>74</v>
      </c>
      <c r="O915" s="25" t="s">
        <v>3827</v>
      </c>
      <c r="P915" s="25">
        <v>1</v>
      </c>
      <c r="Q915" s="25">
        <v>27600</v>
      </c>
      <c r="R915" s="25" t="s">
        <v>26</v>
      </c>
      <c r="S915" s="25" t="s">
        <v>26</v>
      </c>
      <c r="T915" s="25">
        <f t="shared" si="14"/>
        <v>27600</v>
      </c>
    </row>
    <row r="916" spans="1:20">
      <c r="A916" t="s">
        <v>2472</v>
      </c>
      <c r="B916">
        <v>45898</v>
      </c>
      <c r="C916" t="s">
        <v>93</v>
      </c>
      <c r="D916" t="s">
        <v>94</v>
      </c>
      <c r="E916" t="s">
        <v>160</v>
      </c>
      <c r="F916">
        <v>4000</v>
      </c>
      <c r="G916" t="s">
        <v>25</v>
      </c>
      <c r="H916" t="s">
        <v>2473</v>
      </c>
      <c r="I916" t="s">
        <v>71</v>
      </c>
      <c r="J916">
        <v>28900</v>
      </c>
      <c r="K916" t="s">
        <v>3</v>
      </c>
      <c r="L916" t="s">
        <v>2474</v>
      </c>
      <c r="M916" t="s">
        <v>3</v>
      </c>
      <c r="N916" t="s">
        <v>74</v>
      </c>
      <c r="O916" s="25" t="s">
        <v>3827</v>
      </c>
      <c r="P916" s="25">
        <v>1</v>
      </c>
      <c r="Q916" s="25">
        <v>28900</v>
      </c>
      <c r="R916" s="25" t="s">
        <v>26</v>
      </c>
      <c r="S916" s="25" t="s">
        <v>26</v>
      </c>
      <c r="T916" s="25">
        <f t="shared" si="14"/>
        <v>28900</v>
      </c>
    </row>
    <row r="917" spans="1:20">
      <c r="A917" t="s">
        <v>2475</v>
      </c>
      <c r="B917">
        <v>45898</v>
      </c>
      <c r="C917" t="s">
        <v>93</v>
      </c>
      <c r="D917" t="s">
        <v>94</v>
      </c>
      <c r="E917" t="s">
        <v>107</v>
      </c>
      <c r="F917">
        <v>4000</v>
      </c>
      <c r="G917" t="s">
        <v>25</v>
      </c>
      <c r="H917" t="s">
        <v>2476</v>
      </c>
      <c r="I917" t="s">
        <v>71</v>
      </c>
      <c r="J917">
        <v>28700</v>
      </c>
      <c r="K917" t="s">
        <v>3</v>
      </c>
      <c r="L917" t="s">
        <v>2477</v>
      </c>
      <c r="M917" t="s">
        <v>3</v>
      </c>
      <c r="N917" t="s">
        <v>74</v>
      </c>
      <c r="O917" s="25" t="s">
        <v>3827</v>
      </c>
      <c r="P917" s="25">
        <v>1</v>
      </c>
      <c r="Q917" s="25">
        <v>28700</v>
      </c>
      <c r="R917" s="25" t="s">
        <v>26</v>
      </c>
      <c r="S917" s="25" t="s">
        <v>26</v>
      </c>
      <c r="T917" s="25">
        <f t="shared" si="14"/>
        <v>28700</v>
      </c>
    </row>
    <row r="918" spans="1:20">
      <c r="A918" t="s">
        <v>2478</v>
      </c>
      <c r="B918">
        <v>45898</v>
      </c>
      <c r="C918" t="s">
        <v>93</v>
      </c>
      <c r="D918" t="s">
        <v>111</v>
      </c>
      <c r="E918" t="s">
        <v>112</v>
      </c>
      <c r="F918">
        <v>4000</v>
      </c>
      <c r="G918" t="s">
        <v>25</v>
      </c>
      <c r="H918" t="s">
        <v>2479</v>
      </c>
      <c r="I918" t="s">
        <v>71</v>
      </c>
      <c r="J918">
        <v>52000</v>
      </c>
      <c r="K918" t="s">
        <v>3</v>
      </c>
      <c r="L918" t="s">
        <v>2480</v>
      </c>
      <c r="M918" t="s">
        <v>3</v>
      </c>
      <c r="N918" t="s">
        <v>74</v>
      </c>
      <c r="O918" s="25" t="s">
        <v>3827</v>
      </c>
      <c r="P918" s="25">
        <v>1</v>
      </c>
      <c r="Q918" s="25">
        <v>52000</v>
      </c>
      <c r="R918" s="25" t="s">
        <v>26</v>
      </c>
      <c r="S918" s="25" t="s">
        <v>26</v>
      </c>
      <c r="T918" s="25">
        <f t="shared" si="14"/>
        <v>52000</v>
      </c>
    </row>
    <row r="919" spans="1:20">
      <c r="A919" t="s">
        <v>2481</v>
      </c>
      <c r="B919">
        <v>45898</v>
      </c>
      <c r="C919" t="s">
        <v>93</v>
      </c>
      <c r="D919" t="s">
        <v>111</v>
      </c>
      <c r="E919" t="s">
        <v>116</v>
      </c>
      <c r="F919">
        <v>4000</v>
      </c>
      <c r="G919" t="s">
        <v>25</v>
      </c>
      <c r="H919" t="s">
        <v>2482</v>
      </c>
      <c r="I919" t="s">
        <v>71</v>
      </c>
      <c r="J919">
        <v>48200</v>
      </c>
      <c r="K919" t="s">
        <v>3</v>
      </c>
      <c r="L919" t="s">
        <v>2480</v>
      </c>
      <c r="M919" t="s">
        <v>3</v>
      </c>
      <c r="N919" t="s">
        <v>74</v>
      </c>
      <c r="O919" s="25" t="s">
        <v>3827</v>
      </c>
      <c r="P919" s="25">
        <v>1</v>
      </c>
      <c r="Q919" s="25">
        <v>48200</v>
      </c>
      <c r="R919" s="25" t="s">
        <v>26</v>
      </c>
      <c r="S919" s="25" t="s">
        <v>26</v>
      </c>
      <c r="T919" s="25">
        <f t="shared" si="14"/>
        <v>48200</v>
      </c>
    </row>
    <row r="920" spans="1:20">
      <c r="A920" t="s">
        <v>2483</v>
      </c>
      <c r="B920">
        <v>45898</v>
      </c>
      <c r="C920" t="s">
        <v>93</v>
      </c>
      <c r="D920" t="s">
        <v>111</v>
      </c>
      <c r="E920" t="s">
        <v>119</v>
      </c>
      <c r="F920">
        <v>4000</v>
      </c>
      <c r="G920" t="s">
        <v>25</v>
      </c>
      <c r="H920" t="s">
        <v>2484</v>
      </c>
      <c r="I920" t="s">
        <v>71</v>
      </c>
      <c r="J920">
        <v>48300</v>
      </c>
      <c r="K920" t="s">
        <v>3</v>
      </c>
      <c r="L920" t="s">
        <v>2480</v>
      </c>
      <c r="M920" t="s">
        <v>3</v>
      </c>
      <c r="N920" t="s">
        <v>74</v>
      </c>
      <c r="O920" s="25" t="s">
        <v>3827</v>
      </c>
      <c r="P920" s="25">
        <v>1</v>
      </c>
      <c r="Q920" s="25">
        <v>48300</v>
      </c>
      <c r="R920" s="25" t="s">
        <v>26</v>
      </c>
      <c r="S920" s="25" t="s">
        <v>26</v>
      </c>
      <c r="T920" s="25">
        <f t="shared" si="14"/>
        <v>48300</v>
      </c>
    </row>
    <row r="921" spans="1:20">
      <c r="A921" t="s">
        <v>2485</v>
      </c>
      <c r="B921">
        <v>45898</v>
      </c>
      <c r="C921" t="s">
        <v>93</v>
      </c>
      <c r="D921" t="s">
        <v>111</v>
      </c>
      <c r="E921" t="s">
        <v>170</v>
      </c>
      <c r="F921">
        <v>4000</v>
      </c>
      <c r="G921" t="s">
        <v>25</v>
      </c>
      <c r="H921" t="s">
        <v>2486</v>
      </c>
      <c r="I921" t="s">
        <v>71</v>
      </c>
      <c r="J921">
        <v>47900</v>
      </c>
      <c r="K921" t="s">
        <v>3</v>
      </c>
      <c r="L921" t="s">
        <v>2480</v>
      </c>
      <c r="M921" t="s">
        <v>3</v>
      </c>
      <c r="N921" t="s">
        <v>74</v>
      </c>
      <c r="O921" s="25" t="s">
        <v>3827</v>
      </c>
      <c r="P921" s="25">
        <v>1</v>
      </c>
      <c r="Q921" s="25">
        <v>47900</v>
      </c>
      <c r="R921" s="25" t="s">
        <v>26</v>
      </c>
      <c r="S921" s="25" t="s">
        <v>26</v>
      </c>
      <c r="T921" s="25">
        <f t="shared" si="14"/>
        <v>47900</v>
      </c>
    </row>
    <row r="922" spans="1:20">
      <c r="A922" t="s">
        <v>2487</v>
      </c>
      <c r="B922">
        <v>45898</v>
      </c>
      <c r="C922" t="s">
        <v>93</v>
      </c>
      <c r="D922" t="s">
        <v>111</v>
      </c>
      <c r="E922" t="s">
        <v>122</v>
      </c>
      <c r="F922">
        <v>4000</v>
      </c>
      <c r="G922" t="s">
        <v>25</v>
      </c>
      <c r="H922" t="s">
        <v>2488</v>
      </c>
      <c r="I922" t="s">
        <v>71</v>
      </c>
      <c r="J922">
        <v>49600</v>
      </c>
      <c r="K922" t="s">
        <v>3</v>
      </c>
      <c r="L922" t="s">
        <v>2489</v>
      </c>
      <c r="M922" t="s">
        <v>3</v>
      </c>
      <c r="N922" t="s">
        <v>74</v>
      </c>
      <c r="O922" s="25" t="s">
        <v>3827</v>
      </c>
      <c r="P922" s="25">
        <v>1</v>
      </c>
      <c r="Q922" s="25">
        <v>49600</v>
      </c>
      <c r="R922" s="25" t="s">
        <v>26</v>
      </c>
      <c r="S922" s="25" t="s">
        <v>26</v>
      </c>
      <c r="T922" s="25">
        <f t="shared" si="14"/>
        <v>49600</v>
      </c>
    </row>
    <row r="923" spans="1:20">
      <c r="A923" t="s">
        <v>2490</v>
      </c>
      <c r="B923">
        <v>45898</v>
      </c>
      <c r="C923" t="s">
        <v>126</v>
      </c>
      <c r="D923" t="s">
        <v>88</v>
      </c>
      <c r="E923" t="s">
        <v>127</v>
      </c>
      <c r="F923">
        <v>4020</v>
      </c>
      <c r="G923" t="s">
        <v>30</v>
      </c>
      <c r="H923" t="s">
        <v>2491</v>
      </c>
      <c r="I923" t="s">
        <v>72</v>
      </c>
      <c r="J923">
        <v>31.17</v>
      </c>
      <c r="K923" t="s">
        <v>129</v>
      </c>
      <c r="L923" t="s">
        <v>2492</v>
      </c>
      <c r="M923" t="s">
        <v>3</v>
      </c>
      <c r="N923" t="s">
        <v>74</v>
      </c>
      <c r="O923" s="25" t="s">
        <v>3828</v>
      </c>
      <c r="P923" s="25">
        <v>1572</v>
      </c>
      <c r="Q923" s="25">
        <v>48999.240000000005</v>
      </c>
      <c r="R923" s="25" t="s">
        <v>26</v>
      </c>
      <c r="S923" s="25" t="s">
        <v>26</v>
      </c>
      <c r="T923" s="25">
        <f t="shared" si="14"/>
        <v>48999.240000000005</v>
      </c>
    </row>
    <row r="924" spans="1:20">
      <c r="A924" t="s">
        <v>2493</v>
      </c>
      <c r="B924">
        <v>45898</v>
      </c>
      <c r="C924" t="s">
        <v>126</v>
      </c>
      <c r="D924" t="s">
        <v>88</v>
      </c>
      <c r="E924" t="s">
        <v>132</v>
      </c>
      <c r="F924">
        <v>4020</v>
      </c>
      <c r="G924" t="s">
        <v>30</v>
      </c>
      <c r="H924" t="s">
        <v>2494</v>
      </c>
      <c r="I924" t="s">
        <v>71</v>
      </c>
      <c r="J924">
        <v>43700</v>
      </c>
      <c r="K924" t="s">
        <v>134</v>
      </c>
      <c r="L924" t="s">
        <v>2492</v>
      </c>
      <c r="M924" t="s">
        <v>3</v>
      </c>
      <c r="N924" t="s">
        <v>74</v>
      </c>
      <c r="O924" s="25" t="s">
        <v>3827</v>
      </c>
      <c r="P924" s="25">
        <v>1</v>
      </c>
      <c r="Q924" s="25">
        <v>43700</v>
      </c>
      <c r="R924" s="25" t="s">
        <v>26</v>
      </c>
      <c r="S924" s="25" t="s">
        <v>26</v>
      </c>
      <c r="T924" s="25">
        <f t="shared" si="14"/>
        <v>43700</v>
      </c>
    </row>
    <row r="925" spans="1:20">
      <c r="A925" t="s">
        <v>2495</v>
      </c>
      <c r="B925">
        <v>45898</v>
      </c>
      <c r="C925" t="s">
        <v>126</v>
      </c>
      <c r="D925" t="s">
        <v>88</v>
      </c>
      <c r="E925" t="s">
        <v>136</v>
      </c>
      <c r="F925">
        <v>4020</v>
      </c>
      <c r="G925" t="s">
        <v>30</v>
      </c>
      <c r="H925" t="s">
        <v>2496</v>
      </c>
      <c r="I925" t="s">
        <v>71</v>
      </c>
      <c r="J925">
        <v>54500</v>
      </c>
      <c r="K925" t="s">
        <v>138</v>
      </c>
      <c r="L925" t="s">
        <v>2492</v>
      </c>
      <c r="M925" t="s">
        <v>3</v>
      </c>
      <c r="N925" t="s">
        <v>74</v>
      </c>
      <c r="O925" s="25" t="s">
        <v>3827</v>
      </c>
      <c r="P925" s="25">
        <v>1</v>
      </c>
      <c r="Q925" s="25">
        <v>54500</v>
      </c>
      <c r="R925" s="25" t="s">
        <v>26</v>
      </c>
      <c r="S925" s="25" t="s">
        <v>26</v>
      </c>
      <c r="T925" s="25">
        <f t="shared" si="14"/>
        <v>54500</v>
      </c>
    </row>
    <row r="926" spans="1:20">
      <c r="A926" t="s">
        <v>2497</v>
      </c>
      <c r="B926">
        <v>45898</v>
      </c>
      <c r="C926" t="s">
        <v>87</v>
      </c>
      <c r="D926" t="s">
        <v>94</v>
      </c>
      <c r="E926" t="s">
        <v>3</v>
      </c>
      <c r="F926">
        <v>5040</v>
      </c>
      <c r="G926" t="s">
        <v>43</v>
      </c>
      <c r="H926" t="s">
        <v>1387</v>
      </c>
      <c r="I926" t="s">
        <v>71</v>
      </c>
      <c r="J926">
        <v>-555000</v>
      </c>
      <c r="K926" t="s">
        <v>187</v>
      </c>
      <c r="L926" t="s">
        <v>2498</v>
      </c>
      <c r="M926" t="s">
        <v>3</v>
      </c>
      <c r="N926" t="s">
        <v>74</v>
      </c>
      <c r="O926" s="25" t="s">
        <v>3827</v>
      </c>
      <c r="P926" s="25">
        <v>1</v>
      </c>
      <c r="Q926" s="25">
        <v>-555000</v>
      </c>
      <c r="R926" s="25" t="s">
        <v>35</v>
      </c>
      <c r="S926" s="25" t="s">
        <v>35</v>
      </c>
      <c r="T926" s="25">
        <f t="shared" si="14"/>
        <v>-555000</v>
      </c>
    </row>
    <row r="927" spans="1:20">
      <c r="A927" t="s">
        <v>2499</v>
      </c>
      <c r="B927">
        <v>45898</v>
      </c>
      <c r="C927" t="s">
        <v>87</v>
      </c>
      <c r="D927" t="s">
        <v>111</v>
      </c>
      <c r="E927" t="s">
        <v>3</v>
      </c>
      <c r="F927">
        <v>5010</v>
      </c>
      <c r="G927" t="s">
        <v>37</v>
      </c>
      <c r="H927" t="s">
        <v>1879</v>
      </c>
      <c r="I927" t="s">
        <v>71</v>
      </c>
      <c r="J927">
        <v>-1375000</v>
      </c>
      <c r="K927" t="s">
        <v>145</v>
      </c>
      <c r="L927" t="s">
        <v>2500</v>
      </c>
      <c r="M927" t="s">
        <v>3</v>
      </c>
      <c r="N927" t="s">
        <v>74</v>
      </c>
      <c r="O927" s="25" t="s">
        <v>3827</v>
      </c>
      <c r="P927" s="25">
        <v>1</v>
      </c>
      <c r="Q927" s="25">
        <v>-1375000</v>
      </c>
      <c r="R927" s="25" t="s">
        <v>35</v>
      </c>
      <c r="S927" s="25" t="s">
        <v>35</v>
      </c>
      <c r="T927" s="25">
        <f t="shared" si="14"/>
        <v>-1375000</v>
      </c>
    </row>
    <row r="928" spans="1:20">
      <c r="A928" t="s">
        <v>2501</v>
      </c>
      <c r="B928">
        <v>45898</v>
      </c>
      <c r="C928" t="s">
        <v>87</v>
      </c>
      <c r="D928" t="s">
        <v>111</v>
      </c>
      <c r="E928" t="s">
        <v>3</v>
      </c>
      <c r="F928">
        <v>5010</v>
      </c>
      <c r="G928" t="s">
        <v>37</v>
      </c>
      <c r="H928" t="s">
        <v>1593</v>
      </c>
      <c r="I928" t="s">
        <v>71</v>
      </c>
      <c r="J928">
        <v>-1467000</v>
      </c>
      <c r="K928" t="s">
        <v>987</v>
      </c>
      <c r="L928" t="s">
        <v>2502</v>
      </c>
      <c r="M928" t="s">
        <v>3</v>
      </c>
      <c r="N928" t="s">
        <v>74</v>
      </c>
      <c r="O928" s="25" t="s">
        <v>3827</v>
      </c>
      <c r="P928" s="25">
        <v>1</v>
      </c>
      <c r="Q928" s="25">
        <v>-1467000</v>
      </c>
      <c r="R928" s="25" t="s">
        <v>35</v>
      </c>
      <c r="S928" s="25" t="s">
        <v>35</v>
      </c>
      <c r="T928" s="25">
        <f t="shared" si="14"/>
        <v>-1467000</v>
      </c>
    </row>
    <row r="929" spans="1:20">
      <c r="A929" t="s">
        <v>2503</v>
      </c>
      <c r="B929">
        <v>45898</v>
      </c>
      <c r="C929" t="s">
        <v>1274</v>
      </c>
      <c r="D929" t="s">
        <v>94</v>
      </c>
      <c r="E929" t="s">
        <v>3</v>
      </c>
      <c r="F929">
        <v>6060</v>
      </c>
      <c r="G929" t="s">
        <v>60</v>
      </c>
      <c r="H929" t="s">
        <v>2504</v>
      </c>
      <c r="I929" t="s">
        <v>71</v>
      </c>
      <c r="J929">
        <v>-87818</v>
      </c>
      <c r="K929" t="s">
        <v>1276</v>
      </c>
      <c r="L929" t="s">
        <v>2505</v>
      </c>
      <c r="M929" t="s">
        <v>3</v>
      </c>
      <c r="N929" t="s">
        <v>74</v>
      </c>
      <c r="O929" s="25" t="s">
        <v>3827</v>
      </c>
      <c r="P929" s="25">
        <v>1</v>
      </c>
      <c r="Q929" s="25">
        <v>-87818</v>
      </c>
      <c r="R929" s="25" t="s">
        <v>48</v>
      </c>
      <c r="S929" s="25" t="s">
        <v>48</v>
      </c>
      <c r="T929" s="25">
        <f t="shared" si="14"/>
        <v>-87818</v>
      </c>
    </row>
    <row r="930" spans="1:20">
      <c r="A930" t="s">
        <v>2506</v>
      </c>
      <c r="B930">
        <v>45898</v>
      </c>
      <c r="C930" t="s">
        <v>1274</v>
      </c>
      <c r="D930" t="s">
        <v>111</v>
      </c>
      <c r="E930" t="s">
        <v>3</v>
      </c>
      <c r="F930">
        <v>6060</v>
      </c>
      <c r="G930" t="s">
        <v>60</v>
      </c>
      <c r="H930" t="s">
        <v>2504</v>
      </c>
      <c r="I930" t="s">
        <v>71</v>
      </c>
      <c r="J930">
        <v>-161531</v>
      </c>
      <c r="K930" t="s">
        <v>1276</v>
      </c>
      <c r="L930" t="s">
        <v>2507</v>
      </c>
      <c r="M930" t="s">
        <v>3</v>
      </c>
      <c r="N930" t="s">
        <v>74</v>
      </c>
      <c r="O930" s="25" t="s">
        <v>3827</v>
      </c>
      <c r="P930" s="25">
        <v>1</v>
      </c>
      <c r="Q930" s="25">
        <v>-161531</v>
      </c>
      <c r="R930" s="25" t="s">
        <v>48</v>
      </c>
      <c r="S930" s="25" t="s">
        <v>48</v>
      </c>
      <c r="T930" s="25">
        <f t="shared" si="14"/>
        <v>-161531</v>
      </c>
    </row>
    <row r="931" spans="1:20">
      <c r="A931" t="s">
        <v>2508</v>
      </c>
      <c r="B931">
        <v>45898</v>
      </c>
      <c r="C931" t="s">
        <v>1274</v>
      </c>
      <c r="D931" t="s">
        <v>88</v>
      </c>
      <c r="E931" t="s">
        <v>3</v>
      </c>
      <c r="F931">
        <v>6060</v>
      </c>
      <c r="G931" t="s">
        <v>60</v>
      </c>
      <c r="H931" t="s">
        <v>2504</v>
      </c>
      <c r="I931" t="s">
        <v>71</v>
      </c>
      <c r="J931">
        <v>-100722</v>
      </c>
      <c r="K931" t="s">
        <v>1276</v>
      </c>
      <c r="L931" t="s">
        <v>2509</v>
      </c>
      <c r="M931" t="s">
        <v>3</v>
      </c>
      <c r="N931" t="s">
        <v>74</v>
      </c>
      <c r="O931" s="25" t="s">
        <v>3827</v>
      </c>
      <c r="P931" s="25">
        <v>1</v>
      </c>
      <c r="Q931" s="25">
        <v>-100722</v>
      </c>
      <c r="R931" s="25" t="s">
        <v>48</v>
      </c>
      <c r="S931" s="25" t="s">
        <v>48</v>
      </c>
      <c r="T931" s="25">
        <f t="shared" si="14"/>
        <v>-100722</v>
      </c>
    </row>
    <row r="932" spans="1:20">
      <c r="A932" t="s">
        <v>2510</v>
      </c>
      <c r="B932">
        <v>45899</v>
      </c>
      <c r="C932" t="s">
        <v>93</v>
      </c>
      <c r="D932" t="s">
        <v>94</v>
      </c>
      <c r="E932" t="s">
        <v>95</v>
      </c>
      <c r="F932">
        <v>4000</v>
      </c>
      <c r="G932" t="s">
        <v>25</v>
      </c>
      <c r="H932" t="s">
        <v>2511</v>
      </c>
      <c r="I932" t="s">
        <v>71</v>
      </c>
      <c r="J932">
        <v>40800</v>
      </c>
      <c r="K932" t="s">
        <v>3</v>
      </c>
      <c r="L932" t="s">
        <v>2512</v>
      </c>
      <c r="M932" t="s">
        <v>3</v>
      </c>
      <c r="N932" t="s">
        <v>74</v>
      </c>
      <c r="O932" s="25" t="s">
        <v>3827</v>
      </c>
      <c r="P932" s="25">
        <v>1</v>
      </c>
      <c r="Q932" s="25">
        <v>40800</v>
      </c>
      <c r="R932" s="25" t="s">
        <v>26</v>
      </c>
      <c r="S932" s="25" t="s">
        <v>26</v>
      </c>
      <c r="T932" s="25">
        <f t="shared" si="14"/>
        <v>40800</v>
      </c>
    </row>
    <row r="933" spans="1:20">
      <c r="A933" t="s">
        <v>2513</v>
      </c>
      <c r="B933">
        <v>45899</v>
      </c>
      <c r="C933" t="s">
        <v>93</v>
      </c>
      <c r="D933" t="s">
        <v>94</v>
      </c>
      <c r="E933" t="s">
        <v>99</v>
      </c>
      <c r="F933">
        <v>4000</v>
      </c>
      <c r="G933" t="s">
        <v>25</v>
      </c>
      <c r="H933" t="s">
        <v>2514</v>
      </c>
      <c r="I933" t="s">
        <v>71</v>
      </c>
      <c r="J933">
        <v>35100</v>
      </c>
      <c r="K933" t="s">
        <v>3</v>
      </c>
      <c r="L933" t="s">
        <v>2515</v>
      </c>
      <c r="M933" t="s">
        <v>3</v>
      </c>
      <c r="N933" t="s">
        <v>74</v>
      </c>
      <c r="O933" s="25" t="s">
        <v>3827</v>
      </c>
      <c r="P933" s="25">
        <v>1</v>
      </c>
      <c r="Q933" s="25">
        <v>35100</v>
      </c>
      <c r="R933" s="25" t="s">
        <v>26</v>
      </c>
      <c r="S933" s="25" t="s">
        <v>26</v>
      </c>
      <c r="T933" s="25">
        <f t="shared" si="14"/>
        <v>35100</v>
      </c>
    </row>
    <row r="934" spans="1:20">
      <c r="A934" t="s">
        <v>2516</v>
      </c>
      <c r="B934">
        <v>45899</v>
      </c>
      <c r="C934" t="s">
        <v>93</v>
      </c>
      <c r="D934" t="s">
        <v>94</v>
      </c>
      <c r="E934" t="s">
        <v>103</v>
      </c>
      <c r="F934">
        <v>4000</v>
      </c>
      <c r="G934" t="s">
        <v>25</v>
      </c>
      <c r="H934" t="s">
        <v>2517</v>
      </c>
      <c r="I934" t="s">
        <v>71</v>
      </c>
      <c r="J934">
        <v>36700</v>
      </c>
      <c r="K934" t="s">
        <v>3</v>
      </c>
      <c r="L934" t="s">
        <v>2518</v>
      </c>
      <c r="M934" t="s">
        <v>3</v>
      </c>
      <c r="N934" t="s">
        <v>74</v>
      </c>
      <c r="O934" s="25" t="s">
        <v>3827</v>
      </c>
      <c r="P934" s="25">
        <v>1</v>
      </c>
      <c r="Q934" s="25">
        <v>36700</v>
      </c>
      <c r="R934" s="25" t="s">
        <v>26</v>
      </c>
      <c r="S934" s="25" t="s">
        <v>26</v>
      </c>
      <c r="T934" s="25">
        <f t="shared" si="14"/>
        <v>36700</v>
      </c>
    </row>
    <row r="935" spans="1:20">
      <c r="A935" t="s">
        <v>2519</v>
      </c>
      <c r="B935">
        <v>45899</v>
      </c>
      <c r="C935" t="s">
        <v>93</v>
      </c>
      <c r="D935" t="s">
        <v>94</v>
      </c>
      <c r="E935" t="s">
        <v>160</v>
      </c>
      <c r="F935">
        <v>4000</v>
      </c>
      <c r="G935" t="s">
        <v>25</v>
      </c>
      <c r="H935" t="s">
        <v>2520</v>
      </c>
      <c r="I935" t="s">
        <v>71</v>
      </c>
      <c r="J935">
        <v>39300</v>
      </c>
      <c r="K935" t="s">
        <v>3</v>
      </c>
      <c r="L935" t="s">
        <v>2518</v>
      </c>
      <c r="M935" t="s">
        <v>3</v>
      </c>
      <c r="N935" t="s">
        <v>74</v>
      </c>
      <c r="O935" s="25" t="s">
        <v>3827</v>
      </c>
      <c r="P935" s="25">
        <v>1</v>
      </c>
      <c r="Q935" s="25">
        <v>39300</v>
      </c>
      <c r="R935" s="25" t="s">
        <v>26</v>
      </c>
      <c r="S935" s="25" t="s">
        <v>26</v>
      </c>
      <c r="T935" s="25">
        <f t="shared" si="14"/>
        <v>39300</v>
      </c>
    </row>
    <row r="936" spans="1:20">
      <c r="A936" t="s">
        <v>2521</v>
      </c>
      <c r="B936">
        <v>45899</v>
      </c>
      <c r="C936" t="s">
        <v>93</v>
      </c>
      <c r="D936" t="s">
        <v>94</v>
      </c>
      <c r="E936" t="s">
        <v>107</v>
      </c>
      <c r="F936">
        <v>4000</v>
      </c>
      <c r="G936" t="s">
        <v>25</v>
      </c>
      <c r="H936" t="s">
        <v>2522</v>
      </c>
      <c r="I936" t="s">
        <v>71</v>
      </c>
      <c r="J936">
        <v>34300</v>
      </c>
      <c r="K936" t="s">
        <v>3</v>
      </c>
      <c r="L936" t="s">
        <v>2523</v>
      </c>
      <c r="M936" t="s">
        <v>3</v>
      </c>
      <c r="N936" t="s">
        <v>74</v>
      </c>
      <c r="O936" s="25" t="s">
        <v>3827</v>
      </c>
      <c r="P936" s="25">
        <v>1</v>
      </c>
      <c r="Q936" s="25">
        <v>34300</v>
      </c>
      <c r="R936" s="25" t="s">
        <v>26</v>
      </c>
      <c r="S936" s="25" t="s">
        <v>26</v>
      </c>
      <c r="T936" s="25">
        <f t="shared" si="14"/>
        <v>34300</v>
      </c>
    </row>
    <row r="937" spans="1:20">
      <c r="A937" t="s">
        <v>2524</v>
      </c>
      <c r="B937">
        <v>45899</v>
      </c>
      <c r="C937" t="s">
        <v>93</v>
      </c>
      <c r="D937" t="s">
        <v>111</v>
      </c>
      <c r="E937" t="s">
        <v>112</v>
      </c>
      <c r="F937">
        <v>4000</v>
      </c>
      <c r="G937" t="s">
        <v>25</v>
      </c>
      <c r="H937" t="s">
        <v>2525</v>
      </c>
      <c r="I937" t="s">
        <v>71</v>
      </c>
      <c r="J937">
        <v>67100</v>
      </c>
      <c r="K937" t="s">
        <v>3</v>
      </c>
      <c r="L937" t="s">
        <v>2526</v>
      </c>
      <c r="M937" t="s">
        <v>3</v>
      </c>
      <c r="N937" t="s">
        <v>74</v>
      </c>
      <c r="O937" s="25" t="s">
        <v>3827</v>
      </c>
      <c r="P937" s="25">
        <v>1</v>
      </c>
      <c r="Q937" s="25">
        <v>67100</v>
      </c>
      <c r="R937" s="25" t="s">
        <v>26</v>
      </c>
      <c r="S937" s="25" t="s">
        <v>26</v>
      </c>
      <c r="T937" s="25">
        <f t="shared" si="14"/>
        <v>67100</v>
      </c>
    </row>
    <row r="938" spans="1:20">
      <c r="A938" t="s">
        <v>2527</v>
      </c>
      <c r="B938">
        <v>45899</v>
      </c>
      <c r="C938" t="s">
        <v>93</v>
      </c>
      <c r="D938" t="s">
        <v>111</v>
      </c>
      <c r="E938" t="s">
        <v>116</v>
      </c>
      <c r="F938">
        <v>4000</v>
      </c>
      <c r="G938" t="s">
        <v>25</v>
      </c>
      <c r="H938" t="s">
        <v>2528</v>
      </c>
      <c r="I938" t="s">
        <v>71</v>
      </c>
      <c r="J938">
        <v>63400</v>
      </c>
      <c r="K938" t="s">
        <v>3</v>
      </c>
      <c r="L938" t="s">
        <v>2526</v>
      </c>
      <c r="M938" t="s">
        <v>3</v>
      </c>
      <c r="N938" t="s">
        <v>74</v>
      </c>
      <c r="O938" s="25" t="s">
        <v>3827</v>
      </c>
      <c r="P938" s="25">
        <v>1</v>
      </c>
      <c r="Q938" s="25">
        <v>63400</v>
      </c>
      <c r="R938" s="25" t="s">
        <v>26</v>
      </c>
      <c r="S938" s="25" t="s">
        <v>26</v>
      </c>
      <c r="T938" s="25">
        <f t="shared" si="14"/>
        <v>63400</v>
      </c>
    </row>
    <row r="939" spans="1:20">
      <c r="A939" t="s">
        <v>2529</v>
      </c>
      <c r="B939">
        <v>45899</v>
      </c>
      <c r="C939" t="s">
        <v>93</v>
      </c>
      <c r="D939" t="s">
        <v>111</v>
      </c>
      <c r="E939" t="s">
        <v>119</v>
      </c>
      <c r="F939">
        <v>4000</v>
      </c>
      <c r="G939" t="s">
        <v>25</v>
      </c>
      <c r="H939" t="s">
        <v>2530</v>
      </c>
      <c r="I939" t="s">
        <v>71</v>
      </c>
      <c r="J939">
        <v>61200</v>
      </c>
      <c r="K939" t="s">
        <v>3</v>
      </c>
      <c r="L939" t="s">
        <v>2526</v>
      </c>
      <c r="M939" t="s">
        <v>3</v>
      </c>
      <c r="N939" t="s">
        <v>74</v>
      </c>
      <c r="O939" s="25" t="s">
        <v>3827</v>
      </c>
      <c r="P939" s="25">
        <v>1</v>
      </c>
      <c r="Q939" s="25">
        <v>61200</v>
      </c>
      <c r="R939" s="25" t="s">
        <v>26</v>
      </c>
      <c r="S939" s="25" t="s">
        <v>26</v>
      </c>
      <c r="T939" s="25">
        <f t="shared" si="14"/>
        <v>61200</v>
      </c>
    </row>
    <row r="940" spans="1:20">
      <c r="A940" t="s">
        <v>2531</v>
      </c>
      <c r="B940">
        <v>45899</v>
      </c>
      <c r="C940" t="s">
        <v>93</v>
      </c>
      <c r="D940" t="s">
        <v>111</v>
      </c>
      <c r="E940" t="s">
        <v>122</v>
      </c>
      <c r="F940">
        <v>4000</v>
      </c>
      <c r="G940" t="s">
        <v>25</v>
      </c>
      <c r="H940" t="s">
        <v>2532</v>
      </c>
      <c r="I940" t="s">
        <v>71</v>
      </c>
      <c r="J940">
        <v>67300</v>
      </c>
      <c r="K940" t="s">
        <v>3</v>
      </c>
      <c r="L940" t="s">
        <v>2533</v>
      </c>
      <c r="M940" t="s">
        <v>3</v>
      </c>
      <c r="N940" t="s">
        <v>74</v>
      </c>
      <c r="O940" s="25" t="s">
        <v>3827</v>
      </c>
      <c r="P940" s="25">
        <v>1</v>
      </c>
      <c r="Q940" s="25">
        <v>67300</v>
      </c>
      <c r="R940" s="25" t="s">
        <v>26</v>
      </c>
      <c r="S940" s="25" t="s">
        <v>26</v>
      </c>
      <c r="T940" s="25">
        <f t="shared" si="14"/>
        <v>67300</v>
      </c>
    </row>
    <row r="941" spans="1:20">
      <c r="A941" t="s">
        <v>2534</v>
      </c>
      <c r="B941">
        <v>45899</v>
      </c>
      <c r="C941" t="s">
        <v>126</v>
      </c>
      <c r="D941" t="s">
        <v>88</v>
      </c>
      <c r="E941" t="s">
        <v>127</v>
      </c>
      <c r="F941">
        <v>4020</v>
      </c>
      <c r="G941" t="s">
        <v>30</v>
      </c>
      <c r="H941" t="s">
        <v>2535</v>
      </c>
      <c r="I941" t="s">
        <v>71</v>
      </c>
      <c r="J941">
        <v>45800</v>
      </c>
      <c r="K941" t="s">
        <v>129</v>
      </c>
      <c r="L941" t="s">
        <v>2536</v>
      </c>
      <c r="M941" t="s">
        <v>3</v>
      </c>
      <c r="N941" t="s">
        <v>74</v>
      </c>
      <c r="O941" s="25" t="s">
        <v>3827</v>
      </c>
      <c r="P941" s="25">
        <v>1</v>
      </c>
      <c r="Q941" s="25">
        <v>45800</v>
      </c>
      <c r="R941" s="25" t="s">
        <v>26</v>
      </c>
      <c r="S941" s="25" t="s">
        <v>26</v>
      </c>
      <c r="T941" s="25">
        <f t="shared" si="14"/>
        <v>45800</v>
      </c>
    </row>
    <row r="942" spans="1:20">
      <c r="A942" t="s">
        <v>2537</v>
      </c>
      <c r="B942">
        <v>45899</v>
      </c>
      <c r="C942" t="s">
        <v>126</v>
      </c>
      <c r="D942" t="s">
        <v>88</v>
      </c>
      <c r="E942" t="s">
        <v>132</v>
      </c>
      <c r="F942">
        <v>4020</v>
      </c>
      <c r="G942" t="s">
        <v>30</v>
      </c>
      <c r="H942" t="s">
        <v>2538</v>
      </c>
      <c r="I942" t="s">
        <v>71</v>
      </c>
      <c r="J942">
        <v>52700</v>
      </c>
      <c r="K942" t="s">
        <v>134</v>
      </c>
      <c r="L942" t="s">
        <v>2536</v>
      </c>
      <c r="M942" t="s">
        <v>3</v>
      </c>
      <c r="N942" t="s">
        <v>74</v>
      </c>
      <c r="O942" s="25" t="s">
        <v>3827</v>
      </c>
      <c r="P942" s="25">
        <v>1</v>
      </c>
      <c r="Q942" s="25">
        <v>52700</v>
      </c>
      <c r="R942" s="25" t="s">
        <v>26</v>
      </c>
      <c r="S942" s="25" t="s">
        <v>26</v>
      </c>
      <c r="T942" s="25">
        <f t="shared" si="14"/>
        <v>52700</v>
      </c>
    </row>
    <row r="943" spans="1:20">
      <c r="A943" t="s">
        <v>2539</v>
      </c>
      <c r="B943">
        <v>45899</v>
      </c>
      <c r="C943" t="s">
        <v>126</v>
      </c>
      <c r="D943" t="s">
        <v>88</v>
      </c>
      <c r="E943" t="s">
        <v>136</v>
      </c>
      <c r="F943">
        <v>4020</v>
      </c>
      <c r="G943" t="s">
        <v>30</v>
      </c>
      <c r="H943" t="s">
        <v>2540</v>
      </c>
      <c r="I943" t="s">
        <v>72</v>
      </c>
      <c r="J943">
        <v>33.14</v>
      </c>
      <c r="K943" t="s">
        <v>138</v>
      </c>
      <c r="L943" t="s">
        <v>2536</v>
      </c>
      <c r="M943" t="s">
        <v>3</v>
      </c>
      <c r="N943" t="s">
        <v>74</v>
      </c>
      <c r="O943" s="25" t="s">
        <v>3828</v>
      </c>
      <c r="P943" s="25">
        <v>1572</v>
      </c>
      <c r="Q943" s="25">
        <v>52096.08</v>
      </c>
      <c r="R943" s="25" t="s">
        <v>26</v>
      </c>
      <c r="S943" s="25" t="s">
        <v>26</v>
      </c>
      <c r="T943" s="25">
        <f t="shared" si="14"/>
        <v>52096.08</v>
      </c>
    </row>
    <row r="944" spans="1:20">
      <c r="A944" t="s">
        <v>2541</v>
      </c>
      <c r="B944">
        <v>45899</v>
      </c>
      <c r="C944" t="s">
        <v>126</v>
      </c>
      <c r="D944" t="s">
        <v>88</v>
      </c>
      <c r="E944" t="s">
        <v>140</v>
      </c>
      <c r="F944">
        <v>4020</v>
      </c>
      <c r="G944" t="s">
        <v>30</v>
      </c>
      <c r="H944" t="s">
        <v>2542</v>
      </c>
      <c r="I944" t="s">
        <v>71</v>
      </c>
      <c r="J944">
        <v>45400</v>
      </c>
      <c r="K944" t="s">
        <v>3</v>
      </c>
      <c r="L944" t="s">
        <v>2543</v>
      </c>
      <c r="M944" t="s">
        <v>3</v>
      </c>
      <c r="N944" t="s">
        <v>74</v>
      </c>
      <c r="O944" s="25" t="s">
        <v>3827</v>
      </c>
      <c r="P944" s="25">
        <v>1</v>
      </c>
      <c r="Q944" s="25">
        <v>45400</v>
      </c>
      <c r="R944" s="25" t="s">
        <v>26</v>
      </c>
      <c r="S944" s="25" t="s">
        <v>26</v>
      </c>
      <c r="T944" s="25">
        <f t="shared" si="14"/>
        <v>45400</v>
      </c>
    </row>
    <row r="945" spans="1:20">
      <c r="A945" t="s">
        <v>2544</v>
      </c>
      <c r="B945">
        <v>45899</v>
      </c>
      <c r="C945" t="s">
        <v>87</v>
      </c>
      <c r="D945" t="s">
        <v>94</v>
      </c>
      <c r="E945" t="s">
        <v>3</v>
      </c>
      <c r="F945">
        <v>5000</v>
      </c>
      <c r="G945" t="s">
        <v>34</v>
      </c>
      <c r="H945" t="s">
        <v>1630</v>
      </c>
      <c r="I945" t="s">
        <v>71</v>
      </c>
      <c r="J945">
        <v>-582000</v>
      </c>
      <c r="K945" t="s">
        <v>316</v>
      </c>
      <c r="L945" t="s">
        <v>2545</v>
      </c>
      <c r="M945" t="s">
        <v>3</v>
      </c>
      <c r="N945" t="s">
        <v>74</v>
      </c>
      <c r="O945" s="25" t="s">
        <v>3827</v>
      </c>
      <c r="P945" s="25">
        <v>1</v>
      </c>
      <c r="Q945" s="25">
        <v>-582000</v>
      </c>
      <c r="R945" s="25" t="s">
        <v>35</v>
      </c>
      <c r="S945" s="25" t="s">
        <v>35</v>
      </c>
      <c r="T945" s="25">
        <f t="shared" si="14"/>
        <v>-582000</v>
      </c>
    </row>
    <row r="946" spans="1:20">
      <c r="A946" t="s">
        <v>2546</v>
      </c>
      <c r="B946">
        <v>45899</v>
      </c>
      <c r="C946" t="s">
        <v>87</v>
      </c>
      <c r="D946" t="s">
        <v>88</v>
      </c>
      <c r="E946" t="s">
        <v>3</v>
      </c>
      <c r="F946">
        <v>5030</v>
      </c>
      <c r="G946" t="s">
        <v>41</v>
      </c>
      <c r="H946" t="s">
        <v>1428</v>
      </c>
      <c r="I946" t="s">
        <v>71</v>
      </c>
      <c r="J946">
        <v>-679000</v>
      </c>
      <c r="K946" t="s">
        <v>90</v>
      </c>
      <c r="L946" t="s">
        <v>2547</v>
      </c>
      <c r="M946" t="s">
        <v>3</v>
      </c>
      <c r="N946" t="s">
        <v>74</v>
      </c>
      <c r="O946" s="25" t="s">
        <v>3827</v>
      </c>
      <c r="P946" s="25">
        <v>1</v>
      </c>
      <c r="Q946" s="25">
        <v>-679000</v>
      </c>
      <c r="R946" s="25" t="s">
        <v>35</v>
      </c>
      <c r="S946" s="25" t="s">
        <v>35</v>
      </c>
      <c r="T946" s="25">
        <f t="shared" si="14"/>
        <v>-679000</v>
      </c>
    </row>
    <row r="947" spans="1:20">
      <c r="A947" t="s">
        <v>2548</v>
      </c>
      <c r="B947">
        <v>45900</v>
      </c>
      <c r="C947" t="s">
        <v>93</v>
      </c>
      <c r="D947" t="s">
        <v>94</v>
      </c>
      <c r="E947" t="s">
        <v>95</v>
      </c>
      <c r="F947">
        <v>4000</v>
      </c>
      <c r="G947" t="s">
        <v>25</v>
      </c>
      <c r="H947" t="s">
        <v>2549</v>
      </c>
      <c r="I947" t="s">
        <v>71</v>
      </c>
      <c r="J947">
        <v>34500</v>
      </c>
      <c r="K947" t="s">
        <v>3</v>
      </c>
      <c r="L947" t="s">
        <v>2550</v>
      </c>
      <c r="M947" t="s">
        <v>3</v>
      </c>
      <c r="N947" t="s">
        <v>74</v>
      </c>
      <c r="O947" s="25" t="s">
        <v>3827</v>
      </c>
      <c r="P947" s="25">
        <v>1</v>
      </c>
      <c r="Q947" s="25">
        <v>34500</v>
      </c>
      <c r="R947" s="25" t="s">
        <v>26</v>
      </c>
      <c r="S947" s="25" t="s">
        <v>26</v>
      </c>
      <c r="T947" s="25">
        <f t="shared" si="14"/>
        <v>34500</v>
      </c>
    </row>
    <row r="948" spans="1:20">
      <c r="A948" t="s">
        <v>2551</v>
      </c>
      <c r="B948">
        <v>45900</v>
      </c>
      <c r="C948" t="s">
        <v>93</v>
      </c>
      <c r="D948" t="s">
        <v>94</v>
      </c>
      <c r="E948" t="s">
        <v>99</v>
      </c>
      <c r="F948">
        <v>4000</v>
      </c>
      <c r="G948" t="s">
        <v>25</v>
      </c>
      <c r="H948" t="s">
        <v>2552</v>
      </c>
      <c r="I948" t="s">
        <v>71</v>
      </c>
      <c r="J948">
        <v>36700</v>
      </c>
      <c r="K948" t="s">
        <v>3</v>
      </c>
      <c r="L948" t="s">
        <v>2553</v>
      </c>
      <c r="M948" t="s">
        <v>3</v>
      </c>
      <c r="N948" t="s">
        <v>74</v>
      </c>
      <c r="O948" s="25" t="s">
        <v>3827</v>
      </c>
      <c r="P948" s="25">
        <v>1</v>
      </c>
      <c r="Q948" s="25">
        <v>36700</v>
      </c>
      <c r="R948" s="25" t="s">
        <v>26</v>
      </c>
      <c r="S948" s="25" t="s">
        <v>26</v>
      </c>
      <c r="T948" s="25">
        <f t="shared" si="14"/>
        <v>36700</v>
      </c>
    </row>
    <row r="949" spans="1:20">
      <c r="A949" t="s">
        <v>2554</v>
      </c>
      <c r="B949">
        <v>45900</v>
      </c>
      <c r="C949" t="s">
        <v>93</v>
      </c>
      <c r="D949" t="s">
        <v>94</v>
      </c>
      <c r="E949" t="s">
        <v>103</v>
      </c>
      <c r="F949">
        <v>4000</v>
      </c>
      <c r="G949" t="s">
        <v>25</v>
      </c>
      <c r="H949" t="s">
        <v>2555</v>
      </c>
      <c r="I949" t="s">
        <v>71</v>
      </c>
      <c r="J949">
        <v>38300</v>
      </c>
      <c r="K949" t="s">
        <v>3</v>
      </c>
      <c r="L949" t="s">
        <v>2556</v>
      </c>
      <c r="M949" t="s">
        <v>3</v>
      </c>
      <c r="N949" t="s">
        <v>74</v>
      </c>
      <c r="O949" s="25" t="s">
        <v>3827</v>
      </c>
      <c r="P949" s="25">
        <v>1</v>
      </c>
      <c r="Q949" s="25">
        <v>38300</v>
      </c>
      <c r="R949" s="25" t="s">
        <v>26</v>
      </c>
      <c r="S949" s="25" t="s">
        <v>26</v>
      </c>
      <c r="T949" s="25">
        <f t="shared" si="14"/>
        <v>38300</v>
      </c>
    </row>
    <row r="950" spans="1:20">
      <c r="A950" t="s">
        <v>2557</v>
      </c>
      <c r="B950">
        <v>45900</v>
      </c>
      <c r="C950" t="s">
        <v>93</v>
      </c>
      <c r="D950" t="s">
        <v>94</v>
      </c>
      <c r="E950" t="s">
        <v>160</v>
      </c>
      <c r="F950">
        <v>4000</v>
      </c>
      <c r="G950" t="s">
        <v>25</v>
      </c>
      <c r="H950" t="s">
        <v>2558</v>
      </c>
      <c r="I950" t="s">
        <v>71</v>
      </c>
      <c r="J950">
        <v>38900</v>
      </c>
      <c r="K950" t="s">
        <v>3</v>
      </c>
      <c r="L950" t="s">
        <v>2556</v>
      </c>
      <c r="M950" t="s">
        <v>3</v>
      </c>
      <c r="N950" t="s">
        <v>74</v>
      </c>
      <c r="O950" s="25" t="s">
        <v>3827</v>
      </c>
      <c r="P950" s="25">
        <v>1</v>
      </c>
      <c r="Q950" s="25">
        <v>38900</v>
      </c>
      <c r="R950" s="25" t="s">
        <v>26</v>
      </c>
      <c r="S950" s="25" t="s">
        <v>26</v>
      </c>
      <c r="T950" s="25">
        <f t="shared" si="14"/>
        <v>38900</v>
      </c>
    </row>
    <row r="951" spans="1:20">
      <c r="A951" t="s">
        <v>2559</v>
      </c>
      <c r="B951">
        <v>45900</v>
      </c>
      <c r="C951" t="s">
        <v>93</v>
      </c>
      <c r="D951" t="s">
        <v>94</v>
      </c>
      <c r="E951" t="s">
        <v>107</v>
      </c>
      <c r="F951">
        <v>4000</v>
      </c>
      <c r="G951" t="s">
        <v>25</v>
      </c>
      <c r="H951" t="s">
        <v>2560</v>
      </c>
      <c r="I951" t="s">
        <v>71</v>
      </c>
      <c r="J951">
        <v>35100</v>
      </c>
      <c r="K951" t="s">
        <v>3</v>
      </c>
      <c r="L951" t="s">
        <v>2561</v>
      </c>
      <c r="M951" t="s">
        <v>3</v>
      </c>
      <c r="N951" t="s">
        <v>74</v>
      </c>
      <c r="O951" s="25" t="s">
        <v>3827</v>
      </c>
      <c r="P951" s="25">
        <v>1</v>
      </c>
      <c r="Q951" s="25">
        <v>35100</v>
      </c>
      <c r="R951" s="25" t="s">
        <v>26</v>
      </c>
      <c r="S951" s="25" t="s">
        <v>26</v>
      </c>
      <c r="T951" s="25">
        <f t="shared" si="14"/>
        <v>35100</v>
      </c>
    </row>
    <row r="952" spans="1:20">
      <c r="A952" t="s">
        <v>2562</v>
      </c>
      <c r="B952">
        <v>45900</v>
      </c>
      <c r="C952" t="s">
        <v>93</v>
      </c>
      <c r="D952" t="s">
        <v>111</v>
      </c>
      <c r="E952" t="s">
        <v>116</v>
      </c>
      <c r="F952">
        <v>4000</v>
      </c>
      <c r="G952" t="s">
        <v>25</v>
      </c>
      <c r="H952" t="s">
        <v>2563</v>
      </c>
      <c r="I952" t="s">
        <v>71</v>
      </c>
      <c r="J952">
        <v>65700</v>
      </c>
      <c r="K952" t="s">
        <v>3</v>
      </c>
      <c r="L952" t="s">
        <v>2564</v>
      </c>
      <c r="M952" t="s">
        <v>3</v>
      </c>
      <c r="N952" t="s">
        <v>74</v>
      </c>
      <c r="O952" s="25" t="s">
        <v>3827</v>
      </c>
      <c r="P952" s="25">
        <v>1</v>
      </c>
      <c r="Q952" s="25">
        <v>65700</v>
      </c>
      <c r="R952" s="25" t="s">
        <v>26</v>
      </c>
      <c r="S952" s="25" t="s">
        <v>26</v>
      </c>
      <c r="T952" s="25">
        <f t="shared" si="14"/>
        <v>65700</v>
      </c>
    </row>
    <row r="953" spans="1:20">
      <c r="A953" t="s">
        <v>2565</v>
      </c>
      <c r="B953">
        <v>45900</v>
      </c>
      <c r="C953" t="s">
        <v>93</v>
      </c>
      <c r="D953" t="s">
        <v>111</v>
      </c>
      <c r="E953" t="s">
        <v>119</v>
      </c>
      <c r="F953">
        <v>4000</v>
      </c>
      <c r="G953" t="s">
        <v>25</v>
      </c>
      <c r="H953" t="s">
        <v>2566</v>
      </c>
      <c r="I953" t="s">
        <v>71</v>
      </c>
      <c r="J953">
        <v>66600</v>
      </c>
      <c r="K953" t="s">
        <v>3</v>
      </c>
      <c r="L953" t="s">
        <v>2564</v>
      </c>
      <c r="M953" t="s">
        <v>3</v>
      </c>
      <c r="N953" t="s">
        <v>74</v>
      </c>
      <c r="O953" s="25" t="s">
        <v>3827</v>
      </c>
      <c r="P953" s="25">
        <v>1</v>
      </c>
      <c r="Q953" s="25">
        <v>66600</v>
      </c>
      <c r="R953" s="25" t="s">
        <v>26</v>
      </c>
      <c r="S953" s="25" t="s">
        <v>26</v>
      </c>
      <c r="T953" s="25">
        <f t="shared" si="14"/>
        <v>66600</v>
      </c>
    </row>
    <row r="954" spans="1:20">
      <c r="A954" t="s">
        <v>2567</v>
      </c>
      <c r="B954">
        <v>45900</v>
      </c>
      <c r="C954" t="s">
        <v>93</v>
      </c>
      <c r="D954" t="s">
        <v>111</v>
      </c>
      <c r="E954" t="s">
        <v>170</v>
      </c>
      <c r="F954">
        <v>4000</v>
      </c>
      <c r="G954" t="s">
        <v>25</v>
      </c>
      <c r="H954" t="s">
        <v>2568</v>
      </c>
      <c r="I954" t="s">
        <v>71</v>
      </c>
      <c r="J954">
        <v>63200</v>
      </c>
      <c r="K954" t="s">
        <v>3</v>
      </c>
      <c r="L954" t="s">
        <v>2564</v>
      </c>
      <c r="M954" t="s">
        <v>3</v>
      </c>
      <c r="N954" t="s">
        <v>74</v>
      </c>
      <c r="O954" s="25" t="s">
        <v>3827</v>
      </c>
      <c r="P954" s="25">
        <v>1</v>
      </c>
      <c r="Q954" s="25">
        <v>63200</v>
      </c>
      <c r="R954" s="25" t="s">
        <v>26</v>
      </c>
      <c r="S954" s="25" t="s">
        <v>26</v>
      </c>
      <c r="T954" s="25">
        <f t="shared" si="14"/>
        <v>63200</v>
      </c>
    </row>
    <row r="955" spans="1:20">
      <c r="A955" t="s">
        <v>2569</v>
      </c>
      <c r="B955">
        <v>45900</v>
      </c>
      <c r="C955" t="s">
        <v>93</v>
      </c>
      <c r="D955" t="s">
        <v>111</v>
      </c>
      <c r="E955" t="s">
        <v>122</v>
      </c>
      <c r="F955">
        <v>4000</v>
      </c>
      <c r="G955" t="s">
        <v>25</v>
      </c>
      <c r="H955" t="s">
        <v>2570</v>
      </c>
      <c r="I955" t="s">
        <v>71</v>
      </c>
      <c r="J955">
        <v>64500</v>
      </c>
      <c r="K955" t="s">
        <v>3</v>
      </c>
      <c r="L955" t="s">
        <v>2571</v>
      </c>
      <c r="M955" t="s">
        <v>3</v>
      </c>
      <c r="N955" t="s">
        <v>74</v>
      </c>
      <c r="O955" s="25" t="s">
        <v>3827</v>
      </c>
      <c r="P955" s="25">
        <v>1</v>
      </c>
      <c r="Q955" s="25">
        <v>64500</v>
      </c>
      <c r="R955" s="25" t="s">
        <v>26</v>
      </c>
      <c r="S955" s="25" t="s">
        <v>26</v>
      </c>
      <c r="T955" s="25">
        <f t="shared" si="14"/>
        <v>64500</v>
      </c>
    </row>
    <row r="956" spans="1:20">
      <c r="A956" t="s">
        <v>2572</v>
      </c>
      <c r="B956">
        <v>45900</v>
      </c>
      <c r="C956" t="s">
        <v>126</v>
      </c>
      <c r="D956" t="s">
        <v>88</v>
      </c>
      <c r="E956" t="s">
        <v>127</v>
      </c>
      <c r="F956">
        <v>4020</v>
      </c>
      <c r="G956" t="s">
        <v>30</v>
      </c>
      <c r="H956" t="s">
        <v>2573</v>
      </c>
      <c r="I956" t="s">
        <v>72</v>
      </c>
      <c r="J956">
        <v>31.74</v>
      </c>
      <c r="K956" t="s">
        <v>129</v>
      </c>
      <c r="L956" t="s">
        <v>2574</v>
      </c>
      <c r="M956" t="s">
        <v>3</v>
      </c>
      <c r="N956" t="s">
        <v>74</v>
      </c>
      <c r="O956" s="25" t="s">
        <v>3828</v>
      </c>
      <c r="P956" s="25">
        <v>1572</v>
      </c>
      <c r="Q956" s="25">
        <v>49895.28</v>
      </c>
      <c r="R956" s="25" t="s">
        <v>26</v>
      </c>
      <c r="S956" s="25" t="s">
        <v>26</v>
      </c>
      <c r="T956" s="25">
        <f t="shared" si="14"/>
        <v>49895.28</v>
      </c>
    </row>
    <row r="957" spans="1:20">
      <c r="A957" t="s">
        <v>2575</v>
      </c>
      <c r="B957">
        <v>45900</v>
      </c>
      <c r="C957" t="s">
        <v>126</v>
      </c>
      <c r="D957" t="s">
        <v>88</v>
      </c>
      <c r="E957" t="s">
        <v>132</v>
      </c>
      <c r="F957">
        <v>4020</v>
      </c>
      <c r="G957" t="s">
        <v>30</v>
      </c>
      <c r="H957" t="s">
        <v>2576</v>
      </c>
      <c r="I957" t="s">
        <v>72</v>
      </c>
      <c r="J957">
        <v>33.21</v>
      </c>
      <c r="K957" t="s">
        <v>134</v>
      </c>
      <c r="L957" t="s">
        <v>2574</v>
      </c>
      <c r="M957" t="s">
        <v>3</v>
      </c>
      <c r="N957" t="s">
        <v>74</v>
      </c>
      <c r="O957" s="25" t="s">
        <v>3828</v>
      </c>
      <c r="P957" s="25">
        <v>1572</v>
      </c>
      <c r="Q957" s="25">
        <v>52206.12</v>
      </c>
      <c r="R957" s="25" t="s">
        <v>26</v>
      </c>
      <c r="S957" s="25" t="s">
        <v>26</v>
      </c>
      <c r="T957" s="25">
        <f t="shared" si="14"/>
        <v>52206.12</v>
      </c>
    </row>
    <row r="958" spans="1:20">
      <c r="A958" t="s">
        <v>2577</v>
      </c>
      <c r="B958">
        <v>45900</v>
      </c>
      <c r="C958" t="s">
        <v>126</v>
      </c>
      <c r="D958" t="s">
        <v>88</v>
      </c>
      <c r="E958" t="s">
        <v>136</v>
      </c>
      <c r="F958">
        <v>4020</v>
      </c>
      <c r="G958" t="s">
        <v>30</v>
      </c>
      <c r="H958" t="s">
        <v>2578</v>
      </c>
      <c r="I958" t="s">
        <v>71</v>
      </c>
      <c r="J958">
        <v>44200</v>
      </c>
      <c r="K958" t="s">
        <v>138</v>
      </c>
      <c r="L958" t="s">
        <v>2574</v>
      </c>
      <c r="M958" t="s">
        <v>3</v>
      </c>
      <c r="N958" t="s">
        <v>74</v>
      </c>
      <c r="O958" s="25" t="s">
        <v>3827</v>
      </c>
      <c r="P958" s="25">
        <v>1</v>
      </c>
      <c r="Q958" s="25">
        <v>44200</v>
      </c>
      <c r="R958" s="25" t="s">
        <v>26</v>
      </c>
      <c r="S958" s="25" t="s">
        <v>26</v>
      </c>
      <c r="T958" s="25">
        <f t="shared" si="14"/>
        <v>44200</v>
      </c>
    </row>
    <row r="959" spans="1:20">
      <c r="A959" t="s">
        <v>2579</v>
      </c>
      <c r="B959">
        <v>45900</v>
      </c>
      <c r="C959" t="s">
        <v>126</v>
      </c>
      <c r="D959" t="s">
        <v>88</v>
      </c>
      <c r="E959" t="s">
        <v>140</v>
      </c>
      <c r="F959">
        <v>4020</v>
      </c>
      <c r="G959" t="s">
        <v>30</v>
      </c>
      <c r="H959" t="s">
        <v>2580</v>
      </c>
      <c r="I959" t="s">
        <v>71</v>
      </c>
      <c r="J959">
        <v>52700</v>
      </c>
      <c r="K959" t="s">
        <v>3</v>
      </c>
      <c r="L959" t="s">
        <v>2581</v>
      </c>
      <c r="M959" t="s">
        <v>3</v>
      </c>
      <c r="N959" t="s">
        <v>74</v>
      </c>
      <c r="O959" s="25" t="s">
        <v>3827</v>
      </c>
      <c r="P959" s="25">
        <v>1</v>
      </c>
      <c r="Q959" s="25">
        <v>52700</v>
      </c>
      <c r="R959" s="25" t="s">
        <v>26</v>
      </c>
      <c r="S959" s="25" t="s">
        <v>26</v>
      </c>
      <c r="T959" s="25">
        <f t="shared" si="14"/>
        <v>52700</v>
      </c>
    </row>
    <row r="960" spans="1:20">
      <c r="A960" t="s">
        <v>2582</v>
      </c>
      <c r="B960">
        <v>45900</v>
      </c>
      <c r="C960" t="s">
        <v>93</v>
      </c>
      <c r="D960" t="s">
        <v>111</v>
      </c>
      <c r="E960" t="s">
        <v>112</v>
      </c>
      <c r="F960">
        <v>4900</v>
      </c>
      <c r="G960" t="s">
        <v>32</v>
      </c>
      <c r="H960" t="s">
        <v>2583</v>
      </c>
      <c r="I960" t="s">
        <v>71</v>
      </c>
      <c r="J960">
        <v>-72105</v>
      </c>
      <c r="K960" t="s">
        <v>3</v>
      </c>
      <c r="L960" t="s">
        <v>2584</v>
      </c>
      <c r="M960" t="s">
        <v>3</v>
      </c>
      <c r="N960" t="s">
        <v>74</v>
      </c>
      <c r="O960" s="25" t="s">
        <v>3827</v>
      </c>
      <c r="P960" s="25">
        <v>1</v>
      </c>
      <c r="Q960" s="25">
        <v>-72105</v>
      </c>
      <c r="R960" s="25" t="s">
        <v>26</v>
      </c>
      <c r="S960" s="25" t="s">
        <v>26</v>
      </c>
      <c r="T960" s="25">
        <f t="shared" si="14"/>
        <v>-72105</v>
      </c>
    </row>
    <row r="961" spans="1:20">
      <c r="A961" t="s">
        <v>2585</v>
      </c>
      <c r="B961">
        <v>45900</v>
      </c>
      <c r="C961" t="s">
        <v>87</v>
      </c>
      <c r="D961" t="s">
        <v>94</v>
      </c>
      <c r="E961" t="s">
        <v>3</v>
      </c>
      <c r="F961">
        <v>5050</v>
      </c>
      <c r="G961" t="s">
        <v>45</v>
      </c>
      <c r="H961" t="s">
        <v>2157</v>
      </c>
      <c r="I961" t="s">
        <v>71</v>
      </c>
      <c r="J961">
        <v>-195000</v>
      </c>
      <c r="K961" t="s">
        <v>668</v>
      </c>
      <c r="L961" t="s">
        <v>2586</v>
      </c>
      <c r="M961" t="s">
        <v>3</v>
      </c>
      <c r="N961" t="s">
        <v>74</v>
      </c>
      <c r="O961" s="25" t="s">
        <v>3827</v>
      </c>
      <c r="P961" s="25">
        <v>1</v>
      </c>
      <c r="Q961" s="25">
        <v>-195000</v>
      </c>
      <c r="R961" s="25" t="s">
        <v>35</v>
      </c>
      <c r="S961" s="25" t="s">
        <v>35</v>
      </c>
      <c r="T961" s="25">
        <f t="shared" si="14"/>
        <v>-195000</v>
      </c>
    </row>
    <row r="962" spans="1:20">
      <c r="A962" t="s">
        <v>2587</v>
      </c>
      <c r="B962">
        <v>45900</v>
      </c>
      <c r="C962" t="s">
        <v>87</v>
      </c>
      <c r="D962" t="s">
        <v>88</v>
      </c>
      <c r="E962" t="s">
        <v>3</v>
      </c>
      <c r="F962">
        <v>5040</v>
      </c>
      <c r="G962" t="s">
        <v>43</v>
      </c>
      <c r="H962" t="s">
        <v>1431</v>
      </c>
      <c r="I962" t="s">
        <v>71</v>
      </c>
      <c r="J962">
        <v>-641000</v>
      </c>
      <c r="K962" t="s">
        <v>398</v>
      </c>
      <c r="L962" t="s">
        <v>2588</v>
      </c>
      <c r="M962" t="s">
        <v>3</v>
      </c>
      <c r="N962" t="s">
        <v>74</v>
      </c>
      <c r="O962" s="25" t="s">
        <v>3827</v>
      </c>
      <c r="P962" s="25">
        <v>1</v>
      </c>
      <c r="Q962" s="25">
        <v>-641000</v>
      </c>
      <c r="R962" s="25" t="s">
        <v>35</v>
      </c>
      <c r="S962" s="25" t="s">
        <v>35</v>
      </c>
      <c r="T962" s="25">
        <f t="shared" ref="T962:T1025" si="15">IF(AND(S962="Revenue",G962&lt;&gt;"Refunds &amp; Chargebacks"),ABS(Q962),-ABS(Q962))</f>
        <v>-641000</v>
      </c>
    </row>
    <row r="963" spans="1:20">
      <c r="A963" t="s">
        <v>2589</v>
      </c>
      <c r="B963">
        <v>45901</v>
      </c>
      <c r="C963" t="s">
        <v>93</v>
      </c>
      <c r="D963" t="s">
        <v>94</v>
      </c>
      <c r="E963" t="s">
        <v>95</v>
      </c>
      <c r="F963">
        <v>4000</v>
      </c>
      <c r="G963" t="s">
        <v>25</v>
      </c>
      <c r="H963" t="s">
        <v>2590</v>
      </c>
      <c r="I963" t="s">
        <v>71</v>
      </c>
      <c r="J963">
        <v>33200</v>
      </c>
      <c r="K963" t="s">
        <v>3</v>
      </c>
      <c r="L963" t="s">
        <v>2591</v>
      </c>
      <c r="M963" t="s">
        <v>3</v>
      </c>
      <c r="N963" t="s">
        <v>75</v>
      </c>
      <c r="O963" s="25" t="s">
        <v>3830</v>
      </c>
      <c r="P963" s="25">
        <v>1</v>
      </c>
      <c r="Q963" s="25">
        <v>33200</v>
      </c>
      <c r="R963" s="25" t="s">
        <v>26</v>
      </c>
      <c r="S963" s="25" t="s">
        <v>26</v>
      </c>
      <c r="T963" s="25">
        <f t="shared" si="15"/>
        <v>33200</v>
      </c>
    </row>
    <row r="964" spans="1:20">
      <c r="A964" t="s">
        <v>2592</v>
      </c>
      <c r="B964">
        <v>45901</v>
      </c>
      <c r="C964" t="s">
        <v>93</v>
      </c>
      <c r="D964" t="s">
        <v>94</v>
      </c>
      <c r="E964" t="s">
        <v>99</v>
      </c>
      <c r="F964">
        <v>4000</v>
      </c>
      <c r="G964" t="s">
        <v>25</v>
      </c>
      <c r="H964" t="s">
        <v>2593</v>
      </c>
      <c r="I964" t="s">
        <v>71</v>
      </c>
      <c r="J964">
        <v>31600</v>
      </c>
      <c r="K964" t="s">
        <v>3</v>
      </c>
      <c r="L964" t="s">
        <v>2594</v>
      </c>
      <c r="M964" t="s">
        <v>3</v>
      </c>
      <c r="N964" t="s">
        <v>75</v>
      </c>
      <c r="O964" s="25" t="s">
        <v>3830</v>
      </c>
      <c r="P964" s="25">
        <v>1</v>
      </c>
      <c r="Q964" s="25">
        <v>31600</v>
      </c>
      <c r="R964" s="25" t="s">
        <v>26</v>
      </c>
      <c r="S964" s="25" t="s">
        <v>26</v>
      </c>
      <c r="T964" s="25">
        <f t="shared" si="15"/>
        <v>31600</v>
      </c>
    </row>
    <row r="965" spans="1:20">
      <c r="A965" t="s">
        <v>2595</v>
      </c>
      <c r="B965">
        <v>45901</v>
      </c>
      <c r="C965" t="s">
        <v>93</v>
      </c>
      <c r="D965" t="s">
        <v>94</v>
      </c>
      <c r="E965" t="s">
        <v>103</v>
      </c>
      <c r="F965">
        <v>4000</v>
      </c>
      <c r="G965" t="s">
        <v>25</v>
      </c>
      <c r="H965" t="s">
        <v>2596</v>
      </c>
      <c r="I965" t="s">
        <v>71</v>
      </c>
      <c r="J965">
        <v>31200</v>
      </c>
      <c r="K965" t="s">
        <v>3</v>
      </c>
      <c r="L965" t="s">
        <v>2597</v>
      </c>
      <c r="M965" t="s">
        <v>3</v>
      </c>
      <c r="N965" t="s">
        <v>75</v>
      </c>
      <c r="O965" s="25" t="s">
        <v>3830</v>
      </c>
      <c r="P965" s="25">
        <v>1</v>
      </c>
      <c r="Q965" s="25">
        <v>31200</v>
      </c>
      <c r="R965" s="25" t="s">
        <v>26</v>
      </c>
      <c r="S965" s="25" t="s">
        <v>26</v>
      </c>
      <c r="T965" s="25">
        <f t="shared" si="15"/>
        <v>31200</v>
      </c>
    </row>
    <row r="966" spans="1:20">
      <c r="A966" t="s">
        <v>2598</v>
      </c>
      <c r="B966">
        <v>45901</v>
      </c>
      <c r="C966" t="s">
        <v>93</v>
      </c>
      <c r="D966" t="s">
        <v>94</v>
      </c>
      <c r="E966" t="s">
        <v>160</v>
      </c>
      <c r="F966">
        <v>4000</v>
      </c>
      <c r="G966" t="s">
        <v>25</v>
      </c>
      <c r="H966" t="s">
        <v>2599</v>
      </c>
      <c r="I966" t="s">
        <v>71</v>
      </c>
      <c r="J966">
        <v>29000</v>
      </c>
      <c r="K966" t="s">
        <v>3</v>
      </c>
      <c r="L966" t="s">
        <v>2597</v>
      </c>
      <c r="M966" t="s">
        <v>3</v>
      </c>
      <c r="N966" t="s">
        <v>75</v>
      </c>
      <c r="O966" s="25" t="s">
        <v>3830</v>
      </c>
      <c r="P966" s="25">
        <v>1</v>
      </c>
      <c r="Q966" s="25">
        <v>29000</v>
      </c>
      <c r="R966" s="25" t="s">
        <v>26</v>
      </c>
      <c r="S966" s="25" t="s">
        <v>26</v>
      </c>
      <c r="T966" s="25">
        <f t="shared" si="15"/>
        <v>29000</v>
      </c>
    </row>
    <row r="967" spans="1:20">
      <c r="A967" t="s">
        <v>2600</v>
      </c>
      <c r="B967">
        <v>45901</v>
      </c>
      <c r="C967" t="s">
        <v>93</v>
      </c>
      <c r="D967" t="s">
        <v>94</v>
      </c>
      <c r="E967" t="s">
        <v>107</v>
      </c>
      <c r="F967">
        <v>4000</v>
      </c>
      <c r="G967" t="s">
        <v>25</v>
      </c>
      <c r="H967" t="s">
        <v>2601</v>
      </c>
      <c r="I967" t="s">
        <v>71</v>
      </c>
      <c r="J967">
        <v>28400</v>
      </c>
      <c r="K967" t="s">
        <v>3</v>
      </c>
      <c r="L967" t="s">
        <v>2602</v>
      </c>
      <c r="M967" t="s">
        <v>3</v>
      </c>
      <c r="N967" t="s">
        <v>75</v>
      </c>
      <c r="O967" s="25" t="s">
        <v>3830</v>
      </c>
      <c r="P967" s="25">
        <v>1</v>
      </c>
      <c r="Q967" s="25">
        <v>28400</v>
      </c>
      <c r="R967" s="25" t="s">
        <v>26</v>
      </c>
      <c r="S967" s="25" t="s">
        <v>26</v>
      </c>
      <c r="T967" s="25">
        <f t="shared" si="15"/>
        <v>28400</v>
      </c>
    </row>
    <row r="968" spans="1:20">
      <c r="A968" t="s">
        <v>2603</v>
      </c>
      <c r="B968">
        <v>45901</v>
      </c>
      <c r="C968" t="s">
        <v>93</v>
      </c>
      <c r="D968" t="s">
        <v>111</v>
      </c>
      <c r="E968" t="s">
        <v>116</v>
      </c>
      <c r="F968">
        <v>4000</v>
      </c>
      <c r="G968" t="s">
        <v>25</v>
      </c>
      <c r="H968" t="s">
        <v>2604</v>
      </c>
      <c r="I968" t="s">
        <v>71</v>
      </c>
      <c r="J968">
        <v>49900</v>
      </c>
      <c r="K968" t="s">
        <v>3</v>
      </c>
      <c r="L968" t="s">
        <v>2605</v>
      </c>
      <c r="M968" t="s">
        <v>3</v>
      </c>
      <c r="N968" t="s">
        <v>75</v>
      </c>
      <c r="O968" s="25" t="s">
        <v>3830</v>
      </c>
      <c r="P968" s="25">
        <v>1</v>
      </c>
      <c r="Q968" s="25">
        <v>49900</v>
      </c>
      <c r="R968" s="25" t="s">
        <v>26</v>
      </c>
      <c r="S968" s="25" t="s">
        <v>26</v>
      </c>
      <c r="T968" s="25">
        <f t="shared" si="15"/>
        <v>49900</v>
      </c>
    </row>
    <row r="969" spans="1:20">
      <c r="A969" t="s">
        <v>2606</v>
      </c>
      <c r="B969">
        <v>45901</v>
      </c>
      <c r="C969" t="s">
        <v>93</v>
      </c>
      <c r="D969" t="s">
        <v>111</v>
      </c>
      <c r="E969" t="s">
        <v>119</v>
      </c>
      <c r="F969">
        <v>4000</v>
      </c>
      <c r="G969" t="s">
        <v>25</v>
      </c>
      <c r="H969" t="s">
        <v>2607</v>
      </c>
      <c r="I969" t="s">
        <v>71</v>
      </c>
      <c r="J969">
        <v>49400</v>
      </c>
      <c r="K969" t="s">
        <v>3</v>
      </c>
      <c r="L969" t="s">
        <v>2605</v>
      </c>
      <c r="M969" t="s">
        <v>3</v>
      </c>
      <c r="N969" t="s">
        <v>75</v>
      </c>
      <c r="O969" s="25" t="s">
        <v>3830</v>
      </c>
      <c r="P969" s="25">
        <v>1</v>
      </c>
      <c r="Q969" s="25">
        <v>49400</v>
      </c>
      <c r="R969" s="25" t="s">
        <v>26</v>
      </c>
      <c r="S969" s="25" t="s">
        <v>26</v>
      </c>
      <c r="T969" s="25">
        <f t="shared" si="15"/>
        <v>49400</v>
      </c>
    </row>
    <row r="970" spans="1:20">
      <c r="A970" t="s">
        <v>2608</v>
      </c>
      <c r="B970">
        <v>45901</v>
      </c>
      <c r="C970" t="s">
        <v>93</v>
      </c>
      <c r="D970" t="s">
        <v>111</v>
      </c>
      <c r="E970" t="s">
        <v>170</v>
      </c>
      <c r="F970">
        <v>4000</v>
      </c>
      <c r="G970" t="s">
        <v>25</v>
      </c>
      <c r="H970" t="s">
        <v>2609</v>
      </c>
      <c r="I970" t="s">
        <v>71</v>
      </c>
      <c r="J970">
        <v>49700</v>
      </c>
      <c r="K970" t="s">
        <v>3</v>
      </c>
      <c r="L970" t="s">
        <v>2605</v>
      </c>
      <c r="M970" t="s">
        <v>3</v>
      </c>
      <c r="N970" t="s">
        <v>75</v>
      </c>
      <c r="O970" s="25" t="s">
        <v>3830</v>
      </c>
      <c r="P970" s="25">
        <v>1</v>
      </c>
      <c r="Q970" s="25">
        <v>49700</v>
      </c>
      <c r="R970" s="25" t="s">
        <v>26</v>
      </c>
      <c r="S970" s="25" t="s">
        <v>26</v>
      </c>
      <c r="T970" s="25">
        <f t="shared" si="15"/>
        <v>49700</v>
      </c>
    </row>
    <row r="971" spans="1:20">
      <c r="A971" t="s">
        <v>2610</v>
      </c>
      <c r="B971">
        <v>45901</v>
      </c>
      <c r="C971" t="s">
        <v>93</v>
      </c>
      <c r="D971" t="s">
        <v>111</v>
      </c>
      <c r="E971" t="s">
        <v>122</v>
      </c>
      <c r="F971">
        <v>4000</v>
      </c>
      <c r="G971" t="s">
        <v>25</v>
      </c>
      <c r="H971" t="s">
        <v>2611</v>
      </c>
      <c r="I971" t="s">
        <v>71</v>
      </c>
      <c r="J971">
        <v>51300</v>
      </c>
      <c r="K971" t="s">
        <v>3</v>
      </c>
      <c r="L971" t="s">
        <v>2612</v>
      </c>
      <c r="M971" t="s">
        <v>3</v>
      </c>
      <c r="N971" t="s">
        <v>75</v>
      </c>
      <c r="O971" s="25" t="s">
        <v>3830</v>
      </c>
      <c r="P971" s="25">
        <v>1</v>
      </c>
      <c r="Q971" s="25">
        <v>51300</v>
      </c>
      <c r="R971" s="25" t="s">
        <v>26</v>
      </c>
      <c r="S971" s="25" t="s">
        <v>26</v>
      </c>
      <c r="T971" s="25">
        <f t="shared" si="15"/>
        <v>51300</v>
      </c>
    </row>
    <row r="972" spans="1:20">
      <c r="A972" t="s">
        <v>2613</v>
      </c>
      <c r="B972">
        <v>45901</v>
      </c>
      <c r="C972" t="s">
        <v>126</v>
      </c>
      <c r="D972" t="s">
        <v>88</v>
      </c>
      <c r="E972" t="s">
        <v>127</v>
      </c>
      <c r="F972">
        <v>4020</v>
      </c>
      <c r="G972" t="s">
        <v>30</v>
      </c>
      <c r="H972" t="s">
        <v>2614</v>
      </c>
      <c r="I972" t="s">
        <v>71</v>
      </c>
      <c r="J972">
        <v>50300</v>
      </c>
      <c r="K972" t="s">
        <v>129</v>
      </c>
      <c r="L972" t="s">
        <v>2615</v>
      </c>
      <c r="M972" t="s">
        <v>3</v>
      </c>
      <c r="N972" t="s">
        <v>75</v>
      </c>
      <c r="O972" s="25" t="s">
        <v>3830</v>
      </c>
      <c r="P972" s="25">
        <v>1</v>
      </c>
      <c r="Q972" s="25">
        <v>50300</v>
      </c>
      <c r="R972" s="25" t="s">
        <v>26</v>
      </c>
      <c r="S972" s="25" t="s">
        <v>26</v>
      </c>
      <c r="T972" s="25">
        <f t="shared" si="15"/>
        <v>50300</v>
      </c>
    </row>
    <row r="973" spans="1:20">
      <c r="A973" t="s">
        <v>2616</v>
      </c>
      <c r="B973">
        <v>45901</v>
      </c>
      <c r="C973" t="s">
        <v>126</v>
      </c>
      <c r="D973" t="s">
        <v>88</v>
      </c>
      <c r="E973" t="s">
        <v>132</v>
      </c>
      <c r="F973">
        <v>4020</v>
      </c>
      <c r="G973" t="s">
        <v>30</v>
      </c>
      <c r="H973" t="s">
        <v>2617</v>
      </c>
      <c r="I973" t="s">
        <v>71</v>
      </c>
      <c r="J973">
        <v>59000</v>
      </c>
      <c r="K973" t="s">
        <v>134</v>
      </c>
      <c r="L973" t="s">
        <v>2615</v>
      </c>
      <c r="M973" t="s">
        <v>3</v>
      </c>
      <c r="N973" t="s">
        <v>75</v>
      </c>
      <c r="O973" s="25" t="s">
        <v>3830</v>
      </c>
      <c r="P973" s="25">
        <v>1</v>
      </c>
      <c r="Q973" s="25">
        <v>59000</v>
      </c>
      <c r="R973" s="25" t="s">
        <v>26</v>
      </c>
      <c r="S973" s="25" t="s">
        <v>26</v>
      </c>
      <c r="T973" s="25">
        <f t="shared" si="15"/>
        <v>59000</v>
      </c>
    </row>
    <row r="974" spans="1:20">
      <c r="A974" t="s">
        <v>2618</v>
      </c>
      <c r="B974">
        <v>45901</v>
      </c>
      <c r="C974" t="s">
        <v>126</v>
      </c>
      <c r="D974" t="s">
        <v>88</v>
      </c>
      <c r="E974" t="s">
        <v>136</v>
      </c>
      <c r="F974">
        <v>4020</v>
      </c>
      <c r="G974" t="s">
        <v>30</v>
      </c>
      <c r="H974" t="s">
        <v>2619</v>
      </c>
      <c r="I974" t="s">
        <v>71</v>
      </c>
      <c r="J974">
        <v>47700</v>
      </c>
      <c r="K974" t="s">
        <v>138</v>
      </c>
      <c r="L974" t="s">
        <v>2615</v>
      </c>
      <c r="M974" t="s">
        <v>3</v>
      </c>
      <c r="N974" t="s">
        <v>75</v>
      </c>
      <c r="O974" s="25" t="s">
        <v>3830</v>
      </c>
      <c r="P974" s="25">
        <v>1</v>
      </c>
      <c r="Q974" s="25">
        <v>47700</v>
      </c>
      <c r="R974" s="25" t="s">
        <v>26</v>
      </c>
      <c r="S974" s="25" t="s">
        <v>26</v>
      </c>
      <c r="T974" s="25">
        <f t="shared" si="15"/>
        <v>47700</v>
      </c>
    </row>
    <row r="975" spans="1:20">
      <c r="A975" t="s">
        <v>2620</v>
      </c>
      <c r="B975">
        <v>45901</v>
      </c>
      <c r="C975" t="s">
        <v>126</v>
      </c>
      <c r="D975" t="s">
        <v>88</v>
      </c>
      <c r="E975" t="s">
        <v>140</v>
      </c>
      <c r="F975">
        <v>4020</v>
      </c>
      <c r="G975" t="s">
        <v>30</v>
      </c>
      <c r="H975" t="s">
        <v>2621</v>
      </c>
      <c r="I975" t="s">
        <v>71</v>
      </c>
      <c r="J975">
        <v>50100</v>
      </c>
      <c r="K975" t="s">
        <v>3</v>
      </c>
      <c r="L975" t="s">
        <v>2622</v>
      </c>
      <c r="M975" t="s">
        <v>3</v>
      </c>
      <c r="N975" t="s">
        <v>75</v>
      </c>
      <c r="O975" s="25" t="s">
        <v>3830</v>
      </c>
      <c r="P975" s="25">
        <v>1</v>
      </c>
      <c r="Q975" s="25">
        <v>50100</v>
      </c>
      <c r="R975" s="25" t="s">
        <v>26</v>
      </c>
      <c r="S975" s="25" t="s">
        <v>26</v>
      </c>
      <c r="T975" s="25">
        <f t="shared" si="15"/>
        <v>50100</v>
      </c>
    </row>
    <row r="976" spans="1:20">
      <c r="A976" t="s">
        <v>2623</v>
      </c>
      <c r="B976">
        <v>45902</v>
      </c>
      <c r="C976" t="s">
        <v>93</v>
      </c>
      <c r="D976" t="s">
        <v>94</v>
      </c>
      <c r="E976" t="s">
        <v>95</v>
      </c>
      <c r="F976">
        <v>4000</v>
      </c>
      <c r="G976" t="s">
        <v>25</v>
      </c>
      <c r="H976" t="s">
        <v>2624</v>
      </c>
      <c r="I976" t="s">
        <v>71</v>
      </c>
      <c r="J976">
        <v>30000</v>
      </c>
      <c r="K976" t="s">
        <v>3</v>
      </c>
      <c r="L976" t="s">
        <v>2625</v>
      </c>
      <c r="M976" t="s">
        <v>3</v>
      </c>
      <c r="N976" t="s">
        <v>75</v>
      </c>
      <c r="O976" s="25" t="s">
        <v>3830</v>
      </c>
      <c r="P976" s="25">
        <v>1</v>
      </c>
      <c r="Q976" s="25">
        <v>30000</v>
      </c>
      <c r="R976" s="25" t="s">
        <v>26</v>
      </c>
      <c r="S976" s="25" t="s">
        <v>26</v>
      </c>
      <c r="T976" s="25">
        <f t="shared" si="15"/>
        <v>30000</v>
      </c>
    </row>
    <row r="977" spans="1:20">
      <c r="A977" t="s">
        <v>2626</v>
      </c>
      <c r="B977">
        <v>45902</v>
      </c>
      <c r="C977" t="s">
        <v>93</v>
      </c>
      <c r="D977" t="s">
        <v>94</v>
      </c>
      <c r="E977" t="s">
        <v>99</v>
      </c>
      <c r="F977">
        <v>4000</v>
      </c>
      <c r="G977" t="s">
        <v>25</v>
      </c>
      <c r="H977" t="s">
        <v>2627</v>
      </c>
      <c r="I977" t="s">
        <v>71</v>
      </c>
      <c r="J977">
        <v>32900</v>
      </c>
      <c r="K977" t="s">
        <v>3</v>
      </c>
      <c r="L977" t="s">
        <v>2628</v>
      </c>
      <c r="M977" t="s">
        <v>3</v>
      </c>
      <c r="N977" t="s">
        <v>75</v>
      </c>
      <c r="O977" s="25" t="s">
        <v>3830</v>
      </c>
      <c r="P977" s="25">
        <v>1</v>
      </c>
      <c r="Q977" s="25">
        <v>32900</v>
      </c>
      <c r="R977" s="25" t="s">
        <v>26</v>
      </c>
      <c r="S977" s="25" t="s">
        <v>26</v>
      </c>
      <c r="T977" s="25">
        <f t="shared" si="15"/>
        <v>32900</v>
      </c>
    </row>
    <row r="978" spans="1:20">
      <c r="A978" t="s">
        <v>2629</v>
      </c>
      <c r="B978">
        <v>45902</v>
      </c>
      <c r="C978" t="s">
        <v>93</v>
      </c>
      <c r="D978" t="s">
        <v>94</v>
      </c>
      <c r="E978" t="s">
        <v>160</v>
      </c>
      <c r="F978">
        <v>4000</v>
      </c>
      <c r="G978" t="s">
        <v>25</v>
      </c>
      <c r="H978" t="s">
        <v>2630</v>
      </c>
      <c r="I978" t="s">
        <v>71</v>
      </c>
      <c r="J978">
        <v>30300</v>
      </c>
      <c r="K978" t="s">
        <v>3</v>
      </c>
      <c r="L978" t="s">
        <v>2631</v>
      </c>
      <c r="M978" t="s">
        <v>3</v>
      </c>
      <c r="N978" t="s">
        <v>75</v>
      </c>
      <c r="O978" s="25" t="s">
        <v>3830</v>
      </c>
      <c r="P978" s="25">
        <v>1</v>
      </c>
      <c r="Q978" s="25">
        <v>30300</v>
      </c>
      <c r="R978" s="25" t="s">
        <v>26</v>
      </c>
      <c r="S978" s="25" t="s">
        <v>26</v>
      </c>
      <c r="T978" s="25">
        <f t="shared" si="15"/>
        <v>30300</v>
      </c>
    </row>
    <row r="979" spans="1:20">
      <c r="A979" t="s">
        <v>2632</v>
      </c>
      <c r="B979">
        <v>45902</v>
      </c>
      <c r="C979" t="s">
        <v>93</v>
      </c>
      <c r="D979" t="s">
        <v>94</v>
      </c>
      <c r="E979" t="s">
        <v>107</v>
      </c>
      <c r="F979">
        <v>4000</v>
      </c>
      <c r="G979" t="s">
        <v>25</v>
      </c>
      <c r="H979" t="s">
        <v>2633</v>
      </c>
      <c r="I979" t="s">
        <v>71</v>
      </c>
      <c r="J979">
        <v>28500</v>
      </c>
      <c r="K979" t="s">
        <v>3</v>
      </c>
      <c r="L979" t="s">
        <v>2634</v>
      </c>
      <c r="M979" t="s">
        <v>3</v>
      </c>
      <c r="N979" t="s">
        <v>75</v>
      </c>
      <c r="O979" s="25" t="s">
        <v>3830</v>
      </c>
      <c r="P979" s="25">
        <v>1</v>
      </c>
      <c r="Q979" s="25">
        <v>28500</v>
      </c>
      <c r="R979" s="25" t="s">
        <v>26</v>
      </c>
      <c r="S979" s="25" t="s">
        <v>26</v>
      </c>
      <c r="T979" s="25">
        <f t="shared" si="15"/>
        <v>28500</v>
      </c>
    </row>
    <row r="980" spans="1:20">
      <c r="A980" t="s">
        <v>2635</v>
      </c>
      <c r="B980">
        <v>45902</v>
      </c>
      <c r="C980" t="s">
        <v>93</v>
      </c>
      <c r="D980" t="s">
        <v>111</v>
      </c>
      <c r="E980" t="s">
        <v>112</v>
      </c>
      <c r="F980">
        <v>4000</v>
      </c>
      <c r="G980" t="s">
        <v>25</v>
      </c>
      <c r="H980" t="s">
        <v>2636</v>
      </c>
      <c r="I980" t="s">
        <v>71</v>
      </c>
      <c r="J980">
        <v>49200</v>
      </c>
      <c r="K980" t="s">
        <v>3</v>
      </c>
      <c r="L980" t="s">
        <v>2637</v>
      </c>
      <c r="M980" t="s">
        <v>3</v>
      </c>
      <c r="N980" t="s">
        <v>75</v>
      </c>
      <c r="O980" s="25" t="s">
        <v>3830</v>
      </c>
      <c r="P980" s="25">
        <v>1</v>
      </c>
      <c r="Q980" s="25">
        <v>49200</v>
      </c>
      <c r="R980" s="25" t="s">
        <v>26</v>
      </c>
      <c r="S980" s="25" t="s">
        <v>26</v>
      </c>
      <c r="T980" s="25">
        <f t="shared" si="15"/>
        <v>49200</v>
      </c>
    </row>
    <row r="981" spans="1:20">
      <c r="A981" t="s">
        <v>2638</v>
      </c>
      <c r="B981">
        <v>45902</v>
      </c>
      <c r="C981" t="s">
        <v>93</v>
      </c>
      <c r="D981" t="s">
        <v>111</v>
      </c>
      <c r="E981" t="s">
        <v>116</v>
      </c>
      <c r="F981">
        <v>4000</v>
      </c>
      <c r="G981" t="s">
        <v>25</v>
      </c>
      <c r="H981" t="s">
        <v>2639</v>
      </c>
      <c r="I981" t="s">
        <v>71</v>
      </c>
      <c r="J981">
        <v>51800</v>
      </c>
      <c r="K981" t="s">
        <v>3</v>
      </c>
      <c r="L981" t="s">
        <v>2637</v>
      </c>
      <c r="M981" t="s">
        <v>3</v>
      </c>
      <c r="N981" t="s">
        <v>75</v>
      </c>
      <c r="O981" s="25" t="s">
        <v>3830</v>
      </c>
      <c r="P981" s="25">
        <v>1</v>
      </c>
      <c r="Q981" s="25">
        <v>51800</v>
      </c>
      <c r="R981" s="25" t="s">
        <v>26</v>
      </c>
      <c r="S981" s="25" t="s">
        <v>26</v>
      </c>
      <c r="T981" s="25">
        <f t="shared" si="15"/>
        <v>51800</v>
      </c>
    </row>
    <row r="982" spans="1:20">
      <c r="A982" t="s">
        <v>2640</v>
      </c>
      <c r="B982">
        <v>45902</v>
      </c>
      <c r="C982" t="s">
        <v>93</v>
      </c>
      <c r="D982" t="s">
        <v>111</v>
      </c>
      <c r="E982" t="s">
        <v>119</v>
      </c>
      <c r="F982">
        <v>4000</v>
      </c>
      <c r="G982" t="s">
        <v>25</v>
      </c>
      <c r="H982" t="s">
        <v>2641</v>
      </c>
      <c r="I982" t="s">
        <v>71</v>
      </c>
      <c r="J982">
        <v>48500</v>
      </c>
      <c r="K982" t="s">
        <v>3</v>
      </c>
      <c r="L982" t="s">
        <v>2637</v>
      </c>
      <c r="M982" t="s">
        <v>3</v>
      </c>
      <c r="N982" t="s">
        <v>75</v>
      </c>
      <c r="O982" s="25" t="s">
        <v>3830</v>
      </c>
      <c r="P982" s="25">
        <v>1</v>
      </c>
      <c r="Q982" s="25">
        <v>48500</v>
      </c>
      <c r="R982" s="25" t="s">
        <v>26</v>
      </c>
      <c r="S982" s="25" t="s">
        <v>26</v>
      </c>
      <c r="T982" s="25">
        <f t="shared" si="15"/>
        <v>48500</v>
      </c>
    </row>
    <row r="983" spans="1:20">
      <c r="A983" t="s">
        <v>2642</v>
      </c>
      <c r="B983">
        <v>45902</v>
      </c>
      <c r="C983" t="s">
        <v>93</v>
      </c>
      <c r="D983" t="s">
        <v>111</v>
      </c>
      <c r="E983" t="s">
        <v>170</v>
      </c>
      <c r="F983">
        <v>4000</v>
      </c>
      <c r="G983" t="s">
        <v>25</v>
      </c>
      <c r="H983" t="s">
        <v>2643</v>
      </c>
      <c r="I983" t="s">
        <v>71</v>
      </c>
      <c r="J983">
        <v>53300</v>
      </c>
      <c r="K983" t="s">
        <v>3</v>
      </c>
      <c r="L983" t="s">
        <v>2637</v>
      </c>
      <c r="M983" t="s">
        <v>3</v>
      </c>
      <c r="N983" t="s">
        <v>75</v>
      </c>
      <c r="O983" s="25" t="s">
        <v>3830</v>
      </c>
      <c r="P983" s="25">
        <v>1</v>
      </c>
      <c r="Q983" s="25">
        <v>53300</v>
      </c>
      <c r="R983" s="25" t="s">
        <v>26</v>
      </c>
      <c r="S983" s="25" t="s">
        <v>26</v>
      </c>
      <c r="T983" s="25">
        <f t="shared" si="15"/>
        <v>53300</v>
      </c>
    </row>
    <row r="984" spans="1:20">
      <c r="A984" t="s">
        <v>2644</v>
      </c>
      <c r="B984">
        <v>45902</v>
      </c>
      <c r="C984" t="s">
        <v>93</v>
      </c>
      <c r="D984" t="s">
        <v>111</v>
      </c>
      <c r="E984" t="s">
        <v>122</v>
      </c>
      <c r="F984">
        <v>4000</v>
      </c>
      <c r="G984" t="s">
        <v>25</v>
      </c>
      <c r="H984" t="s">
        <v>2645</v>
      </c>
      <c r="I984" t="s">
        <v>71</v>
      </c>
      <c r="J984">
        <v>51800</v>
      </c>
      <c r="K984" t="s">
        <v>3</v>
      </c>
      <c r="L984" t="s">
        <v>2646</v>
      </c>
      <c r="M984" t="s">
        <v>3</v>
      </c>
      <c r="N984" t="s">
        <v>75</v>
      </c>
      <c r="O984" s="25" t="s">
        <v>3830</v>
      </c>
      <c r="P984" s="25">
        <v>1</v>
      </c>
      <c r="Q984" s="25">
        <v>51800</v>
      </c>
      <c r="R984" s="25" t="s">
        <v>26</v>
      </c>
      <c r="S984" s="25" t="s">
        <v>26</v>
      </c>
      <c r="T984" s="25">
        <f t="shared" si="15"/>
        <v>51800</v>
      </c>
    </row>
    <row r="985" spans="1:20">
      <c r="A985" t="s">
        <v>2647</v>
      </c>
      <c r="B985">
        <v>45902</v>
      </c>
      <c r="C985" t="s">
        <v>126</v>
      </c>
      <c r="D985" t="s">
        <v>88</v>
      </c>
      <c r="E985" t="s">
        <v>127</v>
      </c>
      <c r="F985">
        <v>4020</v>
      </c>
      <c r="G985" t="s">
        <v>30</v>
      </c>
      <c r="H985" t="s">
        <v>2648</v>
      </c>
      <c r="I985" t="s">
        <v>71</v>
      </c>
      <c r="J985">
        <v>48200</v>
      </c>
      <c r="K985" t="s">
        <v>129</v>
      </c>
      <c r="L985" t="s">
        <v>2649</v>
      </c>
      <c r="M985" t="s">
        <v>3</v>
      </c>
      <c r="N985" t="s">
        <v>75</v>
      </c>
      <c r="O985" s="25" t="s">
        <v>3830</v>
      </c>
      <c r="P985" s="25">
        <v>1</v>
      </c>
      <c r="Q985" s="25">
        <v>48200</v>
      </c>
      <c r="R985" s="25" t="s">
        <v>26</v>
      </c>
      <c r="S985" s="25" t="s">
        <v>26</v>
      </c>
      <c r="T985" s="25">
        <f t="shared" si="15"/>
        <v>48200</v>
      </c>
    </row>
    <row r="986" spans="1:20">
      <c r="A986" t="s">
        <v>2650</v>
      </c>
      <c r="B986">
        <v>45902</v>
      </c>
      <c r="C986" t="s">
        <v>126</v>
      </c>
      <c r="D986" t="s">
        <v>88</v>
      </c>
      <c r="E986" t="s">
        <v>132</v>
      </c>
      <c r="F986">
        <v>4020</v>
      </c>
      <c r="G986" t="s">
        <v>30</v>
      </c>
      <c r="H986" t="s">
        <v>2651</v>
      </c>
      <c r="I986" t="s">
        <v>71</v>
      </c>
      <c r="J986">
        <v>54200</v>
      </c>
      <c r="K986" t="s">
        <v>134</v>
      </c>
      <c r="L986" t="s">
        <v>2649</v>
      </c>
      <c r="M986" t="s">
        <v>3</v>
      </c>
      <c r="N986" t="s">
        <v>75</v>
      </c>
      <c r="O986" s="25" t="s">
        <v>3830</v>
      </c>
      <c r="P986" s="25">
        <v>1</v>
      </c>
      <c r="Q986" s="25">
        <v>54200</v>
      </c>
      <c r="R986" s="25" t="s">
        <v>26</v>
      </c>
      <c r="S986" s="25" t="s">
        <v>26</v>
      </c>
      <c r="T986" s="25">
        <f t="shared" si="15"/>
        <v>54200</v>
      </c>
    </row>
    <row r="987" spans="1:20">
      <c r="A987" t="s">
        <v>2652</v>
      </c>
      <c r="B987">
        <v>45902</v>
      </c>
      <c r="C987" t="s">
        <v>126</v>
      </c>
      <c r="D987" t="s">
        <v>88</v>
      </c>
      <c r="E987" t="s">
        <v>140</v>
      </c>
      <c r="F987">
        <v>4020</v>
      </c>
      <c r="G987" t="s">
        <v>30</v>
      </c>
      <c r="H987" t="s">
        <v>2653</v>
      </c>
      <c r="I987" t="s">
        <v>71</v>
      </c>
      <c r="J987">
        <v>55000</v>
      </c>
      <c r="K987" t="s">
        <v>3</v>
      </c>
      <c r="L987" t="s">
        <v>2654</v>
      </c>
      <c r="M987" t="s">
        <v>3</v>
      </c>
      <c r="N987" t="s">
        <v>75</v>
      </c>
      <c r="O987" s="25" t="s">
        <v>3830</v>
      </c>
      <c r="P987" s="25">
        <v>1</v>
      </c>
      <c r="Q987" s="25">
        <v>55000</v>
      </c>
      <c r="R987" s="25" t="s">
        <v>26</v>
      </c>
      <c r="S987" s="25" t="s">
        <v>26</v>
      </c>
      <c r="T987" s="25">
        <f t="shared" si="15"/>
        <v>55000</v>
      </c>
    </row>
    <row r="988" spans="1:20">
      <c r="A988" t="s">
        <v>2655</v>
      </c>
      <c r="B988">
        <v>45902</v>
      </c>
      <c r="C988" t="s">
        <v>87</v>
      </c>
      <c r="D988" t="s">
        <v>88</v>
      </c>
      <c r="E988" t="s">
        <v>3</v>
      </c>
      <c r="F988">
        <v>5030</v>
      </c>
      <c r="G988" t="s">
        <v>41</v>
      </c>
      <c r="H988" t="s">
        <v>2656</v>
      </c>
      <c r="I988" t="s">
        <v>71</v>
      </c>
      <c r="J988">
        <v>-599000</v>
      </c>
      <c r="K988" t="s">
        <v>90</v>
      </c>
      <c r="L988" t="s">
        <v>2657</v>
      </c>
      <c r="M988" t="s">
        <v>3</v>
      </c>
      <c r="N988" t="s">
        <v>75</v>
      </c>
      <c r="O988" s="25" t="s">
        <v>3830</v>
      </c>
      <c r="P988" s="25">
        <v>1</v>
      </c>
      <c r="Q988" s="25">
        <v>-599000</v>
      </c>
      <c r="R988" s="25" t="s">
        <v>35</v>
      </c>
      <c r="S988" s="25" t="s">
        <v>35</v>
      </c>
      <c r="T988" s="25">
        <f t="shared" si="15"/>
        <v>-599000</v>
      </c>
    </row>
    <row r="989" spans="1:20">
      <c r="A989" t="s">
        <v>2658</v>
      </c>
      <c r="B989">
        <v>45902</v>
      </c>
      <c r="C989" t="s">
        <v>87</v>
      </c>
      <c r="D989" t="s">
        <v>94</v>
      </c>
      <c r="E989" t="s">
        <v>3</v>
      </c>
      <c r="F989">
        <v>6040</v>
      </c>
      <c r="G989" t="s">
        <v>56</v>
      </c>
      <c r="H989" t="s">
        <v>2659</v>
      </c>
      <c r="I989" t="s">
        <v>72</v>
      </c>
      <c r="J989">
        <v>-820</v>
      </c>
      <c r="K989" t="s">
        <v>199</v>
      </c>
      <c r="L989" t="s">
        <v>2660</v>
      </c>
      <c r="M989" t="s">
        <v>3</v>
      </c>
      <c r="N989" t="s">
        <v>75</v>
      </c>
      <c r="O989" s="25" t="s">
        <v>3831</v>
      </c>
      <c r="P989" s="25">
        <v>1611</v>
      </c>
      <c r="Q989" s="25">
        <v>-1321020</v>
      </c>
      <c r="R989" s="25" t="s">
        <v>48</v>
      </c>
      <c r="S989" s="25" t="s">
        <v>48</v>
      </c>
      <c r="T989" s="25">
        <f t="shared" si="15"/>
        <v>-1321020</v>
      </c>
    </row>
    <row r="990" spans="1:20">
      <c r="A990" t="s">
        <v>2661</v>
      </c>
      <c r="B990">
        <v>45903</v>
      </c>
      <c r="C990" t="s">
        <v>93</v>
      </c>
      <c r="D990" t="s">
        <v>94</v>
      </c>
      <c r="E990" t="s">
        <v>95</v>
      </c>
      <c r="F990">
        <v>4000</v>
      </c>
      <c r="G990" t="s">
        <v>25</v>
      </c>
      <c r="H990" t="s">
        <v>2662</v>
      </c>
      <c r="I990" t="s">
        <v>71</v>
      </c>
      <c r="J990">
        <v>29000</v>
      </c>
      <c r="K990" t="s">
        <v>3</v>
      </c>
      <c r="L990" t="s">
        <v>2663</v>
      </c>
      <c r="M990" t="s">
        <v>3</v>
      </c>
      <c r="N990" t="s">
        <v>75</v>
      </c>
      <c r="O990" s="25" t="s">
        <v>3830</v>
      </c>
      <c r="P990" s="25">
        <v>1</v>
      </c>
      <c r="Q990" s="25">
        <v>29000</v>
      </c>
      <c r="R990" s="25" t="s">
        <v>26</v>
      </c>
      <c r="S990" s="25" t="s">
        <v>26</v>
      </c>
      <c r="T990" s="25">
        <f t="shared" si="15"/>
        <v>29000</v>
      </c>
    </row>
    <row r="991" spans="1:20">
      <c r="A991" t="s">
        <v>2664</v>
      </c>
      <c r="B991">
        <v>45903</v>
      </c>
      <c r="C991" t="s">
        <v>93</v>
      </c>
      <c r="D991" t="s">
        <v>94</v>
      </c>
      <c r="E991" t="s">
        <v>99</v>
      </c>
      <c r="F991">
        <v>4000</v>
      </c>
      <c r="G991" t="s">
        <v>25</v>
      </c>
      <c r="H991" t="s">
        <v>2665</v>
      </c>
      <c r="I991" t="s">
        <v>71</v>
      </c>
      <c r="J991">
        <v>31100</v>
      </c>
      <c r="K991" t="s">
        <v>3</v>
      </c>
      <c r="L991" t="s">
        <v>2666</v>
      </c>
      <c r="M991" t="s">
        <v>3</v>
      </c>
      <c r="N991" t="s">
        <v>75</v>
      </c>
      <c r="O991" s="25" t="s">
        <v>3830</v>
      </c>
      <c r="P991" s="25">
        <v>1</v>
      </c>
      <c r="Q991" s="25">
        <v>31100</v>
      </c>
      <c r="R991" s="25" t="s">
        <v>26</v>
      </c>
      <c r="S991" s="25" t="s">
        <v>26</v>
      </c>
      <c r="T991" s="25">
        <f t="shared" si="15"/>
        <v>31100</v>
      </c>
    </row>
    <row r="992" spans="1:20">
      <c r="A992" t="s">
        <v>2667</v>
      </c>
      <c r="B992">
        <v>45903</v>
      </c>
      <c r="C992" t="s">
        <v>93</v>
      </c>
      <c r="D992" t="s">
        <v>94</v>
      </c>
      <c r="E992" t="s">
        <v>103</v>
      </c>
      <c r="F992">
        <v>4000</v>
      </c>
      <c r="G992" t="s">
        <v>25</v>
      </c>
      <c r="H992" t="s">
        <v>2668</v>
      </c>
      <c r="I992" t="s">
        <v>71</v>
      </c>
      <c r="J992">
        <v>32300</v>
      </c>
      <c r="K992" t="s">
        <v>3</v>
      </c>
      <c r="L992" t="s">
        <v>2669</v>
      </c>
      <c r="M992" t="s">
        <v>3</v>
      </c>
      <c r="N992" t="s">
        <v>75</v>
      </c>
      <c r="O992" s="25" t="s">
        <v>3830</v>
      </c>
      <c r="P992" s="25">
        <v>1</v>
      </c>
      <c r="Q992" s="25">
        <v>32300</v>
      </c>
      <c r="R992" s="25" t="s">
        <v>26</v>
      </c>
      <c r="S992" s="25" t="s">
        <v>26</v>
      </c>
      <c r="T992" s="25">
        <f t="shared" si="15"/>
        <v>32300</v>
      </c>
    </row>
    <row r="993" spans="1:20">
      <c r="A993" t="s">
        <v>2670</v>
      </c>
      <c r="B993">
        <v>45903</v>
      </c>
      <c r="C993" t="s">
        <v>93</v>
      </c>
      <c r="D993" t="s">
        <v>111</v>
      </c>
      <c r="E993" t="s">
        <v>112</v>
      </c>
      <c r="F993">
        <v>4000</v>
      </c>
      <c r="G993" t="s">
        <v>25</v>
      </c>
      <c r="H993" t="s">
        <v>2671</v>
      </c>
      <c r="I993" t="s">
        <v>71</v>
      </c>
      <c r="J993">
        <v>51100</v>
      </c>
      <c r="K993" t="s">
        <v>3</v>
      </c>
      <c r="L993" t="s">
        <v>2672</v>
      </c>
      <c r="M993" t="s">
        <v>3</v>
      </c>
      <c r="N993" t="s">
        <v>75</v>
      </c>
      <c r="O993" s="25" t="s">
        <v>3830</v>
      </c>
      <c r="P993" s="25">
        <v>1</v>
      </c>
      <c r="Q993" s="25">
        <v>51100</v>
      </c>
      <c r="R993" s="25" t="s">
        <v>26</v>
      </c>
      <c r="S993" s="25" t="s">
        <v>26</v>
      </c>
      <c r="T993" s="25">
        <f t="shared" si="15"/>
        <v>51100</v>
      </c>
    </row>
    <row r="994" spans="1:20">
      <c r="A994" t="s">
        <v>2673</v>
      </c>
      <c r="B994">
        <v>45903</v>
      </c>
      <c r="C994" t="s">
        <v>93</v>
      </c>
      <c r="D994" t="s">
        <v>111</v>
      </c>
      <c r="E994" t="s">
        <v>116</v>
      </c>
      <c r="F994">
        <v>4000</v>
      </c>
      <c r="G994" t="s">
        <v>25</v>
      </c>
      <c r="H994" t="s">
        <v>2674</v>
      </c>
      <c r="I994" t="s">
        <v>71</v>
      </c>
      <c r="J994">
        <v>48700</v>
      </c>
      <c r="K994" t="s">
        <v>3</v>
      </c>
      <c r="L994" t="s">
        <v>2672</v>
      </c>
      <c r="M994" t="s">
        <v>3</v>
      </c>
      <c r="N994" t="s">
        <v>75</v>
      </c>
      <c r="O994" s="25" t="s">
        <v>3830</v>
      </c>
      <c r="P994" s="25">
        <v>1</v>
      </c>
      <c r="Q994" s="25">
        <v>48700</v>
      </c>
      <c r="R994" s="25" t="s">
        <v>26</v>
      </c>
      <c r="S994" s="25" t="s">
        <v>26</v>
      </c>
      <c r="T994" s="25">
        <f t="shared" si="15"/>
        <v>48700</v>
      </c>
    </row>
    <row r="995" spans="1:20">
      <c r="A995" t="s">
        <v>2675</v>
      </c>
      <c r="B995">
        <v>45903</v>
      </c>
      <c r="C995" t="s">
        <v>93</v>
      </c>
      <c r="D995" t="s">
        <v>111</v>
      </c>
      <c r="E995" t="s">
        <v>119</v>
      </c>
      <c r="F995">
        <v>4000</v>
      </c>
      <c r="G995" t="s">
        <v>25</v>
      </c>
      <c r="H995" t="s">
        <v>2676</v>
      </c>
      <c r="I995" t="s">
        <v>71</v>
      </c>
      <c r="J995">
        <v>49500</v>
      </c>
      <c r="K995" t="s">
        <v>3</v>
      </c>
      <c r="L995" t="s">
        <v>2672</v>
      </c>
      <c r="M995" t="s">
        <v>3</v>
      </c>
      <c r="N995" t="s">
        <v>75</v>
      </c>
      <c r="O995" s="25" t="s">
        <v>3830</v>
      </c>
      <c r="P995" s="25">
        <v>1</v>
      </c>
      <c r="Q995" s="25">
        <v>49500</v>
      </c>
      <c r="R995" s="25" t="s">
        <v>26</v>
      </c>
      <c r="S995" s="25" t="s">
        <v>26</v>
      </c>
      <c r="T995" s="25">
        <f t="shared" si="15"/>
        <v>49500</v>
      </c>
    </row>
    <row r="996" spans="1:20">
      <c r="A996" t="s">
        <v>2677</v>
      </c>
      <c r="B996">
        <v>45903</v>
      </c>
      <c r="C996" t="s">
        <v>93</v>
      </c>
      <c r="D996" t="s">
        <v>111</v>
      </c>
      <c r="E996" t="s">
        <v>170</v>
      </c>
      <c r="F996">
        <v>4000</v>
      </c>
      <c r="G996" t="s">
        <v>25</v>
      </c>
      <c r="H996" t="s">
        <v>2678</v>
      </c>
      <c r="I996" t="s">
        <v>71</v>
      </c>
      <c r="J996">
        <v>48800</v>
      </c>
      <c r="K996" t="s">
        <v>3</v>
      </c>
      <c r="L996" t="s">
        <v>2672</v>
      </c>
      <c r="M996" t="s">
        <v>3</v>
      </c>
      <c r="N996" t="s">
        <v>75</v>
      </c>
      <c r="O996" s="25" t="s">
        <v>3830</v>
      </c>
      <c r="P996" s="25">
        <v>1</v>
      </c>
      <c r="Q996" s="25">
        <v>48800</v>
      </c>
      <c r="R996" s="25" t="s">
        <v>26</v>
      </c>
      <c r="S996" s="25" t="s">
        <v>26</v>
      </c>
      <c r="T996" s="25">
        <f t="shared" si="15"/>
        <v>48800</v>
      </c>
    </row>
    <row r="997" spans="1:20">
      <c r="A997" t="s">
        <v>2679</v>
      </c>
      <c r="B997">
        <v>45903</v>
      </c>
      <c r="C997" t="s">
        <v>93</v>
      </c>
      <c r="D997" t="s">
        <v>111</v>
      </c>
      <c r="E997" t="s">
        <v>122</v>
      </c>
      <c r="F997">
        <v>4000</v>
      </c>
      <c r="G997" t="s">
        <v>25</v>
      </c>
      <c r="H997" t="s">
        <v>2680</v>
      </c>
      <c r="I997" t="s">
        <v>71</v>
      </c>
      <c r="J997">
        <v>49700</v>
      </c>
      <c r="K997" t="s">
        <v>3</v>
      </c>
      <c r="L997" t="s">
        <v>2681</v>
      </c>
      <c r="M997" t="s">
        <v>3</v>
      </c>
      <c r="N997" t="s">
        <v>75</v>
      </c>
      <c r="O997" s="25" t="s">
        <v>3830</v>
      </c>
      <c r="P997" s="25">
        <v>1</v>
      </c>
      <c r="Q997" s="25">
        <v>49700</v>
      </c>
      <c r="R997" s="25" t="s">
        <v>26</v>
      </c>
      <c r="S997" s="25" t="s">
        <v>26</v>
      </c>
      <c r="T997" s="25">
        <f t="shared" si="15"/>
        <v>49700</v>
      </c>
    </row>
    <row r="998" spans="1:20">
      <c r="A998" t="s">
        <v>2682</v>
      </c>
      <c r="B998">
        <v>45903</v>
      </c>
      <c r="C998" t="s">
        <v>126</v>
      </c>
      <c r="D998" t="s">
        <v>88</v>
      </c>
      <c r="E998" t="s">
        <v>127</v>
      </c>
      <c r="F998">
        <v>4020</v>
      </c>
      <c r="G998" t="s">
        <v>30</v>
      </c>
      <c r="H998" t="s">
        <v>2683</v>
      </c>
      <c r="I998" t="s">
        <v>71</v>
      </c>
      <c r="J998">
        <v>53200</v>
      </c>
      <c r="K998" t="s">
        <v>129</v>
      </c>
      <c r="L998" t="s">
        <v>2684</v>
      </c>
      <c r="M998" t="s">
        <v>3</v>
      </c>
      <c r="N998" t="s">
        <v>75</v>
      </c>
      <c r="O998" s="25" t="s">
        <v>3830</v>
      </c>
      <c r="P998" s="25">
        <v>1</v>
      </c>
      <c r="Q998" s="25">
        <v>53200</v>
      </c>
      <c r="R998" s="25" t="s">
        <v>26</v>
      </c>
      <c r="S998" s="25" t="s">
        <v>26</v>
      </c>
      <c r="T998" s="25">
        <f t="shared" si="15"/>
        <v>53200</v>
      </c>
    </row>
    <row r="999" spans="1:20">
      <c r="A999" t="s">
        <v>2685</v>
      </c>
      <c r="B999">
        <v>45903</v>
      </c>
      <c r="C999" t="s">
        <v>126</v>
      </c>
      <c r="D999" t="s">
        <v>88</v>
      </c>
      <c r="E999" t="s">
        <v>132</v>
      </c>
      <c r="F999">
        <v>4020</v>
      </c>
      <c r="G999" t="s">
        <v>30</v>
      </c>
      <c r="H999" t="s">
        <v>2686</v>
      </c>
      <c r="I999" t="s">
        <v>72</v>
      </c>
      <c r="J999">
        <v>30.97</v>
      </c>
      <c r="K999" t="s">
        <v>134</v>
      </c>
      <c r="L999" t="s">
        <v>2684</v>
      </c>
      <c r="M999" t="s">
        <v>3</v>
      </c>
      <c r="N999" t="s">
        <v>75</v>
      </c>
      <c r="O999" s="25" t="s">
        <v>3831</v>
      </c>
      <c r="P999" s="25">
        <v>1611</v>
      </c>
      <c r="Q999" s="25">
        <v>49892.67</v>
      </c>
      <c r="R999" s="25" t="s">
        <v>26</v>
      </c>
      <c r="S999" s="25" t="s">
        <v>26</v>
      </c>
      <c r="T999" s="25">
        <f t="shared" si="15"/>
        <v>49892.67</v>
      </c>
    </row>
    <row r="1000" spans="1:20">
      <c r="A1000" t="s">
        <v>2687</v>
      </c>
      <c r="B1000">
        <v>45903</v>
      </c>
      <c r="C1000" t="s">
        <v>126</v>
      </c>
      <c r="D1000" t="s">
        <v>88</v>
      </c>
      <c r="E1000" t="s">
        <v>140</v>
      </c>
      <c r="F1000">
        <v>4020</v>
      </c>
      <c r="G1000" t="s">
        <v>30</v>
      </c>
      <c r="H1000" t="s">
        <v>2688</v>
      </c>
      <c r="I1000" t="s">
        <v>71</v>
      </c>
      <c r="J1000">
        <v>52100</v>
      </c>
      <c r="K1000" t="s">
        <v>3</v>
      </c>
      <c r="L1000" t="s">
        <v>2689</v>
      </c>
      <c r="M1000" t="s">
        <v>3</v>
      </c>
      <c r="N1000" t="s">
        <v>75</v>
      </c>
      <c r="O1000" s="25" t="s">
        <v>3830</v>
      </c>
      <c r="P1000" s="25">
        <v>1</v>
      </c>
      <c r="Q1000" s="25">
        <v>52100</v>
      </c>
      <c r="R1000" s="25" t="s">
        <v>26</v>
      </c>
      <c r="S1000" s="25" t="s">
        <v>26</v>
      </c>
      <c r="T1000" s="25">
        <f t="shared" si="15"/>
        <v>52100</v>
      </c>
    </row>
    <row r="1001" spans="1:20">
      <c r="A1001" t="s">
        <v>2690</v>
      </c>
      <c r="B1001">
        <v>45903</v>
      </c>
      <c r="C1001" t="s">
        <v>87</v>
      </c>
      <c r="D1001" t="s">
        <v>94</v>
      </c>
      <c r="E1001" t="s">
        <v>3</v>
      </c>
      <c r="F1001">
        <v>5000</v>
      </c>
      <c r="G1001" t="s">
        <v>34</v>
      </c>
      <c r="H1001" t="s">
        <v>2691</v>
      </c>
      <c r="I1001" t="s">
        <v>71</v>
      </c>
      <c r="J1001">
        <v>-426000</v>
      </c>
      <c r="K1001" t="s">
        <v>316</v>
      </c>
      <c r="L1001" t="s">
        <v>2692</v>
      </c>
      <c r="M1001" t="s">
        <v>3</v>
      </c>
      <c r="N1001" t="s">
        <v>75</v>
      </c>
      <c r="O1001" s="25" t="s">
        <v>3830</v>
      </c>
      <c r="P1001" s="25">
        <v>1</v>
      </c>
      <c r="Q1001" s="25">
        <v>-426000</v>
      </c>
      <c r="R1001" s="25" t="s">
        <v>35</v>
      </c>
      <c r="S1001" s="25" t="s">
        <v>35</v>
      </c>
      <c r="T1001" s="25">
        <f t="shared" si="15"/>
        <v>-426000</v>
      </c>
    </row>
    <row r="1002" spans="1:20">
      <c r="A1002" t="s">
        <v>2693</v>
      </c>
      <c r="B1002">
        <v>45903</v>
      </c>
      <c r="C1002" t="s">
        <v>87</v>
      </c>
      <c r="D1002" t="s">
        <v>111</v>
      </c>
      <c r="E1002" t="s">
        <v>3</v>
      </c>
      <c r="F1002">
        <v>5020</v>
      </c>
      <c r="G1002" t="s">
        <v>39</v>
      </c>
      <c r="H1002" t="s">
        <v>2694</v>
      </c>
      <c r="I1002" t="s">
        <v>71</v>
      </c>
      <c r="J1002">
        <v>-98000</v>
      </c>
      <c r="K1002" t="s">
        <v>276</v>
      </c>
      <c r="L1002" t="s">
        <v>2695</v>
      </c>
      <c r="M1002" t="s">
        <v>3</v>
      </c>
      <c r="N1002" t="s">
        <v>75</v>
      </c>
      <c r="O1002" s="25" t="s">
        <v>3830</v>
      </c>
      <c r="P1002" s="25">
        <v>1</v>
      </c>
      <c r="Q1002" s="25">
        <v>-98000</v>
      </c>
      <c r="R1002" s="25" t="s">
        <v>35</v>
      </c>
      <c r="S1002" s="25" t="s">
        <v>35</v>
      </c>
      <c r="T1002" s="25">
        <f t="shared" si="15"/>
        <v>-98000</v>
      </c>
    </row>
    <row r="1003" spans="1:20">
      <c r="A1003" t="s">
        <v>2696</v>
      </c>
      <c r="B1003">
        <v>45904</v>
      </c>
      <c r="C1003" t="s">
        <v>93</v>
      </c>
      <c r="D1003" t="s">
        <v>94</v>
      </c>
      <c r="E1003" t="s">
        <v>95</v>
      </c>
      <c r="F1003">
        <v>4000</v>
      </c>
      <c r="G1003" t="s">
        <v>25</v>
      </c>
      <c r="H1003" t="s">
        <v>2697</v>
      </c>
      <c r="I1003" t="s">
        <v>71</v>
      </c>
      <c r="J1003">
        <v>32600</v>
      </c>
      <c r="K1003" t="s">
        <v>3</v>
      </c>
      <c r="L1003" t="s">
        <v>2698</v>
      </c>
      <c r="M1003" t="s">
        <v>3</v>
      </c>
      <c r="N1003" t="s">
        <v>75</v>
      </c>
      <c r="O1003" s="25" t="s">
        <v>3830</v>
      </c>
      <c r="P1003" s="25">
        <v>1</v>
      </c>
      <c r="Q1003" s="25">
        <v>32600</v>
      </c>
      <c r="R1003" s="25" t="s">
        <v>26</v>
      </c>
      <c r="S1003" s="25" t="s">
        <v>26</v>
      </c>
      <c r="T1003" s="25">
        <f t="shared" si="15"/>
        <v>32600</v>
      </c>
    </row>
    <row r="1004" spans="1:20">
      <c r="A1004" t="s">
        <v>2699</v>
      </c>
      <c r="B1004">
        <v>45904</v>
      </c>
      <c r="C1004" t="s">
        <v>93</v>
      </c>
      <c r="D1004" t="s">
        <v>94</v>
      </c>
      <c r="E1004" t="s">
        <v>99</v>
      </c>
      <c r="F1004">
        <v>4000</v>
      </c>
      <c r="G1004" t="s">
        <v>25</v>
      </c>
      <c r="H1004" t="s">
        <v>2700</v>
      </c>
      <c r="I1004" t="s">
        <v>71</v>
      </c>
      <c r="J1004">
        <v>31200</v>
      </c>
      <c r="K1004" t="s">
        <v>3</v>
      </c>
      <c r="L1004" t="s">
        <v>2701</v>
      </c>
      <c r="M1004" t="s">
        <v>3</v>
      </c>
      <c r="N1004" t="s">
        <v>75</v>
      </c>
      <c r="O1004" s="25" t="s">
        <v>3830</v>
      </c>
      <c r="P1004" s="25">
        <v>1</v>
      </c>
      <c r="Q1004" s="25">
        <v>31200</v>
      </c>
      <c r="R1004" s="25" t="s">
        <v>26</v>
      </c>
      <c r="S1004" s="25" t="s">
        <v>26</v>
      </c>
      <c r="T1004" s="25">
        <f t="shared" si="15"/>
        <v>31200</v>
      </c>
    </row>
    <row r="1005" spans="1:20">
      <c r="A1005" t="s">
        <v>2702</v>
      </c>
      <c r="B1005">
        <v>45904</v>
      </c>
      <c r="C1005" t="s">
        <v>93</v>
      </c>
      <c r="D1005" t="s">
        <v>94</v>
      </c>
      <c r="E1005" t="s">
        <v>103</v>
      </c>
      <c r="F1005">
        <v>4000</v>
      </c>
      <c r="G1005" t="s">
        <v>25</v>
      </c>
      <c r="H1005" t="s">
        <v>2703</v>
      </c>
      <c r="I1005" t="s">
        <v>71</v>
      </c>
      <c r="J1005">
        <v>31300</v>
      </c>
      <c r="K1005" t="s">
        <v>3</v>
      </c>
      <c r="L1005" t="s">
        <v>2704</v>
      </c>
      <c r="M1005" t="s">
        <v>3</v>
      </c>
      <c r="N1005" t="s">
        <v>75</v>
      </c>
      <c r="O1005" s="25" t="s">
        <v>3830</v>
      </c>
      <c r="P1005" s="25">
        <v>1</v>
      </c>
      <c r="Q1005" s="25">
        <v>31300</v>
      </c>
      <c r="R1005" s="25" t="s">
        <v>26</v>
      </c>
      <c r="S1005" s="25" t="s">
        <v>26</v>
      </c>
      <c r="T1005" s="25">
        <f t="shared" si="15"/>
        <v>31300</v>
      </c>
    </row>
    <row r="1006" spans="1:20">
      <c r="A1006" t="s">
        <v>2705</v>
      </c>
      <c r="B1006">
        <v>45904</v>
      </c>
      <c r="C1006" t="s">
        <v>93</v>
      </c>
      <c r="D1006" t="s">
        <v>94</v>
      </c>
      <c r="E1006" t="s">
        <v>160</v>
      </c>
      <c r="F1006">
        <v>4000</v>
      </c>
      <c r="G1006" t="s">
        <v>25</v>
      </c>
      <c r="H1006" t="s">
        <v>2706</v>
      </c>
      <c r="I1006" t="s">
        <v>71</v>
      </c>
      <c r="J1006">
        <v>31100</v>
      </c>
      <c r="K1006" t="s">
        <v>3</v>
      </c>
      <c r="L1006" t="s">
        <v>2704</v>
      </c>
      <c r="M1006" t="s">
        <v>3</v>
      </c>
      <c r="N1006" t="s">
        <v>75</v>
      </c>
      <c r="O1006" s="25" t="s">
        <v>3830</v>
      </c>
      <c r="P1006" s="25">
        <v>1</v>
      </c>
      <c r="Q1006" s="25">
        <v>31100</v>
      </c>
      <c r="R1006" s="25" t="s">
        <v>26</v>
      </c>
      <c r="S1006" s="25" t="s">
        <v>26</v>
      </c>
      <c r="T1006" s="25">
        <f t="shared" si="15"/>
        <v>31100</v>
      </c>
    </row>
    <row r="1007" spans="1:20">
      <c r="A1007" t="s">
        <v>2707</v>
      </c>
      <c r="B1007">
        <v>45904</v>
      </c>
      <c r="C1007" t="s">
        <v>93</v>
      </c>
      <c r="D1007" t="s">
        <v>111</v>
      </c>
      <c r="E1007" t="s">
        <v>112</v>
      </c>
      <c r="F1007">
        <v>4000</v>
      </c>
      <c r="G1007" t="s">
        <v>25</v>
      </c>
      <c r="H1007" t="s">
        <v>2708</v>
      </c>
      <c r="I1007" t="s">
        <v>71</v>
      </c>
      <c r="J1007">
        <v>51400</v>
      </c>
      <c r="K1007" t="s">
        <v>3</v>
      </c>
      <c r="L1007" t="s">
        <v>2709</v>
      </c>
      <c r="M1007" t="s">
        <v>3</v>
      </c>
      <c r="N1007" t="s">
        <v>75</v>
      </c>
      <c r="O1007" s="25" t="s">
        <v>3830</v>
      </c>
      <c r="P1007" s="25">
        <v>1</v>
      </c>
      <c r="Q1007" s="25">
        <v>51400</v>
      </c>
      <c r="R1007" s="25" t="s">
        <v>26</v>
      </c>
      <c r="S1007" s="25" t="s">
        <v>26</v>
      </c>
      <c r="T1007" s="25">
        <f t="shared" si="15"/>
        <v>51400</v>
      </c>
    </row>
    <row r="1008" spans="1:20">
      <c r="A1008" t="s">
        <v>2710</v>
      </c>
      <c r="B1008">
        <v>45904</v>
      </c>
      <c r="C1008" t="s">
        <v>93</v>
      </c>
      <c r="D1008" t="s">
        <v>111</v>
      </c>
      <c r="E1008" t="s">
        <v>116</v>
      </c>
      <c r="F1008">
        <v>4000</v>
      </c>
      <c r="G1008" t="s">
        <v>25</v>
      </c>
      <c r="H1008" t="s">
        <v>2711</v>
      </c>
      <c r="I1008" t="s">
        <v>71</v>
      </c>
      <c r="J1008">
        <v>51900</v>
      </c>
      <c r="K1008" t="s">
        <v>3</v>
      </c>
      <c r="L1008" t="s">
        <v>2709</v>
      </c>
      <c r="M1008" t="s">
        <v>3</v>
      </c>
      <c r="N1008" t="s">
        <v>75</v>
      </c>
      <c r="O1008" s="25" t="s">
        <v>3830</v>
      </c>
      <c r="P1008" s="25">
        <v>1</v>
      </c>
      <c r="Q1008" s="25">
        <v>51900</v>
      </c>
      <c r="R1008" s="25" t="s">
        <v>26</v>
      </c>
      <c r="S1008" s="25" t="s">
        <v>26</v>
      </c>
      <c r="T1008" s="25">
        <f t="shared" si="15"/>
        <v>51900</v>
      </c>
    </row>
    <row r="1009" spans="1:20">
      <c r="A1009" t="s">
        <v>2712</v>
      </c>
      <c r="B1009">
        <v>45904</v>
      </c>
      <c r="C1009" t="s">
        <v>93</v>
      </c>
      <c r="D1009" t="s">
        <v>111</v>
      </c>
      <c r="E1009" t="s">
        <v>119</v>
      </c>
      <c r="F1009">
        <v>4000</v>
      </c>
      <c r="G1009" t="s">
        <v>25</v>
      </c>
      <c r="H1009" t="s">
        <v>2713</v>
      </c>
      <c r="I1009" t="s">
        <v>71</v>
      </c>
      <c r="J1009">
        <v>48900</v>
      </c>
      <c r="K1009" t="s">
        <v>3</v>
      </c>
      <c r="L1009" t="s">
        <v>2709</v>
      </c>
      <c r="M1009" t="s">
        <v>3</v>
      </c>
      <c r="N1009" t="s">
        <v>75</v>
      </c>
      <c r="O1009" s="25" t="s">
        <v>3830</v>
      </c>
      <c r="P1009" s="25">
        <v>1</v>
      </c>
      <c r="Q1009" s="25">
        <v>48900</v>
      </c>
      <c r="R1009" s="25" t="s">
        <v>26</v>
      </c>
      <c r="S1009" s="25" t="s">
        <v>26</v>
      </c>
      <c r="T1009" s="25">
        <f t="shared" si="15"/>
        <v>48900</v>
      </c>
    </row>
    <row r="1010" spans="1:20">
      <c r="A1010" t="s">
        <v>2714</v>
      </c>
      <c r="B1010">
        <v>45904</v>
      </c>
      <c r="C1010" t="s">
        <v>93</v>
      </c>
      <c r="D1010" t="s">
        <v>111</v>
      </c>
      <c r="E1010" t="s">
        <v>122</v>
      </c>
      <c r="F1010">
        <v>4000</v>
      </c>
      <c r="G1010" t="s">
        <v>25</v>
      </c>
      <c r="H1010" t="s">
        <v>2715</v>
      </c>
      <c r="I1010" t="s">
        <v>73</v>
      </c>
      <c r="J1010">
        <v>517.71</v>
      </c>
      <c r="K1010" t="s">
        <v>3</v>
      </c>
      <c r="L1010" t="s">
        <v>2716</v>
      </c>
      <c r="M1010" t="s">
        <v>3</v>
      </c>
      <c r="N1010" t="s">
        <v>75</v>
      </c>
      <c r="O1010" s="25" t="s">
        <v>3832</v>
      </c>
      <c r="P1010" s="25">
        <v>96</v>
      </c>
      <c r="Q1010" s="25">
        <v>49700.160000000003</v>
      </c>
      <c r="R1010" s="25" t="s">
        <v>26</v>
      </c>
      <c r="S1010" s="25" t="s">
        <v>26</v>
      </c>
      <c r="T1010" s="25">
        <f t="shared" si="15"/>
        <v>49700.160000000003</v>
      </c>
    </row>
    <row r="1011" spans="1:20">
      <c r="A1011" t="s">
        <v>2717</v>
      </c>
      <c r="B1011">
        <v>45904</v>
      </c>
      <c r="C1011" t="s">
        <v>126</v>
      </c>
      <c r="D1011" t="s">
        <v>88</v>
      </c>
      <c r="E1011" t="s">
        <v>127</v>
      </c>
      <c r="F1011">
        <v>4020</v>
      </c>
      <c r="G1011" t="s">
        <v>30</v>
      </c>
      <c r="H1011" t="s">
        <v>2718</v>
      </c>
      <c r="I1011" t="s">
        <v>71</v>
      </c>
      <c r="J1011">
        <v>51800</v>
      </c>
      <c r="K1011" t="s">
        <v>129</v>
      </c>
      <c r="L1011" t="s">
        <v>2719</v>
      </c>
      <c r="M1011" t="s">
        <v>3</v>
      </c>
      <c r="N1011" t="s">
        <v>75</v>
      </c>
      <c r="O1011" s="25" t="s">
        <v>3830</v>
      </c>
      <c r="P1011" s="25">
        <v>1</v>
      </c>
      <c r="Q1011" s="25">
        <v>51800</v>
      </c>
      <c r="R1011" s="25" t="s">
        <v>26</v>
      </c>
      <c r="S1011" s="25" t="s">
        <v>26</v>
      </c>
      <c r="T1011" s="25">
        <f t="shared" si="15"/>
        <v>51800</v>
      </c>
    </row>
    <row r="1012" spans="1:20">
      <c r="A1012" t="s">
        <v>2720</v>
      </c>
      <c r="B1012">
        <v>45904</v>
      </c>
      <c r="C1012" t="s">
        <v>126</v>
      </c>
      <c r="D1012" t="s">
        <v>88</v>
      </c>
      <c r="E1012" t="s">
        <v>132</v>
      </c>
      <c r="F1012">
        <v>4020</v>
      </c>
      <c r="G1012" t="s">
        <v>30</v>
      </c>
      <c r="H1012" t="s">
        <v>2721</v>
      </c>
      <c r="I1012" t="s">
        <v>72</v>
      </c>
      <c r="J1012">
        <v>32.340000000000003</v>
      </c>
      <c r="K1012" t="s">
        <v>134</v>
      </c>
      <c r="L1012" t="s">
        <v>2719</v>
      </c>
      <c r="M1012" t="s">
        <v>3</v>
      </c>
      <c r="N1012" t="s">
        <v>75</v>
      </c>
      <c r="O1012" s="25" t="s">
        <v>3831</v>
      </c>
      <c r="P1012" s="25">
        <v>1611</v>
      </c>
      <c r="Q1012" s="25">
        <v>52099.740000000005</v>
      </c>
      <c r="R1012" s="25" t="s">
        <v>26</v>
      </c>
      <c r="S1012" s="25" t="s">
        <v>26</v>
      </c>
      <c r="T1012" s="25">
        <f t="shared" si="15"/>
        <v>52099.740000000005</v>
      </c>
    </row>
    <row r="1013" spans="1:20">
      <c r="A1013" t="s">
        <v>2722</v>
      </c>
      <c r="B1013">
        <v>45904</v>
      </c>
      <c r="C1013" t="s">
        <v>126</v>
      </c>
      <c r="D1013" t="s">
        <v>88</v>
      </c>
      <c r="E1013" t="s">
        <v>140</v>
      </c>
      <c r="F1013">
        <v>4020</v>
      </c>
      <c r="G1013" t="s">
        <v>30</v>
      </c>
      <c r="H1013" t="s">
        <v>2723</v>
      </c>
      <c r="I1013" t="s">
        <v>71</v>
      </c>
      <c r="J1013">
        <v>56000</v>
      </c>
      <c r="K1013" t="s">
        <v>3</v>
      </c>
      <c r="L1013" t="s">
        <v>2724</v>
      </c>
      <c r="M1013" t="s">
        <v>3</v>
      </c>
      <c r="N1013" t="s">
        <v>75</v>
      </c>
      <c r="O1013" s="25" t="s">
        <v>3830</v>
      </c>
      <c r="P1013" s="25">
        <v>1</v>
      </c>
      <c r="Q1013" s="25">
        <v>56000</v>
      </c>
      <c r="R1013" s="25" t="s">
        <v>26</v>
      </c>
      <c r="S1013" s="25" t="s">
        <v>26</v>
      </c>
      <c r="T1013" s="25">
        <f t="shared" si="15"/>
        <v>56000</v>
      </c>
    </row>
    <row r="1014" spans="1:20">
      <c r="A1014" t="s">
        <v>2725</v>
      </c>
      <c r="B1014">
        <v>45904</v>
      </c>
      <c r="C1014" t="s">
        <v>87</v>
      </c>
      <c r="D1014" t="s">
        <v>94</v>
      </c>
      <c r="E1014" t="s">
        <v>3</v>
      </c>
      <c r="F1014">
        <v>5050</v>
      </c>
      <c r="G1014" t="s">
        <v>45</v>
      </c>
      <c r="H1014" t="s">
        <v>2726</v>
      </c>
      <c r="I1014" t="s">
        <v>71</v>
      </c>
      <c r="J1014">
        <v>-147000</v>
      </c>
      <c r="K1014" t="s">
        <v>191</v>
      </c>
      <c r="L1014" t="s">
        <v>2727</v>
      </c>
      <c r="M1014" t="s">
        <v>3</v>
      </c>
      <c r="N1014" t="s">
        <v>75</v>
      </c>
      <c r="O1014" s="25" t="s">
        <v>3830</v>
      </c>
      <c r="P1014" s="25">
        <v>1</v>
      </c>
      <c r="Q1014" s="25">
        <v>-147000</v>
      </c>
      <c r="R1014" s="25" t="s">
        <v>35</v>
      </c>
      <c r="S1014" s="25" t="s">
        <v>35</v>
      </c>
      <c r="T1014" s="25">
        <f t="shared" si="15"/>
        <v>-147000</v>
      </c>
    </row>
    <row r="1015" spans="1:20">
      <c r="A1015" t="s">
        <v>2728</v>
      </c>
      <c r="B1015">
        <v>45904</v>
      </c>
      <c r="C1015" t="s">
        <v>87</v>
      </c>
      <c r="D1015" t="s">
        <v>111</v>
      </c>
      <c r="E1015" t="s">
        <v>3</v>
      </c>
      <c r="F1015">
        <v>5010</v>
      </c>
      <c r="G1015" t="s">
        <v>37</v>
      </c>
      <c r="H1015" t="s">
        <v>2729</v>
      </c>
      <c r="I1015" t="s">
        <v>71</v>
      </c>
      <c r="J1015">
        <v>-2319000</v>
      </c>
      <c r="K1015" t="s">
        <v>145</v>
      </c>
      <c r="L1015" t="s">
        <v>2730</v>
      </c>
      <c r="M1015" t="s">
        <v>3</v>
      </c>
      <c r="N1015" t="s">
        <v>75</v>
      </c>
      <c r="O1015" s="25" t="s">
        <v>3830</v>
      </c>
      <c r="P1015" s="25">
        <v>1</v>
      </c>
      <c r="Q1015" s="25">
        <v>-2319000</v>
      </c>
      <c r="R1015" s="25" t="s">
        <v>35</v>
      </c>
      <c r="S1015" s="25" t="s">
        <v>35</v>
      </c>
      <c r="T1015" s="25">
        <f t="shared" si="15"/>
        <v>-2319000</v>
      </c>
    </row>
    <row r="1016" spans="1:20">
      <c r="A1016" t="s">
        <v>2731</v>
      </c>
      <c r="B1016">
        <v>45904</v>
      </c>
      <c r="C1016" t="s">
        <v>87</v>
      </c>
      <c r="D1016" t="s">
        <v>111</v>
      </c>
      <c r="E1016" t="s">
        <v>3</v>
      </c>
      <c r="F1016">
        <v>5010</v>
      </c>
      <c r="G1016" t="s">
        <v>37</v>
      </c>
      <c r="H1016" t="s">
        <v>2732</v>
      </c>
      <c r="I1016" t="s">
        <v>71</v>
      </c>
      <c r="J1016">
        <v>-540000</v>
      </c>
      <c r="K1016" t="s">
        <v>195</v>
      </c>
      <c r="L1016" t="s">
        <v>2733</v>
      </c>
      <c r="M1016" t="s">
        <v>3</v>
      </c>
      <c r="N1016" t="s">
        <v>75</v>
      </c>
      <c r="O1016" s="25" t="s">
        <v>3830</v>
      </c>
      <c r="P1016" s="25">
        <v>1</v>
      </c>
      <c r="Q1016" s="25">
        <v>-540000</v>
      </c>
      <c r="R1016" s="25" t="s">
        <v>35</v>
      </c>
      <c r="S1016" s="25" t="s">
        <v>35</v>
      </c>
      <c r="T1016" s="25">
        <f t="shared" si="15"/>
        <v>-540000</v>
      </c>
    </row>
    <row r="1017" spans="1:20">
      <c r="A1017" t="s">
        <v>2734</v>
      </c>
      <c r="B1017">
        <v>45904</v>
      </c>
      <c r="C1017" t="s">
        <v>87</v>
      </c>
      <c r="D1017" t="s">
        <v>88</v>
      </c>
      <c r="E1017" t="s">
        <v>3</v>
      </c>
      <c r="F1017">
        <v>5030</v>
      </c>
      <c r="G1017" t="s">
        <v>41</v>
      </c>
      <c r="H1017" t="s">
        <v>2656</v>
      </c>
      <c r="I1017" t="s">
        <v>71</v>
      </c>
      <c r="J1017">
        <v>-689000</v>
      </c>
      <c r="K1017" t="s">
        <v>90</v>
      </c>
      <c r="L1017" t="s">
        <v>1832</v>
      </c>
      <c r="M1017" t="s">
        <v>3</v>
      </c>
      <c r="N1017" t="s">
        <v>75</v>
      </c>
      <c r="O1017" s="25" t="s">
        <v>3830</v>
      </c>
      <c r="P1017" s="25">
        <v>1</v>
      </c>
      <c r="Q1017" s="25">
        <v>-689000</v>
      </c>
      <c r="R1017" s="25" t="s">
        <v>35</v>
      </c>
      <c r="S1017" s="25" t="s">
        <v>35</v>
      </c>
      <c r="T1017" s="25">
        <f t="shared" si="15"/>
        <v>-689000</v>
      </c>
    </row>
    <row r="1018" spans="1:20">
      <c r="A1018" t="s">
        <v>2735</v>
      </c>
      <c r="B1018">
        <v>45905</v>
      </c>
      <c r="C1018" t="s">
        <v>93</v>
      </c>
      <c r="D1018" t="s">
        <v>94</v>
      </c>
      <c r="E1018" t="s">
        <v>95</v>
      </c>
      <c r="F1018">
        <v>4000</v>
      </c>
      <c r="G1018" t="s">
        <v>25</v>
      </c>
      <c r="H1018" t="s">
        <v>2736</v>
      </c>
      <c r="I1018" t="s">
        <v>71</v>
      </c>
      <c r="J1018">
        <v>31900</v>
      </c>
      <c r="K1018" t="s">
        <v>3</v>
      </c>
      <c r="L1018" t="s">
        <v>2737</v>
      </c>
      <c r="M1018" t="s">
        <v>3</v>
      </c>
      <c r="N1018" t="s">
        <v>75</v>
      </c>
      <c r="O1018" s="25" t="s">
        <v>3830</v>
      </c>
      <c r="P1018" s="25">
        <v>1</v>
      </c>
      <c r="Q1018" s="25">
        <v>31900</v>
      </c>
      <c r="R1018" s="25" t="s">
        <v>26</v>
      </c>
      <c r="S1018" s="25" t="s">
        <v>26</v>
      </c>
      <c r="T1018" s="25">
        <f t="shared" si="15"/>
        <v>31900</v>
      </c>
    </row>
    <row r="1019" spans="1:20">
      <c r="A1019" t="s">
        <v>2738</v>
      </c>
      <c r="B1019">
        <v>45905</v>
      </c>
      <c r="C1019" t="s">
        <v>93</v>
      </c>
      <c r="D1019" t="s">
        <v>94</v>
      </c>
      <c r="E1019" t="s">
        <v>99</v>
      </c>
      <c r="F1019">
        <v>4000</v>
      </c>
      <c r="G1019" t="s">
        <v>25</v>
      </c>
      <c r="H1019" t="s">
        <v>2739</v>
      </c>
      <c r="I1019" t="s">
        <v>71</v>
      </c>
      <c r="J1019">
        <v>30100</v>
      </c>
      <c r="K1019" t="s">
        <v>3</v>
      </c>
      <c r="L1019" t="s">
        <v>2740</v>
      </c>
      <c r="M1019" t="s">
        <v>3</v>
      </c>
      <c r="N1019" t="s">
        <v>75</v>
      </c>
      <c r="O1019" s="25" t="s">
        <v>3830</v>
      </c>
      <c r="P1019" s="25">
        <v>1</v>
      </c>
      <c r="Q1019" s="25">
        <v>30100</v>
      </c>
      <c r="R1019" s="25" t="s">
        <v>26</v>
      </c>
      <c r="S1019" s="25" t="s">
        <v>26</v>
      </c>
      <c r="T1019" s="25">
        <f t="shared" si="15"/>
        <v>30100</v>
      </c>
    </row>
    <row r="1020" spans="1:20">
      <c r="A1020" t="s">
        <v>2741</v>
      </c>
      <c r="B1020">
        <v>45905</v>
      </c>
      <c r="C1020" t="s">
        <v>93</v>
      </c>
      <c r="D1020" t="s">
        <v>94</v>
      </c>
      <c r="E1020" t="s">
        <v>103</v>
      </c>
      <c r="F1020">
        <v>4000</v>
      </c>
      <c r="G1020" t="s">
        <v>25</v>
      </c>
      <c r="H1020" t="s">
        <v>2742</v>
      </c>
      <c r="I1020" t="s">
        <v>71</v>
      </c>
      <c r="J1020">
        <v>31400</v>
      </c>
      <c r="K1020" t="s">
        <v>3</v>
      </c>
      <c r="L1020" t="s">
        <v>2743</v>
      </c>
      <c r="M1020" t="s">
        <v>3</v>
      </c>
      <c r="N1020" t="s">
        <v>75</v>
      </c>
      <c r="O1020" s="25" t="s">
        <v>3830</v>
      </c>
      <c r="P1020" s="25">
        <v>1</v>
      </c>
      <c r="Q1020" s="25">
        <v>31400</v>
      </c>
      <c r="R1020" s="25" t="s">
        <v>26</v>
      </c>
      <c r="S1020" s="25" t="s">
        <v>26</v>
      </c>
      <c r="T1020" s="25">
        <f t="shared" si="15"/>
        <v>31400</v>
      </c>
    </row>
    <row r="1021" spans="1:20">
      <c r="A1021" t="s">
        <v>2744</v>
      </c>
      <c r="B1021">
        <v>45905</v>
      </c>
      <c r="C1021" t="s">
        <v>93</v>
      </c>
      <c r="D1021" t="s">
        <v>94</v>
      </c>
      <c r="E1021" t="s">
        <v>160</v>
      </c>
      <c r="F1021">
        <v>4000</v>
      </c>
      <c r="G1021" t="s">
        <v>25</v>
      </c>
      <c r="H1021" t="s">
        <v>2745</v>
      </c>
      <c r="I1021" t="s">
        <v>71</v>
      </c>
      <c r="J1021">
        <v>31100</v>
      </c>
      <c r="K1021" t="s">
        <v>3</v>
      </c>
      <c r="L1021" t="s">
        <v>2743</v>
      </c>
      <c r="M1021" t="s">
        <v>3</v>
      </c>
      <c r="N1021" t="s">
        <v>75</v>
      </c>
      <c r="O1021" s="25" t="s">
        <v>3830</v>
      </c>
      <c r="P1021" s="25">
        <v>1</v>
      </c>
      <c r="Q1021" s="25">
        <v>31100</v>
      </c>
      <c r="R1021" s="25" t="s">
        <v>26</v>
      </c>
      <c r="S1021" s="25" t="s">
        <v>26</v>
      </c>
      <c r="T1021" s="25">
        <f t="shared" si="15"/>
        <v>31100</v>
      </c>
    </row>
    <row r="1022" spans="1:20">
      <c r="A1022" t="s">
        <v>2746</v>
      </c>
      <c r="B1022">
        <v>45905</v>
      </c>
      <c r="C1022" t="s">
        <v>93</v>
      </c>
      <c r="D1022" t="s">
        <v>94</v>
      </c>
      <c r="E1022" t="s">
        <v>107</v>
      </c>
      <c r="F1022">
        <v>4000</v>
      </c>
      <c r="G1022" t="s">
        <v>25</v>
      </c>
      <c r="H1022" t="s">
        <v>2747</v>
      </c>
      <c r="I1022" t="s">
        <v>71</v>
      </c>
      <c r="J1022">
        <v>30200</v>
      </c>
      <c r="K1022" t="s">
        <v>3</v>
      </c>
      <c r="L1022" t="s">
        <v>2748</v>
      </c>
      <c r="M1022" t="s">
        <v>3</v>
      </c>
      <c r="N1022" t="s">
        <v>75</v>
      </c>
      <c r="O1022" s="25" t="s">
        <v>3830</v>
      </c>
      <c r="P1022" s="25">
        <v>1</v>
      </c>
      <c r="Q1022" s="25">
        <v>30200</v>
      </c>
      <c r="R1022" s="25" t="s">
        <v>26</v>
      </c>
      <c r="S1022" s="25" t="s">
        <v>26</v>
      </c>
      <c r="T1022" s="25">
        <f t="shared" si="15"/>
        <v>30200</v>
      </c>
    </row>
    <row r="1023" spans="1:20">
      <c r="A1023" t="s">
        <v>2749</v>
      </c>
      <c r="B1023">
        <v>45905</v>
      </c>
      <c r="C1023" t="s">
        <v>93</v>
      </c>
      <c r="D1023" t="s">
        <v>111</v>
      </c>
      <c r="E1023" t="s">
        <v>112</v>
      </c>
      <c r="F1023">
        <v>4000</v>
      </c>
      <c r="G1023" t="s">
        <v>25</v>
      </c>
      <c r="H1023" t="s">
        <v>2750</v>
      </c>
      <c r="I1023" t="s">
        <v>71</v>
      </c>
      <c r="J1023">
        <v>49200</v>
      </c>
      <c r="K1023" t="s">
        <v>3</v>
      </c>
      <c r="L1023" t="s">
        <v>2751</v>
      </c>
      <c r="M1023" t="s">
        <v>3</v>
      </c>
      <c r="N1023" t="s">
        <v>75</v>
      </c>
      <c r="O1023" s="25" t="s">
        <v>3830</v>
      </c>
      <c r="P1023" s="25">
        <v>1</v>
      </c>
      <c r="Q1023" s="25">
        <v>49200</v>
      </c>
      <c r="R1023" s="25" t="s">
        <v>26</v>
      </c>
      <c r="S1023" s="25" t="s">
        <v>26</v>
      </c>
      <c r="T1023" s="25">
        <f t="shared" si="15"/>
        <v>49200</v>
      </c>
    </row>
    <row r="1024" spans="1:20">
      <c r="A1024" t="s">
        <v>2752</v>
      </c>
      <c r="B1024">
        <v>45905</v>
      </c>
      <c r="C1024" t="s">
        <v>93</v>
      </c>
      <c r="D1024" t="s">
        <v>111</v>
      </c>
      <c r="E1024" t="s">
        <v>116</v>
      </c>
      <c r="F1024">
        <v>4000</v>
      </c>
      <c r="G1024" t="s">
        <v>25</v>
      </c>
      <c r="H1024" t="s">
        <v>2753</v>
      </c>
      <c r="I1024" t="s">
        <v>71</v>
      </c>
      <c r="J1024">
        <v>50700</v>
      </c>
      <c r="K1024" t="s">
        <v>3</v>
      </c>
      <c r="L1024" t="s">
        <v>2751</v>
      </c>
      <c r="M1024" t="s">
        <v>3</v>
      </c>
      <c r="N1024" t="s">
        <v>75</v>
      </c>
      <c r="O1024" s="25" t="s">
        <v>3830</v>
      </c>
      <c r="P1024" s="25">
        <v>1</v>
      </c>
      <c r="Q1024" s="25">
        <v>50700</v>
      </c>
      <c r="R1024" s="25" t="s">
        <v>26</v>
      </c>
      <c r="S1024" s="25" t="s">
        <v>26</v>
      </c>
      <c r="T1024" s="25">
        <f t="shared" si="15"/>
        <v>50700</v>
      </c>
    </row>
    <row r="1025" spans="1:20">
      <c r="A1025" t="s">
        <v>2754</v>
      </c>
      <c r="B1025">
        <v>45905</v>
      </c>
      <c r="C1025" t="s">
        <v>93</v>
      </c>
      <c r="D1025" t="s">
        <v>111</v>
      </c>
      <c r="E1025" t="s">
        <v>119</v>
      </c>
      <c r="F1025">
        <v>4000</v>
      </c>
      <c r="G1025" t="s">
        <v>25</v>
      </c>
      <c r="H1025" t="s">
        <v>2755</v>
      </c>
      <c r="I1025" t="s">
        <v>71</v>
      </c>
      <c r="J1025">
        <v>51900</v>
      </c>
      <c r="K1025" t="s">
        <v>3</v>
      </c>
      <c r="L1025" t="s">
        <v>2751</v>
      </c>
      <c r="M1025" t="s">
        <v>3</v>
      </c>
      <c r="N1025" t="s">
        <v>75</v>
      </c>
      <c r="O1025" s="25" t="s">
        <v>3830</v>
      </c>
      <c r="P1025" s="25">
        <v>1</v>
      </c>
      <c r="Q1025" s="25">
        <v>51900</v>
      </c>
      <c r="R1025" s="25" t="s">
        <v>26</v>
      </c>
      <c r="S1025" s="25" t="s">
        <v>26</v>
      </c>
      <c r="T1025" s="25">
        <f t="shared" si="15"/>
        <v>51900</v>
      </c>
    </row>
    <row r="1026" spans="1:20">
      <c r="A1026" t="s">
        <v>2756</v>
      </c>
      <c r="B1026">
        <v>45905</v>
      </c>
      <c r="C1026" t="s">
        <v>93</v>
      </c>
      <c r="D1026" t="s">
        <v>111</v>
      </c>
      <c r="E1026" t="s">
        <v>170</v>
      </c>
      <c r="F1026">
        <v>4000</v>
      </c>
      <c r="G1026" t="s">
        <v>25</v>
      </c>
      <c r="H1026" t="s">
        <v>2757</v>
      </c>
      <c r="I1026" t="s">
        <v>71</v>
      </c>
      <c r="J1026">
        <v>51400</v>
      </c>
      <c r="K1026" t="s">
        <v>3</v>
      </c>
      <c r="L1026" t="s">
        <v>2751</v>
      </c>
      <c r="M1026" t="s">
        <v>3</v>
      </c>
      <c r="N1026" t="s">
        <v>75</v>
      </c>
      <c r="O1026" s="25" t="s">
        <v>3830</v>
      </c>
      <c r="P1026" s="25">
        <v>1</v>
      </c>
      <c r="Q1026" s="25">
        <v>51400</v>
      </c>
      <c r="R1026" s="25" t="s">
        <v>26</v>
      </c>
      <c r="S1026" s="25" t="s">
        <v>26</v>
      </c>
      <c r="T1026" s="25">
        <f t="shared" ref="T1026:T1089" si="16">IF(AND(S1026="Revenue",G1026&lt;&gt;"Refunds &amp; Chargebacks"),ABS(Q1026),-ABS(Q1026))</f>
        <v>51400</v>
      </c>
    </row>
    <row r="1027" spans="1:20">
      <c r="A1027" t="s">
        <v>2758</v>
      </c>
      <c r="B1027">
        <v>45905</v>
      </c>
      <c r="C1027" t="s">
        <v>93</v>
      </c>
      <c r="D1027" t="s">
        <v>111</v>
      </c>
      <c r="E1027" t="s">
        <v>122</v>
      </c>
      <c r="F1027">
        <v>4000</v>
      </c>
      <c r="G1027" t="s">
        <v>25</v>
      </c>
      <c r="H1027" t="s">
        <v>2759</v>
      </c>
      <c r="I1027" t="s">
        <v>73</v>
      </c>
      <c r="J1027">
        <v>505.21</v>
      </c>
      <c r="K1027" t="s">
        <v>3</v>
      </c>
      <c r="L1027" t="s">
        <v>2760</v>
      </c>
      <c r="M1027" t="s">
        <v>3</v>
      </c>
      <c r="N1027" t="s">
        <v>75</v>
      </c>
      <c r="O1027" s="25" t="s">
        <v>3832</v>
      </c>
      <c r="P1027" s="25">
        <v>96</v>
      </c>
      <c r="Q1027" s="25">
        <v>48500.159999999996</v>
      </c>
      <c r="R1027" s="25" t="s">
        <v>26</v>
      </c>
      <c r="S1027" s="25" t="s">
        <v>26</v>
      </c>
      <c r="T1027" s="25">
        <f t="shared" si="16"/>
        <v>48500.159999999996</v>
      </c>
    </row>
    <row r="1028" spans="1:20">
      <c r="A1028" t="s">
        <v>2761</v>
      </c>
      <c r="B1028">
        <v>45905</v>
      </c>
      <c r="C1028" t="s">
        <v>126</v>
      </c>
      <c r="D1028" t="s">
        <v>88</v>
      </c>
      <c r="E1028" t="s">
        <v>127</v>
      </c>
      <c r="F1028">
        <v>4020</v>
      </c>
      <c r="G1028" t="s">
        <v>30</v>
      </c>
      <c r="H1028" t="s">
        <v>2762</v>
      </c>
      <c r="I1028" t="s">
        <v>72</v>
      </c>
      <c r="J1028">
        <v>32.9</v>
      </c>
      <c r="K1028" t="s">
        <v>129</v>
      </c>
      <c r="L1028" t="s">
        <v>2763</v>
      </c>
      <c r="M1028" t="s">
        <v>3</v>
      </c>
      <c r="N1028" t="s">
        <v>75</v>
      </c>
      <c r="O1028" s="25" t="s">
        <v>3831</v>
      </c>
      <c r="P1028" s="25">
        <v>1611</v>
      </c>
      <c r="Q1028" s="25">
        <v>53001.899999999994</v>
      </c>
      <c r="R1028" s="25" t="s">
        <v>26</v>
      </c>
      <c r="S1028" s="25" t="s">
        <v>26</v>
      </c>
      <c r="T1028" s="25">
        <f t="shared" si="16"/>
        <v>53001.899999999994</v>
      </c>
    </row>
    <row r="1029" spans="1:20">
      <c r="A1029" t="s">
        <v>2764</v>
      </c>
      <c r="B1029">
        <v>45905</v>
      </c>
      <c r="C1029" t="s">
        <v>126</v>
      </c>
      <c r="D1029" t="s">
        <v>88</v>
      </c>
      <c r="E1029" t="s">
        <v>132</v>
      </c>
      <c r="F1029">
        <v>4020</v>
      </c>
      <c r="G1029" t="s">
        <v>30</v>
      </c>
      <c r="H1029" t="s">
        <v>2765</v>
      </c>
      <c r="I1029" t="s">
        <v>72</v>
      </c>
      <c r="J1029">
        <v>35.69</v>
      </c>
      <c r="K1029" t="s">
        <v>134</v>
      </c>
      <c r="L1029" t="s">
        <v>2763</v>
      </c>
      <c r="M1029" t="s">
        <v>3</v>
      </c>
      <c r="N1029" t="s">
        <v>75</v>
      </c>
      <c r="O1029" s="25" t="s">
        <v>3831</v>
      </c>
      <c r="P1029" s="25">
        <v>1611</v>
      </c>
      <c r="Q1029" s="25">
        <v>57496.59</v>
      </c>
      <c r="R1029" s="25" t="s">
        <v>26</v>
      </c>
      <c r="S1029" s="25" t="s">
        <v>26</v>
      </c>
      <c r="T1029" s="25">
        <f t="shared" si="16"/>
        <v>57496.59</v>
      </c>
    </row>
    <row r="1030" spans="1:20">
      <c r="A1030" t="s">
        <v>2766</v>
      </c>
      <c r="B1030">
        <v>45905</v>
      </c>
      <c r="C1030" t="s">
        <v>126</v>
      </c>
      <c r="D1030" t="s">
        <v>88</v>
      </c>
      <c r="E1030" t="s">
        <v>140</v>
      </c>
      <c r="F1030">
        <v>4020</v>
      </c>
      <c r="G1030" t="s">
        <v>30</v>
      </c>
      <c r="H1030" t="s">
        <v>2767</v>
      </c>
      <c r="I1030" t="s">
        <v>71</v>
      </c>
      <c r="J1030">
        <v>50300</v>
      </c>
      <c r="K1030" t="s">
        <v>3</v>
      </c>
      <c r="L1030" t="s">
        <v>2768</v>
      </c>
      <c r="M1030" t="s">
        <v>3</v>
      </c>
      <c r="N1030" t="s">
        <v>75</v>
      </c>
      <c r="O1030" s="25" t="s">
        <v>3830</v>
      </c>
      <c r="P1030" s="25">
        <v>1</v>
      </c>
      <c r="Q1030" s="25">
        <v>50300</v>
      </c>
      <c r="R1030" s="25" t="s">
        <v>26</v>
      </c>
      <c r="S1030" s="25" t="s">
        <v>26</v>
      </c>
      <c r="T1030" s="25">
        <f t="shared" si="16"/>
        <v>50300</v>
      </c>
    </row>
    <row r="1031" spans="1:20">
      <c r="A1031" t="s">
        <v>2769</v>
      </c>
      <c r="B1031">
        <v>45905</v>
      </c>
      <c r="C1031" t="s">
        <v>87</v>
      </c>
      <c r="D1031" t="s">
        <v>111</v>
      </c>
      <c r="E1031" t="s">
        <v>3</v>
      </c>
      <c r="F1031">
        <v>5010</v>
      </c>
      <c r="G1031" t="s">
        <v>37</v>
      </c>
      <c r="H1031" t="s">
        <v>2770</v>
      </c>
      <c r="I1031" t="s">
        <v>71</v>
      </c>
      <c r="J1031">
        <v>-883000</v>
      </c>
      <c r="K1031" t="s">
        <v>987</v>
      </c>
      <c r="L1031" t="s">
        <v>2771</v>
      </c>
      <c r="M1031" t="s">
        <v>3</v>
      </c>
      <c r="N1031" t="s">
        <v>75</v>
      </c>
      <c r="O1031" s="25" t="s">
        <v>3830</v>
      </c>
      <c r="P1031" s="25">
        <v>1</v>
      </c>
      <c r="Q1031" s="25">
        <v>-883000</v>
      </c>
      <c r="R1031" s="25" t="s">
        <v>35</v>
      </c>
      <c r="S1031" s="25" t="s">
        <v>35</v>
      </c>
      <c r="T1031" s="25">
        <f t="shared" si="16"/>
        <v>-883000</v>
      </c>
    </row>
    <row r="1032" spans="1:20">
      <c r="A1032" t="s">
        <v>2772</v>
      </c>
      <c r="B1032">
        <v>45905</v>
      </c>
      <c r="C1032" t="s">
        <v>87</v>
      </c>
      <c r="D1032" t="s">
        <v>94</v>
      </c>
      <c r="E1032" t="s">
        <v>3</v>
      </c>
      <c r="F1032">
        <v>6010</v>
      </c>
      <c r="G1032" t="s">
        <v>50</v>
      </c>
      <c r="H1032" t="s">
        <v>2773</v>
      </c>
      <c r="I1032" t="s">
        <v>71</v>
      </c>
      <c r="J1032">
        <v>-720000</v>
      </c>
      <c r="K1032" t="s">
        <v>320</v>
      </c>
      <c r="L1032" t="s">
        <v>2774</v>
      </c>
      <c r="M1032" t="s">
        <v>3</v>
      </c>
      <c r="N1032" t="s">
        <v>75</v>
      </c>
      <c r="O1032" s="25" t="s">
        <v>3830</v>
      </c>
      <c r="P1032" s="25">
        <v>1</v>
      </c>
      <c r="Q1032" s="25">
        <v>-720000</v>
      </c>
      <c r="R1032" s="25" t="s">
        <v>48</v>
      </c>
      <c r="S1032" s="25" t="s">
        <v>48</v>
      </c>
      <c r="T1032" s="25">
        <f t="shared" si="16"/>
        <v>-720000</v>
      </c>
    </row>
    <row r="1033" spans="1:20">
      <c r="A1033" t="s">
        <v>2775</v>
      </c>
      <c r="B1033">
        <v>45905</v>
      </c>
      <c r="C1033" t="s">
        <v>87</v>
      </c>
      <c r="D1033" t="s">
        <v>111</v>
      </c>
      <c r="E1033" t="s">
        <v>3</v>
      </c>
      <c r="F1033">
        <v>6010</v>
      </c>
      <c r="G1033" t="s">
        <v>50</v>
      </c>
      <c r="H1033" t="s">
        <v>2773</v>
      </c>
      <c r="I1033" t="s">
        <v>71</v>
      </c>
      <c r="J1033">
        <v>-1400000</v>
      </c>
      <c r="K1033" t="s">
        <v>320</v>
      </c>
      <c r="L1033" t="s">
        <v>2776</v>
      </c>
      <c r="M1033" t="s">
        <v>3</v>
      </c>
      <c r="N1033" t="s">
        <v>75</v>
      </c>
      <c r="O1033" s="25" t="s">
        <v>3830</v>
      </c>
      <c r="P1033" s="25">
        <v>1</v>
      </c>
      <c r="Q1033" s="25">
        <v>-1400000</v>
      </c>
      <c r="R1033" s="25" t="s">
        <v>48</v>
      </c>
      <c r="S1033" s="25" t="s">
        <v>48</v>
      </c>
      <c r="T1033" s="25">
        <f t="shared" si="16"/>
        <v>-1400000</v>
      </c>
    </row>
    <row r="1034" spans="1:20">
      <c r="A1034" t="s">
        <v>2777</v>
      </c>
      <c r="B1034">
        <v>45905</v>
      </c>
      <c r="C1034" t="s">
        <v>87</v>
      </c>
      <c r="D1034" t="s">
        <v>88</v>
      </c>
      <c r="E1034" t="s">
        <v>3</v>
      </c>
      <c r="F1034">
        <v>6010</v>
      </c>
      <c r="G1034" t="s">
        <v>50</v>
      </c>
      <c r="H1034" t="s">
        <v>2773</v>
      </c>
      <c r="I1034" t="s">
        <v>71</v>
      </c>
      <c r="J1034">
        <v>-380000</v>
      </c>
      <c r="K1034" t="s">
        <v>320</v>
      </c>
      <c r="L1034" t="s">
        <v>2778</v>
      </c>
      <c r="M1034" t="s">
        <v>3</v>
      </c>
      <c r="N1034" t="s">
        <v>75</v>
      </c>
      <c r="O1034" s="25" t="s">
        <v>3830</v>
      </c>
      <c r="P1034" s="25">
        <v>1</v>
      </c>
      <c r="Q1034" s="25">
        <v>-380000</v>
      </c>
      <c r="R1034" s="25" t="s">
        <v>48</v>
      </c>
      <c r="S1034" s="25" t="s">
        <v>48</v>
      </c>
      <c r="T1034" s="25">
        <f t="shared" si="16"/>
        <v>-380000</v>
      </c>
    </row>
    <row r="1035" spans="1:20">
      <c r="A1035" t="s">
        <v>2779</v>
      </c>
      <c r="B1035">
        <v>45906</v>
      </c>
      <c r="C1035" t="s">
        <v>93</v>
      </c>
      <c r="D1035" t="s">
        <v>94</v>
      </c>
      <c r="E1035" t="s">
        <v>95</v>
      </c>
      <c r="F1035">
        <v>4000</v>
      </c>
      <c r="G1035" t="s">
        <v>25</v>
      </c>
      <c r="H1035" t="s">
        <v>2780</v>
      </c>
      <c r="I1035" t="s">
        <v>71</v>
      </c>
      <c r="J1035">
        <v>36500</v>
      </c>
      <c r="K1035" t="s">
        <v>3</v>
      </c>
      <c r="L1035" t="s">
        <v>2781</v>
      </c>
      <c r="M1035" t="s">
        <v>3</v>
      </c>
      <c r="N1035" t="s">
        <v>75</v>
      </c>
      <c r="O1035" s="25" t="s">
        <v>3830</v>
      </c>
      <c r="P1035" s="25">
        <v>1</v>
      </c>
      <c r="Q1035" s="25">
        <v>36500</v>
      </c>
      <c r="R1035" s="25" t="s">
        <v>26</v>
      </c>
      <c r="S1035" s="25" t="s">
        <v>26</v>
      </c>
      <c r="T1035" s="25">
        <f t="shared" si="16"/>
        <v>36500</v>
      </c>
    </row>
    <row r="1036" spans="1:20">
      <c r="A1036" t="s">
        <v>2782</v>
      </c>
      <c r="B1036">
        <v>45906</v>
      </c>
      <c r="C1036" t="s">
        <v>93</v>
      </c>
      <c r="D1036" t="s">
        <v>94</v>
      </c>
      <c r="E1036" t="s">
        <v>99</v>
      </c>
      <c r="F1036">
        <v>4000</v>
      </c>
      <c r="G1036" t="s">
        <v>25</v>
      </c>
      <c r="H1036" t="s">
        <v>2783</v>
      </c>
      <c r="I1036" t="s">
        <v>71</v>
      </c>
      <c r="J1036">
        <v>38400</v>
      </c>
      <c r="K1036" t="s">
        <v>3</v>
      </c>
      <c r="L1036" t="s">
        <v>2784</v>
      </c>
      <c r="M1036" t="s">
        <v>3</v>
      </c>
      <c r="N1036" t="s">
        <v>75</v>
      </c>
      <c r="O1036" s="25" t="s">
        <v>3830</v>
      </c>
      <c r="P1036" s="25">
        <v>1</v>
      </c>
      <c r="Q1036" s="25">
        <v>38400</v>
      </c>
      <c r="R1036" s="25" t="s">
        <v>26</v>
      </c>
      <c r="S1036" s="25" t="s">
        <v>26</v>
      </c>
      <c r="T1036" s="25">
        <f t="shared" si="16"/>
        <v>38400</v>
      </c>
    </row>
    <row r="1037" spans="1:20">
      <c r="A1037" t="s">
        <v>2785</v>
      </c>
      <c r="B1037">
        <v>45906</v>
      </c>
      <c r="C1037" t="s">
        <v>93</v>
      </c>
      <c r="D1037" t="s">
        <v>94</v>
      </c>
      <c r="E1037" t="s">
        <v>103</v>
      </c>
      <c r="F1037">
        <v>4000</v>
      </c>
      <c r="G1037" t="s">
        <v>25</v>
      </c>
      <c r="H1037" t="s">
        <v>2786</v>
      </c>
      <c r="I1037" t="s">
        <v>71</v>
      </c>
      <c r="J1037">
        <v>42100</v>
      </c>
      <c r="K1037" t="s">
        <v>3</v>
      </c>
      <c r="L1037" t="s">
        <v>2787</v>
      </c>
      <c r="M1037" t="s">
        <v>3</v>
      </c>
      <c r="N1037" t="s">
        <v>75</v>
      </c>
      <c r="O1037" s="25" t="s">
        <v>3830</v>
      </c>
      <c r="P1037" s="25">
        <v>1</v>
      </c>
      <c r="Q1037" s="25">
        <v>42100</v>
      </c>
      <c r="R1037" s="25" t="s">
        <v>26</v>
      </c>
      <c r="S1037" s="25" t="s">
        <v>26</v>
      </c>
      <c r="T1037" s="25">
        <f t="shared" si="16"/>
        <v>42100</v>
      </c>
    </row>
    <row r="1038" spans="1:20">
      <c r="A1038" t="s">
        <v>2788</v>
      </c>
      <c r="B1038">
        <v>45906</v>
      </c>
      <c r="C1038" t="s">
        <v>93</v>
      </c>
      <c r="D1038" t="s">
        <v>94</v>
      </c>
      <c r="E1038" t="s">
        <v>160</v>
      </c>
      <c r="F1038">
        <v>4000</v>
      </c>
      <c r="G1038" t="s">
        <v>25</v>
      </c>
      <c r="H1038" t="s">
        <v>2789</v>
      </c>
      <c r="I1038" t="s">
        <v>71</v>
      </c>
      <c r="J1038">
        <v>36200</v>
      </c>
      <c r="K1038" t="s">
        <v>3</v>
      </c>
      <c r="L1038" t="s">
        <v>2787</v>
      </c>
      <c r="M1038" t="s">
        <v>3</v>
      </c>
      <c r="N1038" t="s">
        <v>75</v>
      </c>
      <c r="O1038" s="25" t="s">
        <v>3830</v>
      </c>
      <c r="P1038" s="25">
        <v>1</v>
      </c>
      <c r="Q1038" s="25">
        <v>36200</v>
      </c>
      <c r="R1038" s="25" t="s">
        <v>26</v>
      </c>
      <c r="S1038" s="25" t="s">
        <v>26</v>
      </c>
      <c r="T1038" s="25">
        <f t="shared" si="16"/>
        <v>36200</v>
      </c>
    </row>
    <row r="1039" spans="1:20">
      <c r="A1039" t="s">
        <v>2790</v>
      </c>
      <c r="B1039">
        <v>45906</v>
      </c>
      <c r="C1039" t="s">
        <v>93</v>
      </c>
      <c r="D1039" t="s">
        <v>94</v>
      </c>
      <c r="E1039" t="s">
        <v>107</v>
      </c>
      <c r="F1039">
        <v>4000</v>
      </c>
      <c r="G1039" t="s">
        <v>25</v>
      </c>
      <c r="H1039" t="s">
        <v>2791</v>
      </c>
      <c r="I1039" t="s">
        <v>71</v>
      </c>
      <c r="J1039">
        <v>36700</v>
      </c>
      <c r="K1039" t="s">
        <v>3</v>
      </c>
      <c r="L1039" t="s">
        <v>2792</v>
      </c>
      <c r="M1039" t="s">
        <v>3</v>
      </c>
      <c r="N1039" t="s">
        <v>75</v>
      </c>
      <c r="O1039" s="25" t="s">
        <v>3830</v>
      </c>
      <c r="P1039" s="25">
        <v>1</v>
      </c>
      <c r="Q1039" s="25">
        <v>36700</v>
      </c>
      <c r="R1039" s="25" t="s">
        <v>26</v>
      </c>
      <c r="S1039" s="25" t="s">
        <v>26</v>
      </c>
      <c r="T1039" s="25">
        <f t="shared" si="16"/>
        <v>36700</v>
      </c>
    </row>
    <row r="1040" spans="1:20">
      <c r="A1040" t="s">
        <v>2793</v>
      </c>
      <c r="B1040">
        <v>45906</v>
      </c>
      <c r="C1040" t="s">
        <v>93</v>
      </c>
      <c r="D1040" t="s">
        <v>111</v>
      </c>
      <c r="E1040" t="s">
        <v>112</v>
      </c>
      <c r="F1040">
        <v>4000</v>
      </c>
      <c r="G1040" t="s">
        <v>25</v>
      </c>
      <c r="H1040" t="s">
        <v>2794</v>
      </c>
      <c r="I1040" t="s">
        <v>71</v>
      </c>
      <c r="J1040">
        <v>59400</v>
      </c>
      <c r="K1040" t="s">
        <v>3</v>
      </c>
      <c r="L1040" t="s">
        <v>2795</v>
      </c>
      <c r="M1040" t="s">
        <v>3</v>
      </c>
      <c r="N1040" t="s">
        <v>75</v>
      </c>
      <c r="O1040" s="25" t="s">
        <v>3830</v>
      </c>
      <c r="P1040" s="25">
        <v>1</v>
      </c>
      <c r="Q1040" s="25">
        <v>59400</v>
      </c>
      <c r="R1040" s="25" t="s">
        <v>26</v>
      </c>
      <c r="S1040" s="25" t="s">
        <v>26</v>
      </c>
      <c r="T1040" s="25">
        <f t="shared" si="16"/>
        <v>59400</v>
      </c>
    </row>
    <row r="1041" spans="1:20">
      <c r="A1041" t="s">
        <v>2796</v>
      </c>
      <c r="B1041">
        <v>45906</v>
      </c>
      <c r="C1041" t="s">
        <v>93</v>
      </c>
      <c r="D1041" t="s">
        <v>111</v>
      </c>
      <c r="E1041" t="s">
        <v>116</v>
      </c>
      <c r="F1041">
        <v>4000</v>
      </c>
      <c r="G1041" t="s">
        <v>25</v>
      </c>
      <c r="H1041" t="s">
        <v>2797</v>
      </c>
      <c r="I1041" t="s">
        <v>71</v>
      </c>
      <c r="J1041">
        <v>66700</v>
      </c>
      <c r="K1041" t="s">
        <v>3</v>
      </c>
      <c r="L1041" t="s">
        <v>2795</v>
      </c>
      <c r="M1041" t="s">
        <v>3</v>
      </c>
      <c r="N1041" t="s">
        <v>75</v>
      </c>
      <c r="O1041" s="25" t="s">
        <v>3830</v>
      </c>
      <c r="P1041" s="25">
        <v>1</v>
      </c>
      <c r="Q1041" s="25">
        <v>66700</v>
      </c>
      <c r="R1041" s="25" t="s">
        <v>26</v>
      </c>
      <c r="S1041" s="25" t="s">
        <v>26</v>
      </c>
      <c r="T1041" s="25">
        <f t="shared" si="16"/>
        <v>66700</v>
      </c>
    </row>
    <row r="1042" spans="1:20">
      <c r="A1042" t="s">
        <v>2798</v>
      </c>
      <c r="B1042">
        <v>45906</v>
      </c>
      <c r="C1042" t="s">
        <v>93</v>
      </c>
      <c r="D1042" t="s">
        <v>111</v>
      </c>
      <c r="E1042" t="s">
        <v>119</v>
      </c>
      <c r="F1042">
        <v>4000</v>
      </c>
      <c r="G1042" t="s">
        <v>25</v>
      </c>
      <c r="H1042" t="s">
        <v>2799</v>
      </c>
      <c r="I1042" t="s">
        <v>71</v>
      </c>
      <c r="J1042">
        <v>61000</v>
      </c>
      <c r="K1042" t="s">
        <v>3</v>
      </c>
      <c r="L1042" t="s">
        <v>2795</v>
      </c>
      <c r="M1042" t="s">
        <v>3</v>
      </c>
      <c r="N1042" t="s">
        <v>75</v>
      </c>
      <c r="O1042" s="25" t="s">
        <v>3830</v>
      </c>
      <c r="P1042" s="25">
        <v>1</v>
      </c>
      <c r="Q1042" s="25">
        <v>61000</v>
      </c>
      <c r="R1042" s="25" t="s">
        <v>26</v>
      </c>
      <c r="S1042" s="25" t="s">
        <v>26</v>
      </c>
      <c r="T1042" s="25">
        <f t="shared" si="16"/>
        <v>61000</v>
      </c>
    </row>
    <row r="1043" spans="1:20">
      <c r="A1043" t="s">
        <v>2800</v>
      </c>
      <c r="B1043">
        <v>45906</v>
      </c>
      <c r="C1043" t="s">
        <v>93</v>
      </c>
      <c r="D1043" t="s">
        <v>111</v>
      </c>
      <c r="E1043" t="s">
        <v>170</v>
      </c>
      <c r="F1043">
        <v>4000</v>
      </c>
      <c r="G1043" t="s">
        <v>25</v>
      </c>
      <c r="H1043" t="s">
        <v>2801</v>
      </c>
      <c r="I1043" t="s">
        <v>71</v>
      </c>
      <c r="J1043">
        <v>63700</v>
      </c>
      <c r="K1043" t="s">
        <v>3</v>
      </c>
      <c r="L1043" t="s">
        <v>2795</v>
      </c>
      <c r="M1043" t="s">
        <v>3</v>
      </c>
      <c r="N1043" t="s">
        <v>75</v>
      </c>
      <c r="O1043" s="25" t="s">
        <v>3830</v>
      </c>
      <c r="P1043" s="25">
        <v>1</v>
      </c>
      <c r="Q1043" s="25">
        <v>63700</v>
      </c>
      <c r="R1043" s="25" t="s">
        <v>26</v>
      </c>
      <c r="S1043" s="25" t="s">
        <v>26</v>
      </c>
      <c r="T1043" s="25">
        <f t="shared" si="16"/>
        <v>63700</v>
      </c>
    </row>
    <row r="1044" spans="1:20">
      <c r="A1044" t="s">
        <v>2802</v>
      </c>
      <c r="B1044">
        <v>45906</v>
      </c>
      <c r="C1044" t="s">
        <v>93</v>
      </c>
      <c r="D1044" t="s">
        <v>111</v>
      </c>
      <c r="E1044" t="s">
        <v>122</v>
      </c>
      <c r="F1044">
        <v>4000</v>
      </c>
      <c r="G1044" t="s">
        <v>25</v>
      </c>
      <c r="H1044" t="s">
        <v>2803</v>
      </c>
      <c r="I1044" t="s">
        <v>71</v>
      </c>
      <c r="J1044">
        <v>66400</v>
      </c>
      <c r="K1044" t="s">
        <v>3</v>
      </c>
      <c r="L1044" t="s">
        <v>2804</v>
      </c>
      <c r="M1044" t="s">
        <v>3</v>
      </c>
      <c r="N1044" t="s">
        <v>75</v>
      </c>
      <c r="O1044" s="25" t="s">
        <v>3830</v>
      </c>
      <c r="P1044" s="25">
        <v>1</v>
      </c>
      <c r="Q1044" s="25">
        <v>66400</v>
      </c>
      <c r="R1044" s="25" t="s">
        <v>26</v>
      </c>
      <c r="S1044" s="25" t="s">
        <v>26</v>
      </c>
      <c r="T1044" s="25">
        <f t="shared" si="16"/>
        <v>66400</v>
      </c>
    </row>
    <row r="1045" spans="1:20">
      <c r="A1045" t="s">
        <v>2805</v>
      </c>
      <c r="B1045">
        <v>45906</v>
      </c>
      <c r="C1045" t="s">
        <v>126</v>
      </c>
      <c r="D1045" t="s">
        <v>88</v>
      </c>
      <c r="E1045" t="s">
        <v>127</v>
      </c>
      <c r="F1045">
        <v>4020</v>
      </c>
      <c r="G1045" t="s">
        <v>30</v>
      </c>
      <c r="H1045" t="s">
        <v>2806</v>
      </c>
      <c r="I1045" t="s">
        <v>72</v>
      </c>
      <c r="J1045">
        <v>35.200000000000003</v>
      </c>
      <c r="K1045" t="s">
        <v>129</v>
      </c>
      <c r="L1045" t="s">
        <v>2807</v>
      </c>
      <c r="M1045" t="s">
        <v>3</v>
      </c>
      <c r="N1045" t="s">
        <v>75</v>
      </c>
      <c r="O1045" s="25" t="s">
        <v>3831</v>
      </c>
      <c r="P1045" s="25">
        <v>1611</v>
      </c>
      <c r="Q1045" s="25">
        <v>56707.200000000004</v>
      </c>
      <c r="R1045" s="25" t="s">
        <v>26</v>
      </c>
      <c r="S1045" s="25" t="s">
        <v>26</v>
      </c>
      <c r="T1045" s="25">
        <f t="shared" si="16"/>
        <v>56707.200000000004</v>
      </c>
    </row>
    <row r="1046" spans="1:20">
      <c r="A1046" t="s">
        <v>2808</v>
      </c>
      <c r="B1046">
        <v>45906</v>
      </c>
      <c r="C1046" t="s">
        <v>126</v>
      </c>
      <c r="D1046" t="s">
        <v>88</v>
      </c>
      <c r="E1046" t="s">
        <v>132</v>
      </c>
      <c r="F1046">
        <v>4020</v>
      </c>
      <c r="G1046" t="s">
        <v>30</v>
      </c>
      <c r="H1046" t="s">
        <v>2809</v>
      </c>
      <c r="I1046" t="s">
        <v>72</v>
      </c>
      <c r="J1046">
        <v>32.96</v>
      </c>
      <c r="K1046" t="s">
        <v>134</v>
      </c>
      <c r="L1046" t="s">
        <v>2807</v>
      </c>
      <c r="M1046" t="s">
        <v>3</v>
      </c>
      <c r="N1046" t="s">
        <v>75</v>
      </c>
      <c r="O1046" s="25" t="s">
        <v>3831</v>
      </c>
      <c r="P1046" s="25">
        <v>1611</v>
      </c>
      <c r="Q1046" s="25">
        <v>53098.560000000005</v>
      </c>
      <c r="R1046" s="25" t="s">
        <v>26</v>
      </c>
      <c r="S1046" s="25" t="s">
        <v>26</v>
      </c>
      <c r="T1046" s="25">
        <f t="shared" si="16"/>
        <v>53098.560000000005</v>
      </c>
    </row>
    <row r="1047" spans="1:20">
      <c r="A1047" t="s">
        <v>2810</v>
      </c>
      <c r="B1047">
        <v>45906</v>
      </c>
      <c r="C1047" t="s">
        <v>126</v>
      </c>
      <c r="D1047" t="s">
        <v>88</v>
      </c>
      <c r="E1047" t="s">
        <v>136</v>
      </c>
      <c r="F1047">
        <v>4020</v>
      </c>
      <c r="G1047" t="s">
        <v>30</v>
      </c>
      <c r="H1047" t="s">
        <v>2811</v>
      </c>
      <c r="I1047" t="s">
        <v>71</v>
      </c>
      <c r="J1047">
        <v>49000</v>
      </c>
      <c r="K1047" t="s">
        <v>138</v>
      </c>
      <c r="L1047" t="s">
        <v>2807</v>
      </c>
      <c r="M1047" t="s">
        <v>3</v>
      </c>
      <c r="N1047" t="s">
        <v>75</v>
      </c>
      <c r="O1047" s="25" t="s">
        <v>3830</v>
      </c>
      <c r="P1047" s="25">
        <v>1</v>
      </c>
      <c r="Q1047" s="25">
        <v>49000</v>
      </c>
      <c r="R1047" s="25" t="s">
        <v>26</v>
      </c>
      <c r="S1047" s="25" t="s">
        <v>26</v>
      </c>
      <c r="T1047" s="25">
        <f t="shared" si="16"/>
        <v>49000</v>
      </c>
    </row>
    <row r="1048" spans="1:20">
      <c r="A1048" t="s">
        <v>2812</v>
      </c>
      <c r="B1048">
        <v>45906</v>
      </c>
      <c r="C1048" t="s">
        <v>126</v>
      </c>
      <c r="D1048" t="s">
        <v>88</v>
      </c>
      <c r="E1048" t="s">
        <v>140</v>
      </c>
      <c r="F1048">
        <v>4020</v>
      </c>
      <c r="G1048" t="s">
        <v>30</v>
      </c>
      <c r="H1048" t="s">
        <v>2813</v>
      </c>
      <c r="I1048" t="s">
        <v>71</v>
      </c>
      <c r="J1048">
        <v>51100</v>
      </c>
      <c r="K1048" t="s">
        <v>3</v>
      </c>
      <c r="L1048" t="s">
        <v>2814</v>
      </c>
      <c r="M1048" t="s">
        <v>3</v>
      </c>
      <c r="N1048" t="s">
        <v>75</v>
      </c>
      <c r="O1048" s="25" t="s">
        <v>3830</v>
      </c>
      <c r="P1048" s="25">
        <v>1</v>
      </c>
      <c r="Q1048" s="25">
        <v>51100</v>
      </c>
      <c r="R1048" s="25" t="s">
        <v>26</v>
      </c>
      <c r="S1048" s="25" t="s">
        <v>26</v>
      </c>
      <c r="T1048" s="25">
        <f t="shared" si="16"/>
        <v>51100</v>
      </c>
    </row>
    <row r="1049" spans="1:20">
      <c r="A1049" t="s">
        <v>2815</v>
      </c>
      <c r="B1049">
        <v>45906</v>
      </c>
      <c r="C1049" t="s">
        <v>87</v>
      </c>
      <c r="D1049" t="s">
        <v>94</v>
      </c>
      <c r="E1049" t="s">
        <v>3</v>
      </c>
      <c r="F1049">
        <v>5020</v>
      </c>
      <c r="G1049" t="s">
        <v>39</v>
      </c>
      <c r="H1049" t="s">
        <v>2694</v>
      </c>
      <c r="I1049" t="s">
        <v>71</v>
      </c>
      <c r="J1049">
        <v>-135000</v>
      </c>
      <c r="K1049" t="s">
        <v>276</v>
      </c>
      <c r="L1049" t="s">
        <v>2816</v>
      </c>
      <c r="M1049" t="s">
        <v>3</v>
      </c>
      <c r="N1049" t="s">
        <v>75</v>
      </c>
      <c r="O1049" s="25" t="s">
        <v>3830</v>
      </c>
      <c r="P1049" s="25">
        <v>1</v>
      </c>
      <c r="Q1049" s="25">
        <v>-135000</v>
      </c>
      <c r="R1049" s="25" t="s">
        <v>35</v>
      </c>
      <c r="S1049" s="25" t="s">
        <v>35</v>
      </c>
      <c r="T1049" s="25">
        <f t="shared" si="16"/>
        <v>-135000</v>
      </c>
    </row>
    <row r="1050" spans="1:20">
      <c r="A1050" t="s">
        <v>2817</v>
      </c>
      <c r="B1050">
        <v>45906</v>
      </c>
      <c r="C1050" t="s">
        <v>87</v>
      </c>
      <c r="D1050" t="s">
        <v>111</v>
      </c>
      <c r="E1050" t="s">
        <v>3</v>
      </c>
      <c r="F1050">
        <v>5010</v>
      </c>
      <c r="G1050" t="s">
        <v>37</v>
      </c>
      <c r="H1050" t="s">
        <v>2729</v>
      </c>
      <c r="I1050" t="s">
        <v>71</v>
      </c>
      <c r="J1050">
        <v>-1358000</v>
      </c>
      <c r="K1050" t="s">
        <v>145</v>
      </c>
      <c r="L1050" t="s">
        <v>2818</v>
      </c>
      <c r="M1050" t="s">
        <v>3</v>
      </c>
      <c r="N1050" t="s">
        <v>75</v>
      </c>
      <c r="O1050" s="25" t="s">
        <v>3830</v>
      </c>
      <c r="P1050" s="25">
        <v>1</v>
      </c>
      <c r="Q1050" s="25">
        <v>-1358000</v>
      </c>
      <c r="R1050" s="25" t="s">
        <v>35</v>
      </c>
      <c r="S1050" s="25" t="s">
        <v>35</v>
      </c>
      <c r="T1050" s="25">
        <f t="shared" si="16"/>
        <v>-1358000</v>
      </c>
    </row>
    <row r="1051" spans="1:20">
      <c r="A1051" t="s">
        <v>2819</v>
      </c>
      <c r="B1051">
        <v>45906</v>
      </c>
      <c r="C1051" t="s">
        <v>87</v>
      </c>
      <c r="D1051" t="s">
        <v>88</v>
      </c>
      <c r="E1051" t="s">
        <v>3</v>
      </c>
      <c r="F1051">
        <v>5030</v>
      </c>
      <c r="G1051" t="s">
        <v>41</v>
      </c>
      <c r="H1051" t="s">
        <v>2656</v>
      </c>
      <c r="I1051" t="s">
        <v>71</v>
      </c>
      <c r="J1051">
        <v>-611000</v>
      </c>
      <c r="K1051" t="s">
        <v>90</v>
      </c>
      <c r="L1051" t="s">
        <v>2820</v>
      </c>
      <c r="M1051" t="s">
        <v>3</v>
      </c>
      <c r="N1051" t="s">
        <v>75</v>
      </c>
      <c r="O1051" s="25" t="s">
        <v>3830</v>
      </c>
      <c r="P1051" s="25">
        <v>1</v>
      </c>
      <c r="Q1051" s="25">
        <v>-611000</v>
      </c>
      <c r="R1051" s="25" t="s">
        <v>35</v>
      </c>
      <c r="S1051" s="25" t="s">
        <v>35</v>
      </c>
      <c r="T1051" s="25">
        <f t="shared" si="16"/>
        <v>-611000</v>
      </c>
    </row>
    <row r="1052" spans="1:20">
      <c r="A1052" t="s">
        <v>2821</v>
      </c>
      <c r="B1052">
        <v>45906</v>
      </c>
      <c r="C1052" t="s">
        <v>87</v>
      </c>
      <c r="D1052" t="s">
        <v>88</v>
      </c>
      <c r="E1052" t="s">
        <v>3</v>
      </c>
      <c r="F1052">
        <v>5030</v>
      </c>
      <c r="G1052" t="s">
        <v>41</v>
      </c>
      <c r="H1052" t="s">
        <v>2822</v>
      </c>
      <c r="I1052" t="s">
        <v>71</v>
      </c>
      <c r="J1052">
        <v>-284000</v>
      </c>
      <c r="K1052" t="s">
        <v>280</v>
      </c>
      <c r="L1052" t="s">
        <v>2823</v>
      </c>
      <c r="M1052" t="s">
        <v>3</v>
      </c>
      <c r="N1052" t="s">
        <v>75</v>
      </c>
      <c r="O1052" s="25" t="s">
        <v>3830</v>
      </c>
      <c r="P1052" s="25">
        <v>1</v>
      </c>
      <c r="Q1052" s="25">
        <v>-284000</v>
      </c>
      <c r="R1052" s="25" t="s">
        <v>35</v>
      </c>
      <c r="S1052" s="25" t="s">
        <v>35</v>
      </c>
      <c r="T1052" s="25">
        <f t="shared" si="16"/>
        <v>-284000</v>
      </c>
    </row>
    <row r="1053" spans="1:20">
      <c r="A1053" t="s">
        <v>2824</v>
      </c>
      <c r="B1053">
        <v>45907</v>
      </c>
      <c r="C1053" t="s">
        <v>93</v>
      </c>
      <c r="D1053" t="s">
        <v>94</v>
      </c>
      <c r="E1053" t="s">
        <v>95</v>
      </c>
      <c r="F1053">
        <v>4000</v>
      </c>
      <c r="G1053" t="s">
        <v>25</v>
      </c>
      <c r="H1053" t="s">
        <v>2825</v>
      </c>
      <c r="I1053" t="s">
        <v>71</v>
      </c>
      <c r="J1053">
        <v>41300</v>
      </c>
      <c r="K1053" t="s">
        <v>3</v>
      </c>
      <c r="L1053" t="s">
        <v>2826</v>
      </c>
      <c r="M1053" t="s">
        <v>3</v>
      </c>
      <c r="N1053" t="s">
        <v>75</v>
      </c>
      <c r="O1053" s="25" t="s">
        <v>3830</v>
      </c>
      <c r="P1053" s="25">
        <v>1</v>
      </c>
      <c r="Q1053" s="25">
        <v>41300</v>
      </c>
      <c r="R1053" s="25" t="s">
        <v>26</v>
      </c>
      <c r="S1053" s="25" t="s">
        <v>26</v>
      </c>
      <c r="T1053" s="25">
        <f t="shared" si="16"/>
        <v>41300</v>
      </c>
    </row>
    <row r="1054" spans="1:20">
      <c r="A1054" t="s">
        <v>2827</v>
      </c>
      <c r="B1054">
        <v>45907</v>
      </c>
      <c r="C1054" t="s">
        <v>93</v>
      </c>
      <c r="D1054" t="s">
        <v>94</v>
      </c>
      <c r="E1054" t="s">
        <v>99</v>
      </c>
      <c r="F1054">
        <v>4000</v>
      </c>
      <c r="G1054" t="s">
        <v>25</v>
      </c>
      <c r="H1054" t="s">
        <v>2828</v>
      </c>
      <c r="I1054" t="s">
        <v>71</v>
      </c>
      <c r="J1054">
        <v>39100</v>
      </c>
      <c r="K1054" t="s">
        <v>3</v>
      </c>
      <c r="L1054" t="s">
        <v>2829</v>
      </c>
      <c r="M1054" t="s">
        <v>3</v>
      </c>
      <c r="N1054" t="s">
        <v>75</v>
      </c>
      <c r="O1054" s="25" t="s">
        <v>3830</v>
      </c>
      <c r="P1054" s="25">
        <v>1</v>
      </c>
      <c r="Q1054" s="25">
        <v>39100</v>
      </c>
      <c r="R1054" s="25" t="s">
        <v>26</v>
      </c>
      <c r="S1054" s="25" t="s">
        <v>26</v>
      </c>
      <c r="T1054" s="25">
        <f t="shared" si="16"/>
        <v>39100</v>
      </c>
    </row>
    <row r="1055" spans="1:20">
      <c r="A1055" t="s">
        <v>2830</v>
      </c>
      <c r="B1055">
        <v>45907</v>
      </c>
      <c r="C1055" t="s">
        <v>93</v>
      </c>
      <c r="D1055" t="s">
        <v>94</v>
      </c>
      <c r="E1055" t="s">
        <v>103</v>
      </c>
      <c r="F1055">
        <v>4000</v>
      </c>
      <c r="G1055" t="s">
        <v>25</v>
      </c>
      <c r="H1055" t="s">
        <v>2831</v>
      </c>
      <c r="I1055" t="s">
        <v>71</v>
      </c>
      <c r="J1055">
        <v>37100</v>
      </c>
      <c r="K1055" t="s">
        <v>3</v>
      </c>
      <c r="L1055" t="s">
        <v>2832</v>
      </c>
      <c r="M1055" t="s">
        <v>3</v>
      </c>
      <c r="N1055" t="s">
        <v>75</v>
      </c>
      <c r="O1055" s="25" t="s">
        <v>3830</v>
      </c>
      <c r="P1055" s="25">
        <v>1</v>
      </c>
      <c r="Q1055" s="25">
        <v>37100</v>
      </c>
      <c r="R1055" s="25" t="s">
        <v>26</v>
      </c>
      <c r="S1055" s="25" t="s">
        <v>26</v>
      </c>
      <c r="T1055" s="25">
        <f t="shared" si="16"/>
        <v>37100</v>
      </c>
    </row>
    <row r="1056" spans="1:20">
      <c r="A1056" t="s">
        <v>2833</v>
      </c>
      <c r="B1056">
        <v>45907</v>
      </c>
      <c r="C1056" t="s">
        <v>93</v>
      </c>
      <c r="D1056" t="s">
        <v>94</v>
      </c>
      <c r="E1056" t="s">
        <v>160</v>
      </c>
      <c r="F1056">
        <v>4000</v>
      </c>
      <c r="G1056" t="s">
        <v>25</v>
      </c>
      <c r="H1056" t="s">
        <v>2834</v>
      </c>
      <c r="I1056" t="s">
        <v>71</v>
      </c>
      <c r="J1056">
        <v>40400</v>
      </c>
      <c r="K1056" t="s">
        <v>3</v>
      </c>
      <c r="L1056" t="s">
        <v>2832</v>
      </c>
      <c r="M1056" t="s">
        <v>3</v>
      </c>
      <c r="N1056" t="s">
        <v>75</v>
      </c>
      <c r="O1056" s="25" t="s">
        <v>3830</v>
      </c>
      <c r="P1056" s="25">
        <v>1</v>
      </c>
      <c r="Q1056" s="25">
        <v>40400</v>
      </c>
      <c r="R1056" s="25" t="s">
        <v>26</v>
      </c>
      <c r="S1056" s="25" t="s">
        <v>26</v>
      </c>
      <c r="T1056" s="25">
        <f t="shared" si="16"/>
        <v>40400</v>
      </c>
    </row>
    <row r="1057" spans="1:20">
      <c r="A1057" t="s">
        <v>2835</v>
      </c>
      <c r="B1057">
        <v>45907</v>
      </c>
      <c r="C1057" t="s">
        <v>93</v>
      </c>
      <c r="D1057" t="s">
        <v>94</v>
      </c>
      <c r="E1057" t="s">
        <v>107</v>
      </c>
      <c r="F1057">
        <v>4000</v>
      </c>
      <c r="G1057" t="s">
        <v>25</v>
      </c>
      <c r="H1057" t="s">
        <v>2836</v>
      </c>
      <c r="I1057" t="s">
        <v>71</v>
      </c>
      <c r="J1057">
        <v>39800</v>
      </c>
      <c r="K1057" t="s">
        <v>3</v>
      </c>
      <c r="L1057" t="s">
        <v>2837</v>
      </c>
      <c r="M1057" t="s">
        <v>3</v>
      </c>
      <c r="N1057" t="s">
        <v>75</v>
      </c>
      <c r="O1057" s="25" t="s">
        <v>3830</v>
      </c>
      <c r="P1057" s="25">
        <v>1</v>
      </c>
      <c r="Q1057" s="25">
        <v>39800</v>
      </c>
      <c r="R1057" s="25" t="s">
        <v>26</v>
      </c>
      <c r="S1057" s="25" t="s">
        <v>26</v>
      </c>
      <c r="T1057" s="25">
        <f t="shared" si="16"/>
        <v>39800</v>
      </c>
    </row>
    <row r="1058" spans="1:20">
      <c r="A1058" t="s">
        <v>2838</v>
      </c>
      <c r="B1058">
        <v>45907</v>
      </c>
      <c r="C1058" t="s">
        <v>93</v>
      </c>
      <c r="D1058" t="s">
        <v>111</v>
      </c>
      <c r="E1058" t="s">
        <v>112</v>
      </c>
      <c r="F1058">
        <v>4000</v>
      </c>
      <c r="G1058" t="s">
        <v>25</v>
      </c>
      <c r="H1058" t="s">
        <v>2839</v>
      </c>
      <c r="I1058" t="s">
        <v>71</v>
      </c>
      <c r="J1058">
        <v>66000</v>
      </c>
      <c r="K1058" t="s">
        <v>3</v>
      </c>
      <c r="L1058" t="s">
        <v>2840</v>
      </c>
      <c r="M1058" t="s">
        <v>3</v>
      </c>
      <c r="N1058" t="s">
        <v>75</v>
      </c>
      <c r="O1058" s="25" t="s">
        <v>3830</v>
      </c>
      <c r="P1058" s="25">
        <v>1</v>
      </c>
      <c r="Q1058" s="25">
        <v>66000</v>
      </c>
      <c r="R1058" s="25" t="s">
        <v>26</v>
      </c>
      <c r="S1058" s="25" t="s">
        <v>26</v>
      </c>
      <c r="T1058" s="25">
        <f t="shared" si="16"/>
        <v>66000</v>
      </c>
    </row>
    <row r="1059" spans="1:20">
      <c r="A1059" t="s">
        <v>2841</v>
      </c>
      <c r="B1059">
        <v>45907</v>
      </c>
      <c r="C1059" t="s">
        <v>93</v>
      </c>
      <c r="D1059" t="s">
        <v>111</v>
      </c>
      <c r="E1059" t="s">
        <v>116</v>
      </c>
      <c r="F1059">
        <v>4000</v>
      </c>
      <c r="G1059" t="s">
        <v>25</v>
      </c>
      <c r="H1059" t="s">
        <v>2842</v>
      </c>
      <c r="I1059" t="s">
        <v>71</v>
      </c>
      <c r="J1059">
        <v>65400</v>
      </c>
      <c r="K1059" t="s">
        <v>3</v>
      </c>
      <c r="L1059" t="s">
        <v>2840</v>
      </c>
      <c r="M1059" t="s">
        <v>3</v>
      </c>
      <c r="N1059" t="s">
        <v>75</v>
      </c>
      <c r="O1059" s="25" t="s">
        <v>3830</v>
      </c>
      <c r="P1059" s="25">
        <v>1</v>
      </c>
      <c r="Q1059" s="25">
        <v>65400</v>
      </c>
      <c r="R1059" s="25" t="s">
        <v>26</v>
      </c>
      <c r="S1059" s="25" t="s">
        <v>26</v>
      </c>
      <c r="T1059" s="25">
        <f t="shared" si="16"/>
        <v>65400</v>
      </c>
    </row>
    <row r="1060" spans="1:20">
      <c r="A1060" t="s">
        <v>2843</v>
      </c>
      <c r="B1060">
        <v>45907</v>
      </c>
      <c r="C1060" t="s">
        <v>93</v>
      </c>
      <c r="D1060" t="s">
        <v>111</v>
      </c>
      <c r="E1060" t="s">
        <v>119</v>
      </c>
      <c r="F1060">
        <v>4000</v>
      </c>
      <c r="G1060" t="s">
        <v>25</v>
      </c>
      <c r="H1060" t="s">
        <v>2844</v>
      </c>
      <c r="I1060" t="s">
        <v>71</v>
      </c>
      <c r="J1060">
        <v>63100</v>
      </c>
      <c r="K1060" t="s">
        <v>3</v>
      </c>
      <c r="L1060" t="s">
        <v>2840</v>
      </c>
      <c r="M1060" t="s">
        <v>3</v>
      </c>
      <c r="N1060" t="s">
        <v>75</v>
      </c>
      <c r="O1060" s="25" t="s">
        <v>3830</v>
      </c>
      <c r="P1060" s="25">
        <v>1</v>
      </c>
      <c r="Q1060" s="25">
        <v>63100</v>
      </c>
      <c r="R1060" s="25" t="s">
        <v>26</v>
      </c>
      <c r="S1060" s="25" t="s">
        <v>26</v>
      </c>
      <c r="T1060" s="25">
        <f t="shared" si="16"/>
        <v>63100</v>
      </c>
    </row>
    <row r="1061" spans="1:20">
      <c r="A1061" t="s">
        <v>2845</v>
      </c>
      <c r="B1061">
        <v>45907</v>
      </c>
      <c r="C1061" t="s">
        <v>93</v>
      </c>
      <c r="D1061" t="s">
        <v>111</v>
      </c>
      <c r="E1061" t="s">
        <v>170</v>
      </c>
      <c r="F1061">
        <v>4000</v>
      </c>
      <c r="G1061" t="s">
        <v>25</v>
      </c>
      <c r="H1061" t="s">
        <v>2846</v>
      </c>
      <c r="I1061" t="s">
        <v>71</v>
      </c>
      <c r="J1061">
        <v>59500</v>
      </c>
      <c r="K1061" t="s">
        <v>3</v>
      </c>
      <c r="L1061" t="s">
        <v>2840</v>
      </c>
      <c r="M1061" t="s">
        <v>3</v>
      </c>
      <c r="N1061" t="s">
        <v>75</v>
      </c>
      <c r="O1061" s="25" t="s">
        <v>3830</v>
      </c>
      <c r="P1061" s="25">
        <v>1</v>
      </c>
      <c r="Q1061" s="25">
        <v>59500</v>
      </c>
      <c r="R1061" s="25" t="s">
        <v>26</v>
      </c>
      <c r="S1061" s="25" t="s">
        <v>26</v>
      </c>
      <c r="T1061" s="25">
        <f t="shared" si="16"/>
        <v>59500</v>
      </c>
    </row>
    <row r="1062" spans="1:20">
      <c r="A1062" t="s">
        <v>2847</v>
      </c>
      <c r="B1062">
        <v>45907</v>
      </c>
      <c r="C1062" t="s">
        <v>126</v>
      </c>
      <c r="D1062" t="s">
        <v>88</v>
      </c>
      <c r="E1062" t="s">
        <v>127</v>
      </c>
      <c r="F1062">
        <v>4020</v>
      </c>
      <c r="G1062" t="s">
        <v>30</v>
      </c>
      <c r="H1062" t="s">
        <v>2848</v>
      </c>
      <c r="I1062" t="s">
        <v>72</v>
      </c>
      <c r="J1062">
        <v>35.69</v>
      </c>
      <c r="K1062" t="s">
        <v>129</v>
      </c>
      <c r="L1062" t="s">
        <v>2849</v>
      </c>
      <c r="M1062" t="s">
        <v>3</v>
      </c>
      <c r="N1062" t="s">
        <v>75</v>
      </c>
      <c r="O1062" s="25" t="s">
        <v>3831</v>
      </c>
      <c r="P1062" s="25">
        <v>1611</v>
      </c>
      <c r="Q1062" s="25">
        <v>57496.59</v>
      </c>
      <c r="R1062" s="25" t="s">
        <v>26</v>
      </c>
      <c r="S1062" s="25" t="s">
        <v>26</v>
      </c>
      <c r="T1062" s="25">
        <f t="shared" si="16"/>
        <v>57496.59</v>
      </c>
    </row>
    <row r="1063" spans="1:20">
      <c r="A1063" t="s">
        <v>2850</v>
      </c>
      <c r="B1063">
        <v>45907</v>
      </c>
      <c r="C1063" t="s">
        <v>126</v>
      </c>
      <c r="D1063" t="s">
        <v>88</v>
      </c>
      <c r="E1063" t="s">
        <v>132</v>
      </c>
      <c r="F1063">
        <v>4020</v>
      </c>
      <c r="G1063" t="s">
        <v>30</v>
      </c>
      <c r="H1063" t="s">
        <v>2851</v>
      </c>
      <c r="I1063" t="s">
        <v>72</v>
      </c>
      <c r="J1063">
        <v>36.44</v>
      </c>
      <c r="K1063" t="s">
        <v>134</v>
      </c>
      <c r="L1063" t="s">
        <v>2849</v>
      </c>
      <c r="M1063" t="s">
        <v>3</v>
      </c>
      <c r="N1063" t="s">
        <v>75</v>
      </c>
      <c r="O1063" s="25" t="s">
        <v>3831</v>
      </c>
      <c r="P1063" s="25">
        <v>1611</v>
      </c>
      <c r="Q1063" s="25">
        <v>58704.84</v>
      </c>
      <c r="R1063" s="25" t="s">
        <v>26</v>
      </c>
      <c r="S1063" s="25" t="s">
        <v>26</v>
      </c>
      <c r="T1063" s="25">
        <f t="shared" si="16"/>
        <v>58704.84</v>
      </c>
    </row>
    <row r="1064" spans="1:20">
      <c r="A1064" t="s">
        <v>2852</v>
      </c>
      <c r="B1064">
        <v>45907</v>
      </c>
      <c r="C1064" t="s">
        <v>126</v>
      </c>
      <c r="D1064" t="s">
        <v>88</v>
      </c>
      <c r="E1064" t="s">
        <v>136</v>
      </c>
      <c r="F1064">
        <v>4020</v>
      </c>
      <c r="G1064" t="s">
        <v>30</v>
      </c>
      <c r="H1064" t="s">
        <v>2853</v>
      </c>
      <c r="I1064" t="s">
        <v>72</v>
      </c>
      <c r="J1064">
        <v>29.11</v>
      </c>
      <c r="K1064" t="s">
        <v>138</v>
      </c>
      <c r="L1064" t="s">
        <v>2849</v>
      </c>
      <c r="M1064" t="s">
        <v>3</v>
      </c>
      <c r="N1064" t="s">
        <v>75</v>
      </c>
      <c r="O1064" s="25" t="s">
        <v>3831</v>
      </c>
      <c r="P1064" s="25">
        <v>1611</v>
      </c>
      <c r="Q1064" s="25">
        <v>46896.21</v>
      </c>
      <c r="R1064" s="25" t="s">
        <v>26</v>
      </c>
      <c r="S1064" s="25" t="s">
        <v>26</v>
      </c>
      <c r="T1064" s="25">
        <f t="shared" si="16"/>
        <v>46896.21</v>
      </c>
    </row>
    <row r="1065" spans="1:20">
      <c r="A1065" t="s">
        <v>2854</v>
      </c>
      <c r="B1065">
        <v>45907</v>
      </c>
      <c r="C1065" t="s">
        <v>126</v>
      </c>
      <c r="D1065" t="s">
        <v>88</v>
      </c>
      <c r="E1065" t="s">
        <v>140</v>
      </c>
      <c r="F1065">
        <v>4020</v>
      </c>
      <c r="G1065" t="s">
        <v>30</v>
      </c>
      <c r="H1065" t="s">
        <v>2855</v>
      </c>
      <c r="I1065" t="s">
        <v>71</v>
      </c>
      <c r="J1065">
        <v>59500</v>
      </c>
      <c r="K1065" t="s">
        <v>3</v>
      </c>
      <c r="L1065" t="s">
        <v>2856</v>
      </c>
      <c r="M1065" t="s">
        <v>3</v>
      </c>
      <c r="N1065" t="s">
        <v>75</v>
      </c>
      <c r="O1065" s="25" t="s">
        <v>3830</v>
      </c>
      <c r="P1065" s="25">
        <v>1</v>
      </c>
      <c r="Q1065" s="25">
        <v>59500</v>
      </c>
      <c r="R1065" s="25" t="s">
        <v>26</v>
      </c>
      <c r="S1065" s="25" t="s">
        <v>26</v>
      </c>
      <c r="T1065" s="25">
        <f t="shared" si="16"/>
        <v>59500</v>
      </c>
    </row>
    <row r="1066" spans="1:20">
      <c r="A1066" t="s">
        <v>2857</v>
      </c>
      <c r="B1066">
        <v>45907</v>
      </c>
      <c r="C1066" t="s">
        <v>93</v>
      </c>
      <c r="D1066" t="s">
        <v>111</v>
      </c>
      <c r="E1066" t="s">
        <v>112</v>
      </c>
      <c r="F1066">
        <v>4900</v>
      </c>
      <c r="G1066" t="s">
        <v>32</v>
      </c>
      <c r="H1066" t="s">
        <v>2858</v>
      </c>
      <c r="I1066" t="s">
        <v>71</v>
      </c>
      <c r="J1066">
        <v>-176465</v>
      </c>
      <c r="K1066" t="s">
        <v>3</v>
      </c>
      <c r="L1066" t="s">
        <v>2859</v>
      </c>
      <c r="M1066" t="s">
        <v>3</v>
      </c>
      <c r="N1066" t="s">
        <v>75</v>
      </c>
      <c r="O1066" s="25" t="s">
        <v>3830</v>
      </c>
      <c r="P1066" s="25">
        <v>1</v>
      </c>
      <c r="Q1066" s="25">
        <v>-176465</v>
      </c>
      <c r="R1066" s="25" t="s">
        <v>26</v>
      </c>
      <c r="S1066" s="25" t="s">
        <v>26</v>
      </c>
      <c r="T1066" s="25">
        <f t="shared" si="16"/>
        <v>-176465</v>
      </c>
    </row>
    <row r="1067" spans="1:20">
      <c r="A1067" t="s">
        <v>2860</v>
      </c>
      <c r="B1067">
        <v>45907</v>
      </c>
      <c r="C1067" t="s">
        <v>87</v>
      </c>
      <c r="D1067" t="s">
        <v>94</v>
      </c>
      <c r="E1067" t="s">
        <v>3</v>
      </c>
      <c r="F1067">
        <v>5040</v>
      </c>
      <c r="G1067" t="s">
        <v>43</v>
      </c>
      <c r="H1067" t="s">
        <v>2861</v>
      </c>
      <c r="I1067" t="s">
        <v>71</v>
      </c>
      <c r="J1067">
        <v>-550000</v>
      </c>
      <c r="K1067" t="s">
        <v>187</v>
      </c>
      <c r="L1067" t="s">
        <v>2862</v>
      </c>
      <c r="M1067" t="s">
        <v>3</v>
      </c>
      <c r="N1067" t="s">
        <v>75</v>
      </c>
      <c r="O1067" s="25" t="s">
        <v>3830</v>
      </c>
      <c r="P1067" s="25">
        <v>1</v>
      </c>
      <c r="Q1067" s="25">
        <v>-550000</v>
      </c>
      <c r="R1067" s="25" t="s">
        <v>35</v>
      </c>
      <c r="S1067" s="25" t="s">
        <v>35</v>
      </c>
      <c r="T1067" s="25">
        <f t="shared" si="16"/>
        <v>-550000</v>
      </c>
    </row>
    <row r="1068" spans="1:20">
      <c r="A1068" t="s">
        <v>2863</v>
      </c>
      <c r="B1068">
        <v>45907</v>
      </c>
      <c r="C1068" t="s">
        <v>87</v>
      </c>
      <c r="D1068" t="s">
        <v>88</v>
      </c>
      <c r="E1068" t="s">
        <v>3</v>
      </c>
      <c r="F1068">
        <v>5040</v>
      </c>
      <c r="G1068" t="s">
        <v>43</v>
      </c>
      <c r="H1068" t="s">
        <v>2864</v>
      </c>
      <c r="I1068" t="s">
        <v>71</v>
      </c>
      <c r="J1068">
        <v>-722000</v>
      </c>
      <c r="K1068" t="s">
        <v>398</v>
      </c>
      <c r="L1068" t="s">
        <v>2865</v>
      </c>
      <c r="M1068" t="s">
        <v>3</v>
      </c>
      <c r="N1068" t="s">
        <v>75</v>
      </c>
      <c r="O1068" s="25" t="s">
        <v>3830</v>
      </c>
      <c r="P1068" s="25">
        <v>1</v>
      </c>
      <c r="Q1068" s="25">
        <v>-722000</v>
      </c>
      <c r="R1068" s="25" t="s">
        <v>35</v>
      </c>
      <c r="S1068" s="25" t="s">
        <v>35</v>
      </c>
      <c r="T1068" s="25">
        <f t="shared" si="16"/>
        <v>-722000</v>
      </c>
    </row>
    <row r="1069" spans="1:20">
      <c r="A1069" t="s">
        <v>2866</v>
      </c>
      <c r="B1069">
        <v>45908</v>
      </c>
      <c r="C1069" t="s">
        <v>93</v>
      </c>
      <c r="D1069" t="s">
        <v>94</v>
      </c>
      <c r="E1069" t="s">
        <v>95</v>
      </c>
      <c r="F1069">
        <v>4000</v>
      </c>
      <c r="G1069" t="s">
        <v>25</v>
      </c>
      <c r="H1069" t="s">
        <v>2867</v>
      </c>
      <c r="I1069" t="s">
        <v>71</v>
      </c>
      <c r="J1069">
        <v>29900</v>
      </c>
      <c r="K1069" t="s">
        <v>3</v>
      </c>
      <c r="L1069" t="s">
        <v>2868</v>
      </c>
      <c r="M1069" t="s">
        <v>3</v>
      </c>
      <c r="N1069" t="s">
        <v>75</v>
      </c>
      <c r="O1069" s="25" t="s">
        <v>3830</v>
      </c>
      <c r="P1069" s="25">
        <v>1</v>
      </c>
      <c r="Q1069" s="25">
        <v>29900</v>
      </c>
      <c r="R1069" s="25" t="s">
        <v>26</v>
      </c>
      <c r="S1069" s="25" t="s">
        <v>26</v>
      </c>
      <c r="T1069" s="25">
        <f t="shared" si="16"/>
        <v>29900</v>
      </c>
    </row>
    <row r="1070" spans="1:20">
      <c r="A1070" t="s">
        <v>2869</v>
      </c>
      <c r="B1070">
        <v>45908</v>
      </c>
      <c r="C1070" t="s">
        <v>93</v>
      </c>
      <c r="D1070" t="s">
        <v>94</v>
      </c>
      <c r="E1070" t="s">
        <v>99</v>
      </c>
      <c r="F1070">
        <v>4000</v>
      </c>
      <c r="G1070" t="s">
        <v>25</v>
      </c>
      <c r="H1070" t="s">
        <v>2870</v>
      </c>
      <c r="I1070" t="s">
        <v>71</v>
      </c>
      <c r="J1070">
        <v>33500</v>
      </c>
      <c r="K1070" t="s">
        <v>3</v>
      </c>
      <c r="L1070" t="s">
        <v>2871</v>
      </c>
      <c r="M1070" t="s">
        <v>3</v>
      </c>
      <c r="N1070" t="s">
        <v>75</v>
      </c>
      <c r="O1070" s="25" t="s">
        <v>3830</v>
      </c>
      <c r="P1070" s="25">
        <v>1</v>
      </c>
      <c r="Q1070" s="25">
        <v>33500</v>
      </c>
      <c r="R1070" s="25" t="s">
        <v>26</v>
      </c>
      <c r="S1070" s="25" t="s">
        <v>26</v>
      </c>
      <c r="T1070" s="25">
        <f t="shared" si="16"/>
        <v>33500</v>
      </c>
    </row>
    <row r="1071" spans="1:20">
      <c r="A1071" t="s">
        <v>2872</v>
      </c>
      <c r="B1071">
        <v>45908</v>
      </c>
      <c r="C1071" t="s">
        <v>93</v>
      </c>
      <c r="D1071" t="s">
        <v>94</v>
      </c>
      <c r="E1071" t="s">
        <v>103</v>
      </c>
      <c r="F1071">
        <v>4000</v>
      </c>
      <c r="G1071" t="s">
        <v>25</v>
      </c>
      <c r="H1071" t="s">
        <v>2873</v>
      </c>
      <c r="I1071" t="s">
        <v>71</v>
      </c>
      <c r="J1071">
        <v>33100</v>
      </c>
      <c r="K1071" t="s">
        <v>3</v>
      </c>
      <c r="L1071" t="s">
        <v>2874</v>
      </c>
      <c r="M1071" t="s">
        <v>3</v>
      </c>
      <c r="N1071" t="s">
        <v>75</v>
      </c>
      <c r="O1071" s="25" t="s">
        <v>3830</v>
      </c>
      <c r="P1071" s="25">
        <v>1</v>
      </c>
      <c r="Q1071" s="25">
        <v>33100</v>
      </c>
      <c r="R1071" s="25" t="s">
        <v>26</v>
      </c>
      <c r="S1071" s="25" t="s">
        <v>26</v>
      </c>
      <c r="T1071" s="25">
        <f t="shared" si="16"/>
        <v>33100</v>
      </c>
    </row>
    <row r="1072" spans="1:20">
      <c r="A1072" t="s">
        <v>2875</v>
      </c>
      <c r="B1072">
        <v>45908</v>
      </c>
      <c r="C1072" t="s">
        <v>93</v>
      </c>
      <c r="D1072" t="s">
        <v>94</v>
      </c>
      <c r="E1072" t="s">
        <v>160</v>
      </c>
      <c r="F1072">
        <v>4000</v>
      </c>
      <c r="G1072" t="s">
        <v>25</v>
      </c>
      <c r="H1072" t="s">
        <v>2876</v>
      </c>
      <c r="I1072" t="s">
        <v>71</v>
      </c>
      <c r="J1072">
        <v>30700</v>
      </c>
      <c r="K1072" t="s">
        <v>3</v>
      </c>
      <c r="L1072" t="s">
        <v>2874</v>
      </c>
      <c r="M1072" t="s">
        <v>3</v>
      </c>
      <c r="N1072" t="s">
        <v>75</v>
      </c>
      <c r="O1072" s="25" t="s">
        <v>3830</v>
      </c>
      <c r="P1072" s="25">
        <v>1</v>
      </c>
      <c r="Q1072" s="25">
        <v>30700</v>
      </c>
      <c r="R1072" s="25" t="s">
        <v>26</v>
      </c>
      <c r="S1072" s="25" t="s">
        <v>26</v>
      </c>
      <c r="T1072" s="25">
        <f t="shared" si="16"/>
        <v>30700</v>
      </c>
    </row>
    <row r="1073" spans="1:20">
      <c r="A1073" t="s">
        <v>2877</v>
      </c>
      <c r="B1073">
        <v>45908</v>
      </c>
      <c r="C1073" t="s">
        <v>93</v>
      </c>
      <c r="D1073" t="s">
        <v>94</v>
      </c>
      <c r="E1073" t="s">
        <v>107</v>
      </c>
      <c r="F1073">
        <v>4000</v>
      </c>
      <c r="G1073" t="s">
        <v>25</v>
      </c>
      <c r="H1073" t="s">
        <v>2878</v>
      </c>
      <c r="I1073" t="s">
        <v>71</v>
      </c>
      <c r="J1073">
        <v>33700</v>
      </c>
      <c r="K1073" t="s">
        <v>3</v>
      </c>
      <c r="L1073" t="s">
        <v>2879</v>
      </c>
      <c r="M1073" t="s">
        <v>3</v>
      </c>
      <c r="N1073" t="s">
        <v>75</v>
      </c>
      <c r="O1073" s="25" t="s">
        <v>3830</v>
      </c>
      <c r="P1073" s="25">
        <v>1</v>
      </c>
      <c r="Q1073" s="25">
        <v>33700</v>
      </c>
      <c r="R1073" s="25" t="s">
        <v>26</v>
      </c>
      <c r="S1073" s="25" t="s">
        <v>26</v>
      </c>
      <c r="T1073" s="25">
        <f t="shared" si="16"/>
        <v>33700</v>
      </c>
    </row>
    <row r="1074" spans="1:20">
      <c r="A1074" t="s">
        <v>2880</v>
      </c>
      <c r="B1074">
        <v>45908</v>
      </c>
      <c r="C1074" t="s">
        <v>93</v>
      </c>
      <c r="D1074" t="s">
        <v>111</v>
      </c>
      <c r="E1074" t="s">
        <v>116</v>
      </c>
      <c r="F1074">
        <v>4000</v>
      </c>
      <c r="G1074" t="s">
        <v>25</v>
      </c>
      <c r="H1074" t="s">
        <v>2881</v>
      </c>
      <c r="I1074" t="s">
        <v>71</v>
      </c>
      <c r="J1074">
        <v>51200</v>
      </c>
      <c r="K1074" t="s">
        <v>3</v>
      </c>
      <c r="L1074" t="s">
        <v>2882</v>
      </c>
      <c r="M1074" t="s">
        <v>3</v>
      </c>
      <c r="N1074" t="s">
        <v>75</v>
      </c>
      <c r="O1074" s="25" t="s">
        <v>3830</v>
      </c>
      <c r="P1074" s="25">
        <v>1</v>
      </c>
      <c r="Q1074" s="25">
        <v>51200</v>
      </c>
      <c r="R1074" s="25" t="s">
        <v>26</v>
      </c>
      <c r="S1074" s="25" t="s">
        <v>26</v>
      </c>
      <c r="T1074" s="25">
        <f t="shared" si="16"/>
        <v>51200</v>
      </c>
    </row>
    <row r="1075" spans="1:20">
      <c r="A1075" t="s">
        <v>2883</v>
      </c>
      <c r="B1075">
        <v>45908</v>
      </c>
      <c r="C1075" t="s">
        <v>93</v>
      </c>
      <c r="D1075" t="s">
        <v>111</v>
      </c>
      <c r="E1075" t="s">
        <v>119</v>
      </c>
      <c r="F1075">
        <v>4000</v>
      </c>
      <c r="G1075" t="s">
        <v>25</v>
      </c>
      <c r="H1075" t="s">
        <v>2884</v>
      </c>
      <c r="I1075" t="s">
        <v>71</v>
      </c>
      <c r="J1075">
        <v>51700</v>
      </c>
      <c r="K1075" t="s">
        <v>3</v>
      </c>
      <c r="L1075" t="s">
        <v>2882</v>
      </c>
      <c r="M1075" t="s">
        <v>3</v>
      </c>
      <c r="N1075" t="s">
        <v>75</v>
      </c>
      <c r="O1075" s="25" t="s">
        <v>3830</v>
      </c>
      <c r="P1075" s="25">
        <v>1</v>
      </c>
      <c r="Q1075" s="25">
        <v>51700</v>
      </c>
      <c r="R1075" s="25" t="s">
        <v>26</v>
      </c>
      <c r="S1075" s="25" t="s">
        <v>26</v>
      </c>
      <c r="T1075" s="25">
        <f t="shared" si="16"/>
        <v>51700</v>
      </c>
    </row>
    <row r="1076" spans="1:20">
      <c r="A1076" t="s">
        <v>2885</v>
      </c>
      <c r="B1076">
        <v>45908</v>
      </c>
      <c r="C1076" t="s">
        <v>93</v>
      </c>
      <c r="D1076" t="s">
        <v>111</v>
      </c>
      <c r="E1076" t="s">
        <v>170</v>
      </c>
      <c r="F1076">
        <v>4000</v>
      </c>
      <c r="G1076" t="s">
        <v>25</v>
      </c>
      <c r="H1076" t="s">
        <v>2886</v>
      </c>
      <c r="I1076" t="s">
        <v>71</v>
      </c>
      <c r="J1076">
        <v>47600</v>
      </c>
      <c r="K1076" t="s">
        <v>3</v>
      </c>
      <c r="L1076" t="s">
        <v>2882</v>
      </c>
      <c r="M1076" t="s">
        <v>3</v>
      </c>
      <c r="N1076" t="s">
        <v>75</v>
      </c>
      <c r="O1076" s="25" t="s">
        <v>3830</v>
      </c>
      <c r="P1076" s="25">
        <v>1</v>
      </c>
      <c r="Q1076" s="25">
        <v>47600</v>
      </c>
      <c r="R1076" s="25" t="s">
        <v>26</v>
      </c>
      <c r="S1076" s="25" t="s">
        <v>26</v>
      </c>
      <c r="T1076" s="25">
        <f t="shared" si="16"/>
        <v>47600</v>
      </c>
    </row>
    <row r="1077" spans="1:20">
      <c r="A1077" t="s">
        <v>2887</v>
      </c>
      <c r="B1077">
        <v>45908</v>
      </c>
      <c r="C1077" t="s">
        <v>93</v>
      </c>
      <c r="D1077" t="s">
        <v>111</v>
      </c>
      <c r="E1077" t="s">
        <v>122</v>
      </c>
      <c r="F1077">
        <v>4000</v>
      </c>
      <c r="G1077" t="s">
        <v>25</v>
      </c>
      <c r="H1077" t="s">
        <v>2888</v>
      </c>
      <c r="I1077" t="s">
        <v>71</v>
      </c>
      <c r="J1077">
        <v>52700</v>
      </c>
      <c r="K1077" t="s">
        <v>3</v>
      </c>
      <c r="L1077" t="s">
        <v>2889</v>
      </c>
      <c r="M1077" t="s">
        <v>3</v>
      </c>
      <c r="N1077" t="s">
        <v>75</v>
      </c>
      <c r="O1077" s="25" t="s">
        <v>3830</v>
      </c>
      <c r="P1077" s="25">
        <v>1</v>
      </c>
      <c r="Q1077" s="25">
        <v>52700</v>
      </c>
      <c r="R1077" s="25" t="s">
        <v>26</v>
      </c>
      <c r="S1077" s="25" t="s">
        <v>26</v>
      </c>
      <c r="T1077" s="25">
        <f t="shared" si="16"/>
        <v>52700</v>
      </c>
    </row>
    <row r="1078" spans="1:20">
      <c r="A1078" t="s">
        <v>2890</v>
      </c>
      <c r="B1078">
        <v>45908</v>
      </c>
      <c r="C1078" t="s">
        <v>126</v>
      </c>
      <c r="D1078" t="s">
        <v>88</v>
      </c>
      <c r="E1078" t="s">
        <v>127</v>
      </c>
      <c r="F1078">
        <v>4020</v>
      </c>
      <c r="G1078" t="s">
        <v>30</v>
      </c>
      <c r="H1078" t="s">
        <v>2891</v>
      </c>
      <c r="I1078" t="s">
        <v>71</v>
      </c>
      <c r="J1078">
        <v>47700</v>
      </c>
      <c r="K1078" t="s">
        <v>129</v>
      </c>
      <c r="L1078" t="s">
        <v>2892</v>
      </c>
      <c r="M1078" t="s">
        <v>3</v>
      </c>
      <c r="N1078" t="s">
        <v>75</v>
      </c>
      <c r="O1078" s="25" t="s">
        <v>3830</v>
      </c>
      <c r="P1078" s="25">
        <v>1</v>
      </c>
      <c r="Q1078" s="25">
        <v>47700</v>
      </c>
      <c r="R1078" s="25" t="s">
        <v>26</v>
      </c>
      <c r="S1078" s="25" t="s">
        <v>26</v>
      </c>
      <c r="T1078" s="25">
        <f t="shared" si="16"/>
        <v>47700</v>
      </c>
    </row>
    <row r="1079" spans="1:20">
      <c r="A1079" t="s">
        <v>2893</v>
      </c>
      <c r="B1079">
        <v>45908</v>
      </c>
      <c r="C1079" t="s">
        <v>126</v>
      </c>
      <c r="D1079" t="s">
        <v>88</v>
      </c>
      <c r="E1079" t="s">
        <v>132</v>
      </c>
      <c r="F1079">
        <v>4020</v>
      </c>
      <c r="G1079" t="s">
        <v>30</v>
      </c>
      <c r="H1079" t="s">
        <v>2894</v>
      </c>
      <c r="I1079" t="s">
        <v>71</v>
      </c>
      <c r="J1079">
        <v>47700</v>
      </c>
      <c r="K1079" t="s">
        <v>134</v>
      </c>
      <c r="L1079" t="s">
        <v>2892</v>
      </c>
      <c r="M1079" t="s">
        <v>3</v>
      </c>
      <c r="N1079" t="s">
        <v>75</v>
      </c>
      <c r="O1079" s="25" t="s">
        <v>3830</v>
      </c>
      <c r="P1079" s="25">
        <v>1</v>
      </c>
      <c r="Q1079" s="25">
        <v>47700</v>
      </c>
      <c r="R1079" s="25" t="s">
        <v>26</v>
      </c>
      <c r="S1079" s="25" t="s">
        <v>26</v>
      </c>
      <c r="T1079" s="25">
        <f t="shared" si="16"/>
        <v>47700</v>
      </c>
    </row>
    <row r="1080" spans="1:20">
      <c r="A1080" t="s">
        <v>2895</v>
      </c>
      <c r="B1080">
        <v>45908</v>
      </c>
      <c r="C1080" t="s">
        <v>126</v>
      </c>
      <c r="D1080" t="s">
        <v>88</v>
      </c>
      <c r="E1080" t="s">
        <v>136</v>
      </c>
      <c r="F1080">
        <v>4020</v>
      </c>
      <c r="G1080" t="s">
        <v>30</v>
      </c>
      <c r="H1080" t="s">
        <v>2896</v>
      </c>
      <c r="I1080" t="s">
        <v>71</v>
      </c>
      <c r="J1080">
        <v>50200</v>
      </c>
      <c r="K1080" t="s">
        <v>138</v>
      </c>
      <c r="L1080" t="s">
        <v>2892</v>
      </c>
      <c r="M1080" t="s">
        <v>3</v>
      </c>
      <c r="N1080" t="s">
        <v>75</v>
      </c>
      <c r="O1080" s="25" t="s">
        <v>3830</v>
      </c>
      <c r="P1080" s="25">
        <v>1</v>
      </c>
      <c r="Q1080" s="25">
        <v>50200</v>
      </c>
      <c r="R1080" s="25" t="s">
        <v>26</v>
      </c>
      <c r="S1080" s="25" t="s">
        <v>26</v>
      </c>
      <c r="T1080" s="25">
        <f t="shared" si="16"/>
        <v>50200</v>
      </c>
    </row>
    <row r="1081" spans="1:20">
      <c r="A1081" t="s">
        <v>2897</v>
      </c>
      <c r="B1081">
        <v>45908</v>
      </c>
      <c r="C1081" t="s">
        <v>126</v>
      </c>
      <c r="D1081" t="s">
        <v>88</v>
      </c>
      <c r="E1081" t="s">
        <v>140</v>
      </c>
      <c r="F1081">
        <v>4020</v>
      </c>
      <c r="G1081" t="s">
        <v>30</v>
      </c>
      <c r="H1081" t="s">
        <v>2898</v>
      </c>
      <c r="I1081" t="s">
        <v>71</v>
      </c>
      <c r="J1081">
        <v>54700</v>
      </c>
      <c r="K1081" t="s">
        <v>3</v>
      </c>
      <c r="L1081" t="s">
        <v>2899</v>
      </c>
      <c r="M1081" t="s">
        <v>3</v>
      </c>
      <c r="N1081" t="s">
        <v>75</v>
      </c>
      <c r="O1081" s="25" t="s">
        <v>3830</v>
      </c>
      <c r="P1081" s="25">
        <v>1</v>
      </c>
      <c r="Q1081" s="25">
        <v>54700</v>
      </c>
      <c r="R1081" s="25" t="s">
        <v>26</v>
      </c>
      <c r="S1081" s="25" t="s">
        <v>26</v>
      </c>
      <c r="T1081" s="25">
        <f t="shared" si="16"/>
        <v>54700</v>
      </c>
    </row>
    <row r="1082" spans="1:20">
      <c r="A1082" t="s">
        <v>2900</v>
      </c>
      <c r="B1082">
        <v>45908</v>
      </c>
      <c r="C1082" t="s">
        <v>93</v>
      </c>
      <c r="D1082" t="s">
        <v>111</v>
      </c>
      <c r="E1082" t="s">
        <v>112</v>
      </c>
      <c r="F1082">
        <v>4900</v>
      </c>
      <c r="G1082" t="s">
        <v>32</v>
      </c>
      <c r="H1082" t="s">
        <v>2901</v>
      </c>
      <c r="I1082" t="s">
        <v>71</v>
      </c>
      <c r="J1082">
        <v>-34929</v>
      </c>
      <c r="K1082" t="s">
        <v>3</v>
      </c>
      <c r="L1082" t="s">
        <v>2902</v>
      </c>
      <c r="M1082" t="s">
        <v>3</v>
      </c>
      <c r="N1082" t="s">
        <v>75</v>
      </c>
      <c r="O1082" s="25" t="s">
        <v>3830</v>
      </c>
      <c r="P1082" s="25">
        <v>1</v>
      </c>
      <c r="Q1082" s="25">
        <v>-34929</v>
      </c>
      <c r="R1082" s="25" t="s">
        <v>26</v>
      </c>
      <c r="S1082" s="25" t="s">
        <v>26</v>
      </c>
      <c r="T1082" s="25">
        <f t="shared" si="16"/>
        <v>-34929</v>
      </c>
    </row>
    <row r="1083" spans="1:20">
      <c r="A1083" t="s">
        <v>2903</v>
      </c>
      <c r="B1083">
        <v>45909</v>
      </c>
      <c r="C1083" t="s">
        <v>93</v>
      </c>
      <c r="D1083" t="s">
        <v>94</v>
      </c>
      <c r="E1083" t="s">
        <v>95</v>
      </c>
      <c r="F1083">
        <v>4000</v>
      </c>
      <c r="G1083" t="s">
        <v>25</v>
      </c>
      <c r="H1083" t="s">
        <v>2904</v>
      </c>
      <c r="I1083" t="s">
        <v>71</v>
      </c>
      <c r="J1083">
        <v>33100</v>
      </c>
      <c r="K1083" t="s">
        <v>3</v>
      </c>
      <c r="L1083" t="s">
        <v>2905</v>
      </c>
      <c r="M1083" t="s">
        <v>3</v>
      </c>
      <c r="N1083" t="s">
        <v>75</v>
      </c>
      <c r="O1083" s="25" t="s">
        <v>3830</v>
      </c>
      <c r="P1083" s="25">
        <v>1</v>
      </c>
      <c r="Q1083" s="25">
        <v>33100</v>
      </c>
      <c r="R1083" s="25" t="s">
        <v>26</v>
      </c>
      <c r="S1083" s="25" t="s">
        <v>26</v>
      </c>
      <c r="T1083" s="25">
        <f t="shared" si="16"/>
        <v>33100</v>
      </c>
    </row>
    <row r="1084" spans="1:20">
      <c r="A1084" t="s">
        <v>2906</v>
      </c>
      <c r="B1084">
        <v>45909</v>
      </c>
      <c r="C1084" t="s">
        <v>93</v>
      </c>
      <c r="D1084" t="s">
        <v>94</v>
      </c>
      <c r="E1084" t="s">
        <v>99</v>
      </c>
      <c r="F1084">
        <v>4000</v>
      </c>
      <c r="G1084" t="s">
        <v>25</v>
      </c>
      <c r="H1084" t="s">
        <v>2907</v>
      </c>
      <c r="I1084" t="s">
        <v>71</v>
      </c>
      <c r="J1084">
        <v>33600</v>
      </c>
      <c r="K1084" t="s">
        <v>3</v>
      </c>
      <c r="L1084" t="s">
        <v>2908</v>
      </c>
      <c r="M1084" t="s">
        <v>3</v>
      </c>
      <c r="N1084" t="s">
        <v>75</v>
      </c>
      <c r="O1084" s="25" t="s">
        <v>3830</v>
      </c>
      <c r="P1084" s="25">
        <v>1</v>
      </c>
      <c r="Q1084" s="25">
        <v>33600</v>
      </c>
      <c r="R1084" s="25" t="s">
        <v>26</v>
      </c>
      <c r="S1084" s="25" t="s">
        <v>26</v>
      </c>
      <c r="T1084" s="25">
        <f t="shared" si="16"/>
        <v>33600</v>
      </c>
    </row>
    <row r="1085" spans="1:20">
      <c r="A1085" t="s">
        <v>2909</v>
      </c>
      <c r="B1085">
        <v>45909</v>
      </c>
      <c r="C1085" t="s">
        <v>93</v>
      </c>
      <c r="D1085" t="s">
        <v>94</v>
      </c>
      <c r="E1085" t="s">
        <v>103</v>
      </c>
      <c r="F1085">
        <v>4000</v>
      </c>
      <c r="G1085" t="s">
        <v>25</v>
      </c>
      <c r="H1085" t="s">
        <v>2910</v>
      </c>
      <c r="I1085" t="s">
        <v>71</v>
      </c>
      <c r="J1085">
        <v>32000</v>
      </c>
      <c r="K1085" t="s">
        <v>3</v>
      </c>
      <c r="L1085" t="s">
        <v>2911</v>
      </c>
      <c r="M1085" t="s">
        <v>3</v>
      </c>
      <c r="N1085" t="s">
        <v>75</v>
      </c>
      <c r="O1085" s="25" t="s">
        <v>3830</v>
      </c>
      <c r="P1085" s="25">
        <v>1</v>
      </c>
      <c r="Q1085" s="25">
        <v>32000</v>
      </c>
      <c r="R1085" s="25" t="s">
        <v>26</v>
      </c>
      <c r="S1085" s="25" t="s">
        <v>26</v>
      </c>
      <c r="T1085" s="25">
        <f t="shared" si="16"/>
        <v>32000</v>
      </c>
    </row>
    <row r="1086" spans="1:20">
      <c r="A1086" t="s">
        <v>2912</v>
      </c>
      <c r="B1086">
        <v>45909</v>
      </c>
      <c r="C1086" t="s">
        <v>93</v>
      </c>
      <c r="D1086" t="s">
        <v>94</v>
      </c>
      <c r="E1086" t="s">
        <v>160</v>
      </c>
      <c r="F1086">
        <v>4000</v>
      </c>
      <c r="G1086" t="s">
        <v>25</v>
      </c>
      <c r="H1086" t="s">
        <v>2913</v>
      </c>
      <c r="I1086" t="s">
        <v>71</v>
      </c>
      <c r="J1086">
        <v>31900</v>
      </c>
      <c r="K1086" t="s">
        <v>3</v>
      </c>
      <c r="L1086" t="s">
        <v>2911</v>
      </c>
      <c r="M1086" t="s">
        <v>3</v>
      </c>
      <c r="N1086" t="s">
        <v>75</v>
      </c>
      <c r="O1086" s="25" t="s">
        <v>3830</v>
      </c>
      <c r="P1086" s="25">
        <v>1</v>
      </c>
      <c r="Q1086" s="25">
        <v>31900</v>
      </c>
      <c r="R1086" s="25" t="s">
        <v>26</v>
      </c>
      <c r="S1086" s="25" t="s">
        <v>26</v>
      </c>
      <c r="T1086" s="25">
        <f t="shared" si="16"/>
        <v>31900</v>
      </c>
    </row>
    <row r="1087" spans="1:20">
      <c r="A1087" t="s">
        <v>2914</v>
      </c>
      <c r="B1087">
        <v>45909</v>
      </c>
      <c r="C1087" t="s">
        <v>93</v>
      </c>
      <c r="D1087" t="s">
        <v>94</v>
      </c>
      <c r="E1087" t="s">
        <v>107</v>
      </c>
      <c r="F1087">
        <v>4000</v>
      </c>
      <c r="G1087" t="s">
        <v>25</v>
      </c>
      <c r="H1087" t="s">
        <v>2915</v>
      </c>
      <c r="I1087" t="s">
        <v>71</v>
      </c>
      <c r="J1087">
        <v>29200</v>
      </c>
      <c r="K1087" t="s">
        <v>3</v>
      </c>
      <c r="L1087" t="s">
        <v>2916</v>
      </c>
      <c r="M1087" t="s">
        <v>3</v>
      </c>
      <c r="N1087" t="s">
        <v>75</v>
      </c>
      <c r="O1087" s="25" t="s">
        <v>3830</v>
      </c>
      <c r="P1087" s="25">
        <v>1</v>
      </c>
      <c r="Q1087" s="25">
        <v>29200</v>
      </c>
      <c r="R1087" s="25" t="s">
        <v>26</v>
      </c>
      <c r="S1087" s="25" t="s">
        <v>26</v>
      </c>
      <c r="T1087" s="25">
        <f t="shared" si="16"/>
        <v>29200</v>
      </c>
    </row>
    <row r="1088" spans="1:20">
      <c r="A1088" t="s">
        <v>2917</v>
      </c>
      <c r="B1088">
        <v>45909</v>
      </c>
      <c r="C1088" t="s">
        <v>93</v>
      </c>
      <c r="D1088" t="s">
        <v>111</v>
      </c>
      <c r="E1088" t="s">
        <v>112</v>
      </c>
      <c r="F1088">
        <v>4000</v>
      </c>
      <c r="G1088" t="s">
        <v>25</v>
      </c>
      <c r="H1088" t="s">
        <v>2918</v>
      </c>
      <c r="I1088" t="s">
        <v>71</v>
      </c>
      <c r="J1088">
        <v>47900</v>
      </c>
      <c r="K1088" t="s">
        <v>3</v>
      </c>
      <c r="L1088" t="s">
        <v>2919</v>
      </c>
      <c r="M1088" t="s">
        <v>3</v>
      </c>
      <c r="N1088" t="s">
        <v>75</v>
      </c>
      <c r="O1088" s="25" t="s">
        <v>3830</v>
      </c>
      <c r="P1088" s="25">
        <v>1</v>
      </c>
      <c r="Q1088" s="25">
        <v>47900</v>
      </c>
      <c r="R1088" s="25" t="s">
        <v>26</v>
      </c>
      <c r="S1088" s="25" t="s">
        <v>26</v>
      </c>
      <c r="T1088" s="25">
        <f t="shared" si="16"/>
        <v>47900</v>
      </c>
    </row>
    <row r="1089" spans="1:20">
      <c r="A1089" t="s">
        <v>2920</v>
      </c>
      <c r="B1089">
        <v>45909</v>
      </c>
      <c r="C1089" t="s">
        <v>93</v>
      </c>
      <c r="D1089" t="s">
        <v>111</v>
      </c>
      <c r="E1089" t="s">
        <v>116</v>
      </c>
      <c r="F1089">
        <v>4000</v>
      </c>
      <c r="G1089" t="s">
        <v>25</v>
      </c>
      <c r="H1089" t="s">
        <v>2921</v>
      </c>
      <c r="I1089" t="s">
        <v>71</v>
      </c>
      <c r="J1089">
        <v>47700</v>
      </c>
      <c r="K1089" t="s">
        <v>3</v>
      </c>
      <c r="L1089" t="s">
        <v>2919</v>
      </c>
      <c r="M1089" t="s">
        <v>3</v>
      </c>
      <c r="N1089" t="s">
        <v>75</v>
      </c>
      <c r="O1089" s="25" t="s">
        <v>3830</v>
      </c>
      <c r="P1089" s="25">
        <v>1</v>
      </c>
      <c r="Q1089" s="25">
        <v>47700</v>
      </c>
      <c r="R1089" s="25" t="s">
        <v>26</v>
      </c>
      <c r="S1089" s="25" t="s">
        <v>26</v>
      </c>
      <c r="T1089" s="25">
        <f t="shared" si="16"/>
        <v>47700</v>
      </c>
    </row>
    <row r="1090" spans="1:20">
      <c r="A1090" t="s">
        <v>2922</v>
      </c>
      <c r="B1090">
        <v>45909</v>
      </c>
      <c r="C1090" t="s">
        <v>93</v>
      </c>
      <c r="D1090" t="s">
        <v>111</v>
      </c>
      <c r="E1090" t="s">
        <v>119</v>
      </c>
      <c r="F1090">
        <v>4000</v>
      </c>
      <c r="G1090" t="s">
        <v>25</v>
      </c>
      <c r="H1090" t="s">
        <v>2923</v>
      </c>
      <c r="I1090" t="s">
        <v>71</v>
      </c>
      <c r="J1090">
        <v>47800</v>
      </c>
      <c r="K1090" t="s">
        <v>3</v>
      </c>
      <c r="L1090" t="s">
        <v>2919</v>
      </c>
      <c r="M1090" t="s">
        <v>3</v>
      </c>
      <c r="N1090" t="s">
        <v>75</v>
      </c>
      <c r="O1090" s="25" t="s">
        <v>3830</v>
      </c>
      <c r="P1090" s="25">
        <v>1</v>
      </c>
      <c r="Q1090" s="25">
        <v>47800</v>
      </c>
      <c r="R1090" s="25" t="s">
        <v>26</v>
      </c>
      <c r="S1090" s="25" t="s">
        <v>26</v>
      </c>
      <c r="T1090" s="25">
        <f t="shared" ref="T1090:T1153" si="17">IF(AND(S1090="Revenue",G1090&lt;&gt;"Refunds &amp; Chargebacks"),ABS(Q1090),-ABS(Q1090))</f>
        <v>47800</v>
      </c>
    </row>
    <row r="1091" spans="1:20">
      <c r="A1091" t="s">
        <v>2924</v>
      </c>
      <c r="B1091">
        <v>45909</v>
      </c>
      <c r="C1091" t="s">
        <v>93</v>
      </c>
      <c r="D1091" t="s">
        <v>111</v>
      </c>
      <c r="E1091" t="s">
        <v>170</v>
      </c>
      <c r="F1091">
        <v>4000</v>
      </c>
      <c r="G1091" t="s">
        <v>25</v>
      </c>
      <c r="H1091" t="s">
        <v>2925</v>
      </c>
      <c r="I1091" t="s">
        <v>71</v>
      </c>
      <c r="J1091">
        <v>48200</v>
      </c>
      <c r="K1091" t="s">
        <v>3</v>
      </c>
      <c r="L1091" t="s">
        <v>2919</v>
      </c>
      <c r="M1091" t="s">
        <v>3</v>
      </c>
      <c r="N1091" t="s">
        <v>75</v>
      </c>
      <c r="O1091" s="25" t="s">
        <v>3830</v>
      </c>
      <c r="P1091" s="25">
        <v>1</v>
      </c>
      <c r="Q1091" s="25">
        <v>48200</v>
      </c>
      <c r="R1091" s="25" t="s">
        <v>26</v>
      </c>
      <c r="S1091" s="25" t="s">
        <v>26</v>
      </c>
      <c r="T1091" s="25">
        <f t="shared" si="17"/>
        <v>48200</v>
      </c>
    </row>
    <row r="1092" spans="1:20">
      <c r="A1092" t="s">
        <v>2926</v>
      </c>
      <c r="B1092">
        <v>45909</v>
      </c>
      <c r="C1092" t="s">
        <v>93</v>
      </c>
      <c r="D1092" t="s">
        <v>111</v>
      </c>
      <c r="E1092" t="s">
        <v>122</v>
      </c>
      <c r="F1092">
        <v>4000</v>
      </c>
      <c r="G1092" t="s">
        <v>25</v>
      </c>
      <c r="H1092" t="s">
        <v>2927</v>
      </c>
      <c r="I1092" t="s">
        <v>71</v>
      </c>
      <c r="J1092">
        <v>52400</v>
      </c>
      <c r="K1092" t="s">
        <v>3</v>
      </c>
      <c r="L1092" t="s">
        <v>2928</v>
      </c>
      <c r="M1092" t="s">
        <v>3</v>
      </c>
      <c r="N1092" t="s">
        <v>75</v>
      </c>
      <c r="O1092" s="25" t="s">
        <v>3830</v>
      </c>
      <c r="P1092" s="25">
        <v>1</v>
      </c>
      <c r="Q1092" s="25">
        <v>52400</v>
      </c>
      <c r="R1092" s="25" t="s">
        <v>26</v>
      </c>
      <c r="S1092" s="25" t="s">
        <v>26</v>
      </c>
      <c r="T1092" s="25">
        <f t="shared" si="17"/>
        <v>52400</v>
      </c>
    </row>
    <row r="1093" spans="1:20">
      <c r="A1093" t="s">
        <v>2929</v>
      </c>
      <c r="B1093">
        <v>45909</v>
      </c>
      <c r="C1093" t="s">
        <v>126</v>
      </c>
      <c r="D1093" t="s">
        <v>88</v>
      </c>
      <c r="E1093" t="s">
        <v>127</v>
      </c>
      <c r="F1093">
        <v>4020</v>
      </c>
      <c r="G1093" t="s">
        <v>30</v>
      </c>
      <c r="H1093" t="s">
        <v>2930</v>
      </c>
      <c r="I1093" t="s">
        <v>71</v>
      </c>
      <c r="J1093">
        <v>47200</v>
      </c>
      <c r="K1093" t="s">
        <v>129</v>
      </c>
      <c r="L1093" t="s">
        <v>2931</v>
      </c>
      <c r="M1093" t="s">
        <v>3</v>
      </c>
      <c r="N1093" t="s">
        <v>75</v>
      </c>
      <c r="O1093" s="25" t="s">
        <v>3830</v>
      </c>
      <c r="P1093" s="25">
        <v>1</v>
      </c>
      <c r="Q1093" s="25">
        <v>47200</v>
      </c>
      <c r="R1093" s="25" t="s">
        <v>26</v>
      </c>
      <c r="S1093" s="25" t="s">
        <v>26</v>
      </c>
      <c r="T1093" s="25">
        <f t="shared" si="17"/>
        <v>47200</v>
      </c>
    </row>
    <row r="1094" spans="1:20">
      <c r="A1094" t="s">
        <v>2932</v>
      </c>
      <c r="B1094">
        <v>45909</v>
      </c>
      <c r="C1094" t="s">
        <v>126</v>
      </c>
      <c r="D1094" t="s">
        <v>88</v>
      </c>
      <c r="E1094" t="s">
        <v>132</v>
      </c>
      <c r="F1094">
        <v>4020</v>
      </c>
      <c r="G1094" t="s">
        <v>30</v>
      </c>
      <c r="H1094" t="s">
        <v>2933</v>
      </c>
      <c r="I1094" t="s">
        <v>71</v>
      </c>
      <c r="J1094">
        <v>54900</v>
      </c>
      <c r="K1094" t="s">
        <v>134</v>
      </c>
      <c r="L1094" t="s">
        <v>2931</v>
      </c>
      <c r="M1094" t="s">
        <v>3</v>
      </c>
      <c r="N1094" t="s">
        <v>75</v>
      </c>
      <c r="O1094" s="25" t="s">
        <v>3830</v>
      </c>
      <c r="P1094" s="25">
        <v>1</v>
      </c>
      <c r="Q1094" s="25">
        <v>54900</v>
      </c>
      <c r="R1094" s="25" t="s">
        <v>26</v>
      </c>
      <c r="S1094" s="25" t="s">
        <v>26</v>
      </c>
      <c r="T1094" s="25">
        <f t="shared" si="17"/>
        <v>54900</v>
      </c>
    </row>
    <row r="1095" spans="1:20">
      <c r="A1095" t="s">
        <v>2934</v>
      </c>
      <c r="B1095">
        <v>45909</v>
      </c>
      <c r="C1095" t="s">
        <v>126</v>
      </c>
      <c r="D1095" t="s">
        <v>88</v>
      </c>
      <c r="E1095" t="s">
        <v>136</v>
      </c>
      <c r="F1095">
        <v>4020</v>
      </c>
      <c r="G1095" t="s">
        <v>30</v>
      </c>
      <c r="H1095" t="s">
        <v>2935</v>
      </c>
      <c r="I1095" t="s">
        <v>71</v>
      </c>
      <c r="J1095">
        <v>48000</v>
      </c>
      <c r="K1095" t="s">
        <v>138</v>
      </c>
      <c r="L1095" t="s">
        <v>2931</v>
      </c>
      <c r="M1095" t="s">
        <v>3</v>
      </c>
      <c r="N1095" t="s">
        <v>75</v>
      </c>
      <c r="O1095" s="25" t="s">
        <v>3830</v>
      </c>
      <c r="P1095" s="25">
        <v>1</v>
      </c>
      <c r="Q1095" s="25">
        <v>48000</v>
      </c>
      <c r="R1095" s="25" t="s">
        <v>26</v>
      </c>
      <c r="S1095" s="25" t="s">
        <v>26</v>
      </c>
      <c r="T1095" s="25">
        <f t="shared" si="17"/>
        <v>48000</v>
      </c>
    </row>
    <row r="1096" spans="1:20">
      <c r="A1096" t="s">
        <v>2936</v>
      </c>
      <c r="B1096">
        <v>45909</v>
      </c>
      <c r="C1096" t="s">
        <v>126</v>
      </c>
      <c r="D1096" t="s">
        <v>88</v>
      </c>
      <c r="E1096" t="s">
        <v>140</v>
      </c>
      <c r="F1096">
        <v>4020</v>
      </c>
      <c r="G1096" t="s">
        <v>30</v>
      </c>
      <c r="H1096" t="s">
        <v>2937</v>
      </c>
      <c r="I1096" t="s">
        <v>71</v>
      </c>
      <c r="J1096">
        <v>57400</v>
      </c>
      <c r="K1096" t="s">
        <v>3</v>
      </c>
      <c r="L1096" t="s">
        <v>2938</v>
      </c>
      <c r="M1096" t="s">
        <v>3</v>
      </c>
      <c r="N1096" t="s">
        <v>75</v>
      </c>
      <c r="O1096" s="25" t="s">
        <v>3830</v>
      </c>
      <c r="P1096" s="25">
        <v>1</v>
      </c>
      <c r="Q1096" s="25">
        <v>57400</v>
      </c>
      <c r="R1096" s="25" t="s">
        <v>26</v>
      </c>
      <c r="S1096" s="25" t="s">
        <v>26</v>
      </c>
      <c r="T1096" s="25">
        <f t="shared" si="17"/>
        <v>57400</v>
      </c>
    </row>
    <row r="1097" spans="1:20">
      <c r="A1097" t="s">
        <v>2939</v>
      </c>
      <c r="B1097">
        <v>45909</v>
      </c>
      <c r="C1097" t="s">
        <v>87</v>
      </c>
      <c r="D1097" t="s">
        <v>111</v>
      </c>
      <c r="E1097" t="s">
        <v>3</v>
      </c>
      <c r="F1097">
        <v>5010</v>
      </c>
      <c r="G1097" t="s">
        <v>37</v>
      </c>
      <c r="H1097" t="s">
        <v>2770</v>
      </c>
      <c r="I1097" t="s">
        <v>71</v>
      </c>
      <c r="J1097">
        <v>-912000</v>
      </c>
      <c r="K1097" t="s">
        <v>987</v>
      </c>
      <c r="L1097" t="s">
        <v>2940</v>
      </c>
      <c r="M1097" t="s">
        <v>3</v>
      </c>
      <c r="N1097" t="s">
        <v>75</v>
      </c>
      <c r="O1097" s="25" t="s">
        <v>3830</v>
      </c>
      <c r="P1097" s="25">
        <v>1</v>
      </c>
      <c r="Q1097" s="25">
        <v>-912000</v>
      </c>
      <c r="R1097" s="25" t="s">
        <v>35</v>
      </c>
      <c r="S1097" s="25" t="s">
        <v>35</v>
      </c>
      <c r="T1097" s="25">
        <f t="shared" si="17"/>
        <v>-912000</v>
      </c>
    </row>
    <row r="1098" spans="1:20">
      <c r="A1098" t="s">
        <v>2941</v>
      </c>
      <c r="B1098">
        <v>45910</v>
      </c>
      <c r="C1098" t="s">
        <v>93</v>
      </c>
      <c r="D1098" t="s">
        <v>94</v>
      </c>
      <c r="E1098" t="s">
        <v>95</v>
      </c>
      <c r="F1098">
        <v>4000</v>
      </c>
      <c r="G1098" t="s">
        <v>25</v>
      </c>
      <c r="H1098" t="s">
        <v>2942</v>
      </c>
      <c r="I1098" t="s">
        <v>71</v>
      </c>
      <c r="J1098">
        <v>32000</v>
      </c>
      <c r="K1098" t="s">
        <v>3</v>
      </c>
      <c r="L1098" t="s">
        <v>2943</v>
      </c>
      <c r="M1098" t="s">
        <v>3</v>
      </c>
      <c r="N1098" t="s">
        <v>75</v>
      </c>
      <c r="O1098" s="25" t="s">
        <v>3830</v>
      </c>
      <c r="P1098" s="25">
        <v>1</v>
      </c>
      <c r="Q1098" s="25">
        <v>32000</v>
      </c>
      <c r="R1098" s="25" t="s">
        <v>26</v>
      </c>
      <c r="S1098" s="25" t="s">
        <v>26</v>
      </c>
      <c r="T1098" s="25">
        <f t="shared" si="17"/>
        <v>32000</v>
      </c>
    </row>
    <row r="1099" spans="1:20">
      <c r="A1099" t="s">
        <v>2944</v>
      </c>
      <c r="B1099">
        <v>45910</v>
      </c>
      <c r="C1099" t="s">
        <v>93</v>
      </c>
      <c r="D1099" t="s">
        <v>94</v>
      </c>
      <c r="E1099" t="s">
        <v>99</v>
      </c>
      <c r="F1099">
        <v>4000</v>
      </c>
      <c r="G1099" t="s">
        <v>25</v>
      </c>
      <c r="H1099" t="s">
        <v>2945</v>
      </c>
      <c r="I1099" t="s">
        <v>71</v>
      </c>
      <c r="J1099">
        <v>29300</v>
      </c>
      <c r="K1099" t="s">
        <v>3</v>
      </c>
      <c r="L1099" t="s">
        <v>2946</v>
      </c>
      <c r="M1099" t="s">
        <v>3</v>
      </c>
      <c r="N1099" t="s">
        <v>75</v>
      </c>
      <c r="O1099" s="25" t="s">
        <v>3830</v>
      </c>
      <c r="P1099" s="25">
        <v>1</v>
      </c>
      <c r="Q1099" s="25">
        <v>29300</v>
      </c>
      <c r="R1099" s="25" t="s">
        <v>26</v>
      </c>
      <c r="S1099" s="25" t="s">
        <v>26</v>
      </c>
      <c r="T1099" s="25">
        <f t="shared" si="17"/>
        <v>29300</v>
      </c>
    </row>
    <row r="1100" spans="1:20">
      <c r="A1100" t="s">
        <v>2947</v>
      </c>
      <c r="B1100">
        <v>45910</v>
      </c>
      <c r="C1100" t="s">
        <v>93</v>
      </c>
      <c r="D1100" t="s">
        <v>94</v>
      </c>
      <c r="E1100" t="s">
        <v>103</v>
      </c>
      <c r="F1100">
        <v>4000</v>
      </c>
      <c r="G1100" t="s">
        <v>25</v>
      </c>
      <c r="H1100" t="s">
        <v>2948</v>
      </c>
      <c r="I1100" t="s">
        <v>71</v>
      </c>
      <c r="J1100">
        <v>33100</v>
      </c>
      <c r="K1100" t="s">
        <v>3</v>
      </c>
      <c r="L1100" t="s">
        <v>2949</v>
      </c>
      <c r="M1100" t="s">
        <v>3</v>
      </c>
      <c r="N1100" t="s">
        <v>75</v>
      </c>
      <c r="O1100" s="25" t="s">
        <v>3830</v>
      </c>
      <c r="P1100" s="25">
        <v>1</v>
      </c>
      <c r="Q1100" s="25">
        <v>33100</v>
      </c>
      <c r="R1100" s="25" t="s">
        <v>26</v>
      </c>
      <c r="S1100" s="25" t="s">
        <v>26</v>
      </c>
      <c r="T1100" s="25">
        <f t="shared" si="17"/>
        <v>33100</v>
      </c>
    </row>
    <row r="1101" spans="1:20">
      <c r="A1101" t="s">
        <v>2950</v>
      </c>
      <c r="B1101">
        <v>45910</v>
      </c>
      <c r="C1101" t="s">
        <v>93</v>
      </c>
      <c r="D1101" t="s">
        <v>94</v>
      </c>
      <c r="E1101" t="s">
        <v>160</v>
      </c>
      <c r="F1101">
        <v>4000</v>
      </c>
      <c r="G1101" t="s">
        <v>25</v>
      </c>
      <c r="H1101" t="s">
        <v>2951</v>
      </c>
      <c r="I1101" t="s">
        <v>71</v>
      </c>
      <c r="J1101">
        <v>31700</v>
      </c>
      <c r="K1101" t="s">
        <v>3</v>
      </c>
      <c r="L1101" t="s">
        <v>2949</v>
      </c>
      <c r="M1101" t="s">
        <v>3</v>
      </c>
      <c r="N1101" t="s">
        <v>75</v>
      </c>
      <c r="O1101" s="25" t="s">
        <v>3830</v>
      </c>
      <c r="P1101" s="25">
        <v>1</v>
      </c>
      <c r="Q1101" s="25">
        <v>31700</v>
      </c>
      <c r="R1101" s="25" t="s">
        <v>26</v>
      </c>
      <c r="S1101" s="25" t="s">
        <v>26</v>
      </c>
      <c r="T1101" s="25">
        <f t="shared" si="17"/>
        <v>31700</v>
      </c>
    </row>
    <row r="1102" spans="1:20">
      <c r="A1102" t="s">
        <v>2952</v>
      </c>
      <c r="B1102">
        <v>45910</v>
      </c>
      <c r="C1102" t="s">
        <v>93</v>
      </c>
      <c r="D1102" t="s">
        <v>94</v>
      </c>
      <c r="E1102" t="s">
        <v>107</v>
      </c>
      <c r="F1102">
        <v>4000</v>
      </c>
      <c r="G1102" t="s">
        <v>25</v>
      </c>
      <c r="H1102" t="s">
        <v>2953</v>
      </c>
      <c r="I1102" t="s">
        <v>71</v>
      </c>
      <c r="J1102">
        <v>29700</v>
      </c>
      <c r="K1102" t="s">
        <v>3</v>
      </c>
      <c r="L1102" t="s">
        <v>2954</v>
      </c>
      <c r="M1102" t="s">
        <v>3</v>
      </c>
      <c r="N1102" t="s">
        <v>75</v>
      </c>
      <c r="O1102" s="25" t="s">
        <v>3830</v>
      </c>
      <c r="P1102" s="25">
        <v>1</v>
      </c>
      <c r="Q1102" s="25">
        <v>29700</v>
      </c>
      <c r="R1102" s="25" t="s">
        <v>26</v>
      </c>
      <c r="S1102" s="25" t="s">
        <v>26</v>
      </c>
      <c r="T1102" s="25">
        <f t="shared" si="17"/>
        <v>29700</v>
      </c>
    </row>
    <row r="1103" spans="1:20">
      <c r="A1103" t="s">
        <v>2955</v>
      </c>
      <c r="B1103">
        <v>45910</v>
      </c>
      <c r="C1103" t="s">
        <v>93</v>
      </c>
      <c r="D1103" t="s">
        <v>111</v>
      </c>
      <c r="E1103" t="s">
        <v>112</v>
      </c>
      <c r="F1103">
        <v>4000</v>
      </c>
      <c r="G1103" t="s">
        <v>25</v>
      </c>
      <c r="H1103" t="s">
        <v>2956</v>
      </c>
      <c r="I1103" t="s">
        <v>71</v>
      </c>
      <c r="J1103">
        <v>47500</v>
      </c>
      <c r="K1103" t="s">
        <v>3</v>
      </c>
      <c r="L1103" t="s">
        <v>2957</v>
      </c>
      <c r="M1103" t="s">
        <v>3</v>
      </c>
      <c r="N1103" t="s">
        <v>75</v>
      </c>
      <c r="O1103" s="25" t="s">
        <v>3830</v>
      </c>
      <c r="P1103" s="25">
        <v>1</v>
      </c>
      <c r="Q1103" s="25">
        <v>47500</v>
      </c>
      <c r="R1103" s="25" t="s">
        <v>26</v>
      </c>
      <c r="S1103" s="25" t="s">
        <v>26</v>
      </c>
      <c r="T1103" s="25">
        <f t="shared" si="17"/>
        <v>47500</v>
      </c>
    </row>
    <row r="1104" spans="1:20">
      <c r="A1104" t="s">
        <v>2958</v>
      </c>
      <c r="B1104">
        <v>45910</v>
      </c>
      <c r="C1104" t="s">
        <v>93</v>
      </c>
      <c r="D1104" t="s">
        <v>111</v>
      </c>
      <c r="E1104" t="s">
        <v>116</v>
      </c>
      <c r="F1104">
        <v>4000</v>
      </c>
      <c r="G1104" t="s">
        <v>25</v>
      </c>
      <c r="H1104" t="s">
        <v>2959</v>
      </c>
      <c r="I1104" t="s">
        <v>71</v>
      </c>
      <c r="J1104">
        <v>48500</v>
      </c>
      <c r="K1104" t="s">
        <v>3</v>
      </c>
      <c r="L1104" t="s">
        <v>2957</v>
      </c>
      <c r="M1104" t="s">
        <v>3</v>
      </c>
      <c r="N1104" t="s">
        <v>75</v>
      </c>
      <c r="O1104" s="25" t="s">
        <v>3830</v>
      </c>
      <c r="P1104" s="25">
        <v>1</v>
      </c>
      <c r="Q1104" s="25">
        <v>48500</v>
      </c>
      <c r="R1104" s="25" t="s">
        <v>26</v>
      </c>
      <c r="S1104" s="25" t="s">
        <v>26</v>
      </c>
      <c r="T1104" s="25">
        <f t="shared" si="17"/>
        <v>48500</v>
      </c>
    </row>
    <row r="1105" spans="1:20">
      <c r="A1105" t="s">
        <v>2960</v>
      </c>
      <c r="B1105">
        <v>45910</v>
      </c>
      <c r="C1105" t="s">
        <v>93</v>
      </c>
      <c r="D1105" t="s">
        <v>111</v>
      </c>
      <c r="E1105" t="s">
        <v>119</v>
      </c>
      <c r="F1105">
        <v>4000</v>
      </c>
      <c r="G1105" t="s">
        <v>25</v>
      </c>
      <c r="H1105" t="s">
        <v>2961</v>
      </c>
      <c r="I1105" t="s">
        <v>71</v>
      </c>
      <c r="J1105">
        <v>47800</v>
      </c>
      <c r="K1105" t="s">
        <v>3</v>
      </c>
      <c r="L1105" t="s">
        <v>2957</v>
      </c>
      <c r="M1105" t="s">
        <v>3</v>
      </c>
      <c r="N1105" t="s">
        <v>75</v>
      </c>
      <c r="O1105" s="25" t="s">
        <v>3830</v>
      </c>
      <c r="P1105" s="25">
        <v>1</v>
      </c>
      <c r="Q1105" s="25">
        <v>47800</v>
      </c>
      <c r="R1105" s="25" t="s">
        <v>26</v>
      </c>
      <c r="S1105" s="25" t="s">
        <v>26</v>
      </c>
      <c r="T1105" s="25">
        <f t="shared" si="17"/>
        <v>47800</v>
      </c>
    </row>
    <row r="1106" spans="1:20">
      <c r="A1106" t="s">
        <v>2962</v>
      </c>
      <c r="B1106">
        <v>45910</v>
      </c>
      <c r="C1106" t="s">
        <v>93</v>
      </c>
      <c r="D1106" t="s">
        <v>111</v>
      </c>
      <c r="E1106" t="s">
        <v>170</v>
      </c>
      <c r="F1106">
        <v>4000</v>
      </c>
      <c r="G1106" t="s">
        <v>25</v>
      </c>
      <c r="H1106" t="s">
        <v>2963</v>
      </c>
      <c r="I1106" t="s">
        <v>71</v>
      </c>
      <c r="J1106">
        <v>50600</v>
      </c>
      <c r="K1106" t="s">
        <v>3</v>
      </c>
      <c r="L1106" t="s">
        <v>2957</v>
      </c>
      <c r="M1106" t="s">
        <v>3</v>
      </c>
      <c r="N1106" t="s">
        <v>75</v>
      </c>
      <c r="O1106" s="25" t="s">
        <v>3830</v>
      </c>
      <c r="P1106" s="25">
        <v>1</v>
      </c>
      <c r="Q1106" s="25">
        <v>50600</v>
      </c>
      <c r="R1106" s="25" t="s">
        <v>26</v>
      </c>
      <c r="S1106" s="25" t="s">
        <v>26</v>
      </c>
      <c r="T1106" s="25">
        <f t="shared" si="17"/>
        <v>50600</v>
      </c>
    </row>
    <row r="1107" spans="1:20">
      <c r="A1107" t="s">
        <v>2964</v>
      </c>
      <c r="B1107">
        <v>45910</v>
      </c>
      <c r="C1107" t="s">
        <v>93</v>
      </c>
      <c r="D1107" t="s">
        <v>111</v>
      </c>
      <c r="E1107" t="s">
        <v>122</v>
      </c>
      <c r="F1107">
        <v>4000</v>
      </c>
      <c r="G1107" t="s">
        <v>25</v>
      </c>
      <c r="H1107" t="s">
        <v>2965</v>
      </c>
      <c r="I1107" t="s">
        <v>71</v>
      </c>
      <c r="J1107">
        <v>52100</v>
      </c>
      <c r="K1107" t="s">
        <v>3</v>
      </c>
      <c r="L1107" t="s">
        <v>2966</v>
      </c>
      <c r="M1107" t="s">
        <v>3</v>
      </c>
      <c r="N1107" t="s">
        <v>75</v>
      </c>
      <c r="O1107" s="25" t="s">
        <v>3830</v>
      </c>
      <c r="P1107" s="25">
        <v>1</v>
      </c>
      <c r="Q1107" s="25">
        <v>52100</v>
      </c>
      <c r="R1107" s="25" t="s">
        <v>26</v>
      </c>
      <c r="S1107" s="25" t="s">
        <v>26</v>
      </c>
      <c r="T1107" s="25">
        <f t="shared" si="17"/>
        <v>52100</v>
      </c>
    </row>
    <row r="1108" spans="1:20">
      <c r="A1108" t="s">
        <v>2967</v>
      </c>
      <c r="B1108">
        <v>45910</v>
      </c>
      <c r="C1108" t="s">
        <v>126</v>
      </c>
      <c r="D1108" t="s">
        <v>88</v>
      </c>
      <c r="E1108" t="s">
        <v>127</v>
      </c>
      <c r="F1108">
        <v>4020</v>
      </c>
      <c r="G1108" t="s">
        <v>30</v>
      </c>
      <c r="H1108" t="s">
        <v>2968</v>
      </c>
      <c r="I1108" t="s">
        <v>72</v>
      </c>
      <c r="J1108">
        <v>36.25</v>
      </c>
      <c r="K1108" t="s">
        <v>129</v>
      </c>
      <c r="L1108" t="s">
        <v>2969</v>
      </c>
      <c r="M1108" t="s">
        <v>3</v>
      </c>
      <c r="N1108" t="s">
        <v>75</v>
      </c>
      <c r="O1108" s="25" t="s">
        <v>3831</v>
      </c>
      <c r="P1108" s="25">
        <v>1611</v>
      </c>
      <c r="Q1108" s="25">
        <v>58398.75</v>
      </c>
      <c r="R1108" s="25" t="s">
        <v>26</v>
      </c>
      <c r="S1108" s="25" t="s">
        <v>26</v>
      </c>
      <c r="T1108" s="25">
        <f t="shared" si="17"/>
        <v>58398.75</v>
      </c>
    </row>
    <row r="1109" spans="1:20">
      <c r="A1109" t="s">
        <v>2970</v>
      </c>
      <c r="B1109">
        <v>45910</v>
      </c>
      <c r="C1109" t="s">
        <v>126</v>
      </c>
      <c r="D1109" t="s">
        <v>88</v>
      </c>
      <c r="E1109" t="s">
        <v>132</v>
      </c>
      <c r="F1109">
        <v>4020</v>
      </c>
      <c r="G1109" t="s">
        <v>30</v>
      </c>
      <c r="H1109" t="s">
        <v>2971</v>
      </c>
      <c r="I1109" t="s">
        <v>72</v>
      </c>
      <c r="J1109">
        <v>32.15</v>
      </c>
      <c r="K1109" t="s">
        <v>134</v>
      </c>
      <c r="L1109" t="s">
        <v>2969</v>
      </c>
      <c r="M1109" t="s">
        <v>3</v>
      </c>
      <c r="N1109" t="s">
        <v>75</v>
      </c>
      <c r="O1109" s="25" t="s">
        <v>3831</v>
      </c>
      <c r="P1109" s="25">
        <v>1611</v>
      </c>
      <c r="Q1109" s="25">
        <v>51793.649999999994</v>
      </c>
      <c r="R1109" s="25" t="s">
        <v>26</v>
      </c>
      <c r="S1109" s="25" t="s">
        <v>26</v>
      </c>
      <c r="T1109" s="25">
        <f t="shared" si="17"/>
        <v>51793.649999999994</v>
      </c>
    </row>
    <row r="1110" spans="1:20">
      <c r="A1110" t="s">
        <v>2972</v>
      </c>
      <c r="B1110">
        <v>45910</v>
      </c>
      <c r="C1110" t="s">
        <v>126</v>
      </c>
      <c r="D1110" t="s">
        <v>88</v>
      </c>
      <c r="E1110" t="s">
        <v>140</v>
      </c>
      <c r="F1110">
        <v>4020</v>
      </c>
      <c r="G1110" t="s">
        <v>30</v>
      </c>
      <c r="H1110" t="s">
        <v>2973</v>
      </c>
      <c r="I1110" t="s">
        <v>71</v>
      </c>
      <c r="J1110">
        <v>51000</v>
      </c>
      <c r="K1110" t="s">
        <v>3</v>
      </c>
      <c r="L1110" t="s">
        <v>2974</v>
      </c>
      <c r="M1110" t="s">
        <v>3</v>
      </c>
      <c r="N1110" t="s">
        <v>75</v>
      </c>
      <c r="O1110" s="25" t="s">
        <v>3830</v>
      </c>
      <c r="P1110" s="25">
        <v>1</v>
      </c>
      <c r="Q1110" s="25">
        <v>51000</v>
      </c>
      <c r="R1110" s="25" t="s">
        <v>26</v>
      </c>
      <c r="S1110" s="25" t="s">
        <v>26</v>
      </c>
      <c r="T1110" s="25">
        <f t="shared" si="17"/>
        <v>51000</v>
      </c>
    </row>
    <row r="1111" spans="1:20">
      <c r="A1111" t="s">
        <v>2975</v>
      </c>
      <c r="B1111">
        <v>45910</v>
      </c>
      <c r="C1111" t="s">
        <v>87</v>
      </c>
      <c r="D1111" t="s">
        <v>94</v>
      </c>
      <c r="E1111" t="s">
        <v>3</v>
      </c>
      <c r="F1111">
        <v>5040</v>
      </c>
      <c r="G1111" t="s">
        <v>43</v>
      </c>
      <c r="H1111" t="s">
        <v>2861</v>
      </c>
      <c r="I1111" t="s">
        <v>71</v>
      </c>
      <c r="J1111">
        <v>-638000</v>
      </c>
      <c r="K1111" t="s">
        <v>187</v>
      </c>
      <c r="L1111" t="s">
        <v>2976</v>
      </c>
      <c r="M1111" t="s">
        <v>3</v>
      </c>
      <c r="N1111" t="s">
        <v>75</v>
      </c>
      <c r="O1111" s="25" t="s">
        <v>3830</v>
      </c>
      <c r="P1111" s="25">
        <v>1</v>
      </c>
      <c r="Q1111" s="25">
        <v>-638000</v>
      </c>
      <c r="R1111" s="25" t="s">
        <v>35</v>
      </c>
      <c r="S1111" s="25" t="s">
        <v>35</v>
      </c>
      <c r="T1111" s="25">
        <f t="shared" si="17"/>
        <v>-638000</v>
      </c>
    </row>
    <row r="1112" spans="1:20">
      <c r="A1112" t="s">
        <v>2977</v>
      </c>
      <c r="B1112">
        <v>45910</v>
      </c>
      <c r="C1112" t="s">
        <v>87</v>
      </c>
      <c r="D1112" t="s">
        <v>111</v>
      </c>
      <c r="E1112" t="s">
        <v>3</v>
      </c>
      <c r="F1112">
        <v>5010</v>
      </c>
      <c r="G1112" t="s">
        <v>37</v>
      </c>
      <c r="H1112" t="s">
        <v>2729</v>
      </c>
      <c r="I1112" t="s">
        <v>71</v>
      </c>
      <c r="J1112">
        <v>-2211000</v>
      </c>
      <c r="K1112" t="s">
        <v>145</v>
      </c>
      <c r="L1112" t="s">
        <v>2978</v>
      </c>
      <c r="M1112" t="s">
        <v>3</v>
      </c>
      <c r="N1112" t="s">
        <v>75</v>
      </c>
      <c r="O1112" s="25" t="s">
        <v>3830</v>
      </c>
      <c r="P1112" s="25">
        <v>1</v>
      </c>
      <c r="Q1112" s="25">
        <v>-2211000</v>
      </c>
      <c r="R1112" s="25" t="s">
        <v>35</v>
      </c>
      <c r="S1112" s="25" t="s">
        <v>35</v>
      </c>
      <c r="T1112" s="25">
        <f t="shared" si="17"/>
        <v>-2211000</v>
      </c>
    </row>
    <row r="1113" spans="1:20">
      <c r="A1113" t="s">
        <v>2979</v>
      </c>
      <c r="B1113">
        <v>45910</v>
      </c>
      <c r="C1113" t="s">
        <v>87</v>
      </c>
      <c r="D1113" t="s">
        <v>94</v>
      </c>
      <c r="E1113" t="s">
        <v>3</v>
      </c>
      <c r="F1113">
        <v>6020</v>
      </c>
      <c r="G1113" t="s">
        <v>52</v>
      </c>
      <c r="H1113" t="s">
        <v>2980</v>
      </c>
      <c r="I1113" t="s">
        <v>71</v>
      </c>
      <c r="J1113">
        <v>-168165</v>
      </c>
      <c r="K1113" t="s">
        <v>514</v>
      </c>
      <c r="L1113" t="s">
        <v>2981</v>
      </c>
      <c r="M1113" t="s">
        <v>3</v>
      </c>
      <c r="N1113" t="s">
        <v>75</v>
      </c>
      <c r="O1113" s="25" t="s">
        <v>3830</v>
      </c>
      <c r="P1113" s="25">
        <v>1</v>
      </c>
      <c r="Q1113" s="25">
        <v>-168165</v>
      </c>
      <c r="R1113" s="25" t="s">
        <v>48</v>
      </c>
      <c r="S1113" s="25" t="s">
        <v>48</v>
      </c>
      <c r="T1113" s="25">
        <f t="shared" si="17"/>
        <v>-168165</v>
      </c>
    </row>
    <row r="1114" spans="1:20">
      <c r="A1114" t="s">
        <v>2982</v>
      </c>
      <c r="B1114">
        <v>45910</v>
      </c>
      <c r="C1114" t="s">
        <v>87</v>
      </c>
      <c r="D1114" t="s">
        <v>111</v>
      </c>
      <c r="E1114" t="s">
        <v>3</v>
      </c>
      <c r="F1114">
        <v>6020</v>
      </c>
      <c r="G1114" t="s">
        <v>52</v>
      </c>
      <c r="H1114" t="s">
        <v>2980</v>
      </c>
      <c r="I1114" t="s">
        <v>71</v>
      </c>
      <c r="J1114">
        <v>-429566</v>
      </c>
      <c r="K1114" t="s">
        <v>514</v>
      </c>
      <c r="L1114" t="s">
        <v>2983</v>
      </c>
      <c r="M1114" t="s">
        <v>3</v>
      </c>
      <c r="N1114" t="s">
        <v>75</v>
      </c>
      <c r="O1114" s="25" t="s">
        <v>3830</v>
      </c>
      <c r="P1114" s="25">
        <v>1</v>
      </c>
      <c r="Q1114" s="25">
        <v>-429566</v>
      </c>
      <c r="R1114" s="25" t="s">
        <v>48</v>
      </c>
      <c r="S1114" s="25" t="s">
        <v>48</v>
      </c>
      <c r="T1114" s="25">
        <f t="shared" si="17"/>
        <v>-429566</v>
      </c>
    </row>
    <row r="1115" spans="1:20">
      <c r="A1115" t="s">
        <v>2984</v>
      </c>
      <c r="B1115">
        <v>45910</v>
      </c>
      <c r="C1115" t="s">
        <v>87</v>
      </c>
      <c r="D1115" t="s">
        <v>88</v>
      </c>
      <c r="E1115" t="s">
        <v>3</v>
      </c>
      <c r="F1115">
        <v>6020</v>
      </c>
      <c r="G1115" t="s">
        <v>52</v>
      </c>
      <c r="H1115" t="s">
        <v>2980</v>
      </c>
      <c r="I1115" t="s">
        <v>71</v>
      </c>
      <c r="J1115">
        <v>-202178</v>
      </c>
      <c r="K1115" t="s">
        <v>514</v>
      </c>
      <c r="L1115" t="s">
        <v>2985</v>
      </c>
      <c r="M1115" t="s">
        <v>3</v>
      </c>
      <c r="N1115" t="s">
        <v>75</v>
      </c>
      <c r="O1115" s="25" t="s">
        <v>3830</v>
      </c>
      <c r="P1115" s="25">
        <v>1</v>
      </c>
      <c r="Q1115" s="25">
        <v>-202178</v>
      </c>
      <c r="R1115" s="25" t="s">
        <v>48</v>
      </c>
      <c r="S1115" s="25" t="s">
        <v>48</v>
      </c>
      <c r="T1115" s="25">
        <f t="shared" si="17"/>
        <v>-202178</v>
      </c>
    </row>
    <row r="1116" spans="1:20">
      <c r="A1116" t="s">
        <v>2986</v>
      </c>
      <c r="B1116">
        <v>45911</v>
      </c>
      <c r="C1116" t="s">
        <v>93</v>
      </c>
      <c r="D1116" t="s">
        <v>94</v>
      </c>
      <c r="E1116" t="s">
        <v>95</v>
      </c>
      <c r="F1116">
        <v>4000</v>
      </c>
      <c r="G1116" t="s">
        <v>25</v>
      </c>
      <c r="H1116" t="s">
        <v>2987</v>
      </c>
      <c r="I1116" t="s">
        <v>71</v>
      </c>
      <c r="J1116">
        <v>30800</v>
      </c>
      <c r="K1116" t="s">
        <v>3</v>
      </c>
      <c r="L1116" t="s">
        <v>2988</v>
      </c>
      <c r="M1116" t="s">
        <v>3</v>
      </c>
      <c r="N1116" t="s">
        <v>75</v>
      </c>
      <c r="O1116" s="25" t="s">
        <v>3830</v>
      </c>
      <c r="P1116" s="25">
        <v>1</v>
      </c>
      <c r="Q1116" s="25">
        <v>30800</v>
      </c>
      <c r="R1116" s="25" t="s">
        <v>26</v>
      </c>
      <c r="S1116" s="25" t="s">
        <v>26</v>
      </c>
      <c r="T1116" s="25">
        <f t="shared" si="17"/>
        <v>30800</v>
      </c>
    </row>
    <row r="1117" spans="1:20">
      <c r="A1117" t="s">
        <v>2989</v>
      </c>
      <c r="B1117">
        <v>45911</v>
      </c>
      <c r="C1117" t="s">
        <v>93</v>
      </c>
      <c r="D1117" t="s">
        <v>94</v>
      </c>
      <c r="E1117" t="s">
        <v>99</v>
      </c>
      <c r="F1117">
        <v>4000</v>
      </c>
      <c r="G1117" t="s">
        <v>25</v>
      </c>
      <c r="H1117" t="s">
        <v>2990</v>
      </c>
      <c r="I1117" t="s">
        <v>71</v>
      </c>
      <c r="J1117">
        <v>33300</v>
      </c>
      <c r="K1117" t="s">
        <v>3</v>
      </c>
      <c r="L1117" t="s">
        <v>2991</v>
      </c>
      <c r="M1117" t="s">
        <v>3</v>
      </c>
      <c r="N1117" t="s">
        <v>75</v>
      </c>
      <c r="O1117" s="25" t="s">
        <v>3830</v>
      </c>
      <c r="P1117" s="25">
        <v>1</v>
      </c>
      <c r="Q1117" s="25">
        <v>33300</v>
      </c>
      <c r="R1117" s="25" t="s">
        <v>26</v>
      </c>
      <c r="S1117" s="25" t="s">
        <v>26</v>
      </c>
      <c r="T1117" s="25">
        <f t="shared" si="17"/>
        <v>33300</v>
      </c>
    </row>
    <row r="1118" spans="1:20">
      <c r="A1118" t="s">
        <v>2992</v>
      </c>
      <c r="B1118">
        <v>45911</v>
      </c>
      <c r="C1118" t="s">
        <v>93</v>
      </c>
      <c r="D1118" t="s">
        <v>94</v>
      </c>
      <c r="E1118" t="s">
        <v>103</v>
      </c>
      <c r="F1118">
        <v>4000</v>
      </c>
      <c r="G1118" t="s">
        <v>25</v>
      </c>
      <c r="H1118" t="s">
        <v>2993</v>
      </c>
      <c r="I1118" t="s">
        <v>71</v>
      </c>
      <c r="J1118">
        <v>33800</v>
      </c>
      <c r="K1118" t="s">
        <v>3</v>
      </c>
      <c r="L1118" t="s">
        <v>2994</v>
      </c>
      <c r="M1118" t="s">
        <v>3</v>
      </c>
      <c r="N1118" t="s">
        <v>75</v>
      </c>
      <c r="O1118" s="25" t="s">
        <v>3830</v>
      </c>
      <c r="P1118" s="25">
        <v>1</v>
      </c>
      <c r="Q1118" s="25">
        <v>33800</v>
      </c>
      <c r="R1118" s="25" t="s">
        <v>26</v>
      </c>
      <c r="S1118" s="25" t="s">
        <v>26</v>
      </c>
      <c r="T1118" s="25">
        <f t="shared" si="17"/>
        <v>33800</v>
      </c>
    </row>
    <row r="1119" spans="1:20">
      <c r="A1119" t="s">
        <v>2995</v>
      </c>
      <c r="B1119">
        <v>45911</v>
      </c>
      <c r="C1119" t="s">
        <v>93</v>
      </c>
      <c r="D1119" t="s">
        <v>94</v>
      </c>
      <c r="E1119" t="s">
        <v>107</v>
      </c>
      <c r="F1119">
        <v>4000</v>
      </c>
      <c r="G1119" t="s">
        <v>25</v>
      </c>
      <c r="H1119" t="s">
        <v>2996</v>
      </c>
      <c r="I1119" t="s">
        <v>71</v>
      </c>
      <c r="J1119">
        <v>28700</v>
      </c>
      <c r="K1119" t="s">
        <v>3</v>
      </c>
      <c r="L1119" t="s">
        <v>2997</v>
      </c>
      <c r="M1119" t="s">
        <v>3</v>
      </c>
      <c r="N1119" t="s">
        <v>75</v>
      </c>
      <c r="O1119" s="25" t="s">
        <v>3830</v>
      </c>
      <c r="P1119" s="25">
        <v>1</v>
      </c>
      <c r="Q1119" s="25">
        <v>28700</v>
      </c>
      <c r="R1119" s="25" t="s">
        <v>26</v>
      </c>
      <c r="S1119" s="25" t="s">
        <v>26</v>
      </c>
      <c r="T1119" s="25">
        <f t="shared" si="17"/>
        <v>28700</v>
      </c>
    </row>
    <row r="1120" spans="1:20">
      <c r="A1120" t="s">
        <v>2998</v>
      </c>
      <c r="B1120">
        <v>45911</v>
      </c>
      <c r="C1120" t="s">
        <v>93</v>
      </c>
      <c r="D1120" t="s">
        <v>111</v>
      </c>
      <c r="E1120" t="s">
        <v>112</v>
      </c>
      <c r="F1120">
        <v>4000</v>
      </c>
      <c r="G1120" t="s">
        <v>25</v>
      </c>
      <c r="H1120" t="s">
        <v>2999</v>
      </c>
      <c r="I1120" t="s">
        <v>71</v>
      </c>
      <c r="J1120">
        <v>48500</v>
      </c>
      <c r="K1120" t="s">
        <v>3</v>
      </c>
      <c r="L1120" t="s">
        <v>3000</v>
      </c>
      <c r="M1120" t="s">
        <v>3</v>
      </c>
      <c r="N1120" t="s">
        <v>75</v>
      </c>
      <c r="O1120" s="25" t="s">
        <v>3830</v>
      </c>
      <c r="P1120" s="25">
        <v>1</v>
      </c>
      <c r="Q1120" s="25">
        <v>48500</v>
      </c>
      <c r="R1120" s="25" t="s">
        <v>26</v>
      </c>
      <c r="S1120" s="25" t="s">
        <v>26</v>
      </c>
      <c r="T1120" s="25">
        <f t="shared" si="17"/>
        <v>48500</v>
      </c>
    </row>
    <row r="1121" spans="1:20">
      <c r="A1121" t="s">
        <v>3001</v>
      </c>
      <c r="B1121">
        <v>45911</v>
      </c>
      <c r="C1121" t="s">
        <v>93</v>
      </c>
      <c r="D1121" t="s">
        <v>111</v>
      </c>
      <c r="E1121" t="s">
        <v>116</v>
      </c>
      <c r="F1121">
        <v>4000</v>
      </c>
      <c r="G1121" t="s">
        <v>25</v>
      </c>
      <c r="H1121" t="s">
        <v>3002</v>
      </c>
      <c r="I1121" t="s">
        <v>71</v>
      </c>
      <c r="J1121">
        <v>52700</v>
      </c>
      <c r="K1121" t="s">
        <v>3</v>
      </c>
      <c r="L1121" t="s">
        <v>3000</v>
      </c>
      <c r="M1121" t="s">
        <v>3</v>
      </c>
      <c r="N1121" t="s">
        <v>75</v>
      </c>
      <c r="O1121" s="25" t="s">
        <v>3830</v>
      </c>
      <c r="P1121" s="25">
        <v>1</v>
      </c>
      <c r="Q1121" s="25">
        <v>52700</v>
      </c>
      <c r="R1121" s="25" t="s">
        <v>26</v>
      </c>
      <c r="S1121" s="25" t="s">
        <v>26</v>
      </c>
      <c r="T1121" s="25">
        <f t="shared" si="17"/>
        <v>52700</v>
      </c>
    </row>
    <row r="1122" spans="1:20">
      <c r="A1122" t="s">
        <v>3003</v>
      </c>
      <c r="B1122">
        <v>45911</v>
      </c>
      <c r="C1122" t="s">
        <v>93</v>
      </c>
      <c r="D1122" t="s">
        <v>111</v>
      </c>
      <c r="E1122" t="s">
        <v>119</v>
      </c>
      <c r="F1122">
        <v>4000</v>
      </c>
      <c r="G1122" t="s">
        <v>25</v>
      </c>
      <c r="H1122" t="s">
        <v>3004</v>
      </c>
      <c r="I1122" t="s">
        <v>71</v>
      </c>
      <c r="J1122">
        <v>50300</v>
      </c>
      <c r="K1122" t="s">
        <v>3</v>
      </c>
      <c r="L1122" t="s">
        <v>3000</v>
      </c>
      <c r="M1122" t="s">
        <v>3</v>
      </c>
      <c r="N1122" t="s">
        <v>75</v>
      </c>
      <c r="O1122" s="25" t="s">
        <v>3830</v>
      </c>
      <c r="P1122" s="25">
        <v>1</v>
      </c>
      <c r="Q1122" s="25">
        <v>50300</v>
      </c>
      <c r="R1122" s="25" t="s">
        <v>26</v>
      </c>
      <c r="S1122" s="25" t="s">
        <v>26</v>
      </c>
      <c r="T1122" s="25">
        <f t="shared" si="17"/>
        <v>50300</v>
      </c>
    </row>
    <row r="1123" spans="1:20">
      <c r="A1123" t="s">
        <v>3005</v>
      </c>
      <c r="B1123">
        <v>45911</v>
      </c>
      <c r="C1123" t="s">
        <v>93</v>
      </c>
      <c r="D1123" t="s">
        <v>111</v>
      </c>
      <c r="E1123" t="s">
        <v>170</v>
      </c>
      <c r="F1123">
        <v>4000</v>
      </c>
      <c r="G1123" t="s">
        <v>25</v>
      </c>
      <c r="H1123" t="s">
        <v>3006</v>
      </c>
      <c r="I1123" t="s">
        <v>71</v>
      </c>
      <c r="J1123">
        <v>49000</v>
      </c>
      <c r="K1123" t="s">
        <v>3</v>
      </c>
      <c r="L1123" t="s">
        <v>3000</v>
      </c>
      <c r="M1123" t="s">
        <v>3</v>
      </c>
      <c r="N1123" t="s">
        <v>75</v>
      </c>
      <c r="O1123" s="25" t="s">
        <v>3830</v>
      </c>
      <c r="P1123" s="25">
        <v>1</v>
      </c>
      <c r="Q1123" s="25">
        <v>49000</v>
      </c>
      <c r="R1123" s="25" t="s">
        <v>26</v>
      </c>
      <c r="S1123" s="25" t="s">
        <v>26</v>
      </c>
      <c r="T1123" s="25">
        <f t="shared" si="17"/>
        <v>49000</v>
      </c>
    </row>
    <row r="1124" spans="1:20">
      <c r="A1124" t="s">
        <v>3007</v>
      </c>
      <c r="B1124">
        <v>45911</v>
      </c>
      <c r="C1124" t="s">
        <v>93</v>
      </c>
      <c r="D1124" t="s">
        <v>111</v>
      </c>
      <c r="E1124" t="s">
        <v>122</v>
      </c>
      <c r="F1124">
        <v>4000</v>
      </c>
      <c r="G1124" t="s">
        <v>25</v>
      </c>
      <c r="H1124" t="s">
        <v>3008</v>
      </c>
      <c r="I1124" t="s">
        <v>71</v>
      </c>
      <c r="J1124">
        <v>52800</v>
      </c>
      <c r="K1124" t="s">
        <v>3</v>
      </c>
      <c r="L1124" t="s">
        <v>3009</v>
      </c>
      <c r="M1124" t="s">
        <v>3</v>
      </c>
      <c r="N1124" t="s">
        <v>75</v>
      </c>
      <c r="O1124" s="25" t="s">
        <v>3830</v>
      </c>
      <c r="P1124" s="25">
        <v>1</v>
      </c>
      <c r="Q1124" s="25">
        <v>52800</v>
      </c>
      <c r="R1124" s="25" t="s">
        <v>26</v>
      </c>
      <c r="S1124" s="25" t="s">
        <v>26</v>
      </c>
      <c r="T1124" s="25">
        <f t="shared" si="17"/>
        <v>52800</v>
      </c>
    </row>
    <row r="1125" spans="1:20">
      <c r="A1125" t="s">
        <v>3010</v>
      </c>
      <c r="B1125">
        <v>45911</v>
      </c>
      <c r="C1125" t="s">
        <v>126</v>
      </c>
      <c r="D1125" t="s">
        <v>88</v>
      </c>
      <c r="E1125" t="s">
        <v>127</v>
      </c>
      <c r="F1125">
        <v>4020</v>
      </c>
      <c r="G1125" t="s">
        <v>30</v>
      </c>
      <c r="H1125" t="s">
        <v>3011</v>
      </c>
      <c r="I1125" t="s">
        <v>71</v>
      </c>
      <c r="J1125">
        <v>57500</v>
      </c>
      <c r="K1125" t="s">
        <v>129</v>
      </c>
      <c r="L1125" t="s">
        <v>3012</v>
      </c>
      <c r="M1125" t="s">
        <v>3</v>
      </c>
      <c r="N1125" t="s">
        <v>75</v>
      </c>
      <c r="O1125" s="25" t="s">
        <v>3830</v>
      </c>
      <c r="P1125" s="25">
        <v>1</v>
      </c>
      <c r="Q1125" s="25">
        <v>57500</v>
      </c>
      <c r="R1125" s="25" t="s">
        <v>26</v>
      </c>
      <c r="S1125" s="25" t="s">
        <v>26</v>
      </c>
      <c r="T1125" s="25">
        <f t="shared" si="17"/>
        <v>57500</v>
      </c>
    </row>
    <row r="1126" spans="1:20">
      <c r="A1126" t="s">
        <v>3013</v>
      </c>
      <c r="B1126">
        <v>45911</v>
      </c>
      <c r="C1126" t="s">
        <v>126</v>
      </c>
      <c r="D1126" t="s">
        <v>88</v>
      </c>
      <c r="E1126" t="s">
        <v>132</v>
      </c>
      <c r="F1126">
        <v>4020</v>
      </c>
      <c r="G1126" t="s">
        <v>30</v>
      </c>
      <c r="H1126" t="s">
        <v>3014</v>
      </c>
      <c r="I1126" t="s">
        <v>72</v>
      </c>
      <c r="J1126">
        <v>28.99</v>
      </c>
      <c r="K1126" t="s">
        <v>134</v>
      </c>
      <c r="L1126" t="s">
        <v>3012</v>
      </c>
      <c r="M1126" t="s">
        <v>3</v>
      </c>
      <c r="N1126" t="s">
        <v>75</v>
      </c>
      <c r="O1126" s="25" t="s">
        <v>3831</v>
      </c>
      <c r="P1126" s="25">
        <v>1611</v>
      </c>
      <c r="Q1126" s="25">
        <v>46702.89</v>
      </c>
      <c r="R1126" s="25" t="s">
        <v>26</v>
      </c>
      <c r="S1126" s="25" t="s">
        <v>26</v>
      </c>
      <c r="T1126" s="25">
        <f t="shared" si="17"/>
        <v>46702.89</v>
      </c>
    </row>
    <row r="1127" spans="1:20">
      <c r="A1127" t="s">
        <v>3015</v>
      </c>
      <c r="B1127">
        <v>45911</v>
      </c>
      <c r="C1127" t="s">
        <v>126</v>
      </c>
      <c r="D1127" t="s">
        <v>88</v>
      </c>
      <c r="E1127" t="s">
        <v>136</v>
      </c>
      <c r="F1127">
        <v>4020</v>
      </c>
      <c r="G1127" t="s">
        <v>30</v>
      </c>
      <c r="H1127" t="s">
        <v>3016</v>
      </c>
      <c r="I1127" t="s">
        <v>72</v>
      </c>
      <c r="J1127">
        <v>31.22</v>
      </c>
      <c r="K1127" t="s">
        <v>138</v>
      </c>
      <c r="L1127" t="s">
        <v>3012</v>
      </c>
      <c r="M1127" t="s">
        <v>3</v>
      </c>
      <c r="N1127" t="s">
        <v>75</v>
      </c>
      <c r="O1127" s="25" t="s">
        <v>3831</v>
      </c>
      <c r="P1127" s="25">
        <v>1611</v>
      </c>
      <c r="Q1127" s="25">
        <v>50295.42</v>
      </c>
      <c r="R1127" s="25" t="s">
        <v>26</v>
      </c>
      <c r="S1127" s="25" t="s">
        <v>26</v>
      </c>
      <c r="T1127" s="25">
        <f t="shared" si="17"/>
        <v>50295.42</v>
      </c>
    </row>
    <row r="1128" spans="1:20">
      <c r="A1128" t="s">
        <v>3017</v>
      </c>
      <c r="B1128">
        <v>45911</v>
      </c>
      <c r="C1128" t="s">
        <v>126</v>
      </c>
      <c r="D1128" t="s">
        <v>88</v>
      </c>
      <c r="E1128" t="s">
        <v>140</v>
      </c>
      <c r="F1128">
        <v>4020</v>
      </c>
      <c r="G1128" t="s">
        <v>30</v>
      </c>
      <c r="H1128" t="s">
        <v>3018</v>
      </c>
      <c r="I1128" t="s">
        <v>71</v>
      </c>
      <c r="J1128">
        <v>59100</v>
      </c>
      <c r="K1128" t="s">
        <v>3</v>
      </c>
      <c r="L1128" t="s">
        <v>3019</v>
      </c>
      <c r="M1128" t="s">
        <v>3</v>
      </c>
      <c r="N1128" t="s">
        <v>75</v>
      </c>
      <c r="O1128" s="25" t="s">
        <v>3830</v>
      </c>
      <c r="P1128" s="25">
        <v>1</v>
      </c>
      <c r="Q1128" s="25">
        <v>59100</v>
      </c>
      <c r="R1128" s="25" t="s">
        <v>26</v>
      </c>
      <c r="S1128" s="25" t="s">
        <v>26</v>
      </c>
      <c r="T1128" s="25">
        <f t="shared" si="17"/>
        <v>59100</v>
      </c>
    </row>
    <row r="1129" spans="1:20">
      <c r="A1129" t="s">
        <v>3020</v>
      </c>
      <c r="B1129">
        <v>45911</v>
      </c>
      <c r="C1129" t="s">
        <v>87</v>
      </c>
      <c r="D1129" t="s">
        <v>94</v>
      </c>
      <c r="E1129" t="s">
        <v>3</v>
      </c>
      <c r="F1129">
        <v>5000</v>
      </c>
      <c r="G1129" t="s">
        <v>34</v>
      </c>
      <c r="H1129" t="s">
        <v>2691</v>
      </c>
      <c r="I1129" t="s">
        <v>71</v>
      </c>
      <c r="J1129">
        <v>-410000</v>
      </c>
      <c r="K1129" t="s">
        <v>316</v>
      </c>
      <c r="L1129" t="s">
        <v>3021</v>
      </c>
      <c r="M1129" t="s">
        <v>3</v>
      </c>
      <c r="N1129" t="s">
        <v>75</v>
      </c>
      <c r="O1129" s="25" t="s">
        <v>3830</v>
      </c>
      <c r="P1129" s="25">
        <v>1</v>
      </c>
      <c r="Q1129" s="25">
        <v>-410000</v>
      </c>
      <c r="R1129" s="25" t="s">
        <v>35</v>
      </c>
      <c r="S1129" s="25" t="s">
        <v>35</v>
      </c>
      <c r="T1129" s="25">
        <f t="shared" si="17"/>
        <v>-410000</v>
      </c>
    </row>
    <row r="1130" spans="1:20">
      <c r="A1130" t="s">
        <v>3022</v>
      </c>
      <c r="B1130">
        <v>45911</v>
      </c>
      <c r="C1130" t="s">
        <v>87</v>
      </c>
      <c r="D1130" t="s">
        <v>94</v>
      </c>
      <c r="E1130" t="s">
        <v>3</v>
      </c>
      <c r="F1130">
        <v>5020</v>
      </c>
      <c r="G1130" t="s">
        <v>39</v>
      </c>
      <c r="H1130" t="s">
        <v>2694</v>
      </c>
      <c r="I1130" t="s">
        <v>71</v>
      </c>
      <c r="J1130">
        <v>-164000</v>
      </c>
      <c r="K1130" t="s">
        <v>276</v>
      </c>
      <c r="L1130" t="s">
        <v>3023</v>
      </c>
      <c r="M1130" t="s">
        <v>3</v>
      </c>
      <c r="N1130" t="s">
        <v>75</v>
      </c>
      <c r="O1130" s="25" t="s">
        <v>3830</v>
      </c>
      <c r="P1130" s="25">
        <v>1</v>
      </c>
      <c r="Q1130" s="25">
        <v>-164000</v>
      </c>
      <c r="R1130" s="25" t="s">
        <v>35</v>
      </c>
      <c r="S1130" s="25" t="s">
        <v>35</v>
      </c>
      <c r="T1130" s="25">
        <f t="shared" si="17"/>
        <v>-164000</v>
      </c>
    </row>
    <row r="1131" spans="1:20">
      <c r="A1131" t="s">
        <v>3024</v>
      </c>
      <c r="B1131">
        <v>45912</v>
      </c>
      <c r="C1131" t="s">
        <v>93</v>
      </c>
      <c r="D1131" t="s">
        <v>94</v>
      </c>
      <c r="E1131" t="s">
        <v>95</v>
      </c>
      <c r="F1131">
        <v>4000</v>
      </c>
      <c r="G1131" t="s">
        <v>25</v>
      </c>
      <c r="H1131" t="s">
        <v>3025</v>
      </c>
      <c r="I1131" t="s">
        <v>71</v>
      </c>
      <c r="J1131">
        <v>33200</v>
      </c>
      <c r="K1131" t="s">
        <v>3</v>
      </c>
      <c r="L1131" t="s">
        <v>3026</v>
      </c>
      <c r="M1131" t="s">
        <v>3</v>
      </c>
      <c r="N1131" t="s">
        <v>75</v>
      </c>
      <c r="O1131" s="25" t="s">
        <v>3830</v>
      </c>
      <c r="P1131" s="25">
        <v>1</v>
      </c>
      <c r="Q1131" s="25">
        <v>33200</v>
      </c>
      <c r="R1131" s="25" t="s">
        <v>26</v>
      </c>
      <c r="S1131" s="25" t="s">
        <v>26</v>
      </c>
      <c r="T1131" s="25">
        <f t="shared" si="17"/>
        <v>33200</v>
      </c>
    </row>
    <row r="1132" spans="1:20">
      <c r="A1132" t="s">
        <v>3027</v>
      </c>
      <c r="B1132">
        <v>45912</v>
      </c>
      <c r="C1132" t="s">
        <v>93</v>
      </c>
      <c r="D1132" t="s">
        <v>94</v>
      </c>
      <c r="E1132" t="s">
        <v>99</v>
      </c>
      <c r="F1132">
        <v>4000</v>
      </c>
      <c r="G1132" t="s">
        <v>25</v>
      </c>
      <c r="H1132" t="s">
        <v>3028</v>
      </c>
      <c r="I1132" t="s">
        <v>71</v>
      </c>
      <c r="J1132">
        <v>29800</v>
      </c>
      <c r="K1132" t="s">
        <v>3</v>
      </c>
      <c r="L1132" t="s">
        <v>3029</v>
      </c>
      <c r="M1132" t="s">
        <v>3</v>
      </c>
      <c r="N1132" t="s">
        <v>75</v>
      </c>
      <c r="O1132" s="25" t="s">
        <v>3830</v>
      </c>
      <c r="P1132" s="25">
        <v>1</v>
      </c>
      <c r="Q1132" s="25">
        <v>29800</v>
      </c>
      <c r="R1132" s="25" t="s">
        <v>26</v>
      </c>
      <c r="S1132" s="25" t="s">
        <v>26</v>
      </c>
      <c r="T1132" s="25">
        <f t="shared" si="17"/>
        <v>29800</v>
      </c>
    </row>
    <row r="1133" spans="1:20">
      <c r="A1133" t="s">
        <v>3030</v>
      </c>
      <c r="B1133">
        <v>45912</v>
      </c>
      <c r="C1133" t="s">
        <v>93</v>
      </c>
      <c r="D1133" t="s">
        <v>94</v>
      </c>
      <c r="E1133" t="s">
        <v>103</v>
      </c>
      <c r="F1133">
        <v>4000</v>
      </c>
      <c r="G1133" t="s">
        <v>25</v>
      </c>
      <c r="H1133" t="s">
        <v>3031</v>
      </c>
      <c r="I1133" t="s">
        <v>71</v>
      </c>
      <c r="J1133">
        <v>29900</v>
      </c>
      <c r="K1133" t="s">
        <v>3</v>
      </c>
      <c r="L1133" t="s">
        <v>3032</v>
      </c>
      <c r="M1133" t="s">
        <v>3</v>
      </c>
      <c r="N1133" t="s">
        <v>75</v>
      </c>
      <c r="O1133" s="25" t="s">
        <v>3830</v>
      </c>
      <c r="P1133" s="25">
        <v>1</v>
      </c>
      <c r="Q1133" s="25">
        <v>29900</v>
      </c>
      <c r="R1133" s="25" t="s">
        <v>26</v>
      </c>
      <c r="S1133" s="25" t="s">
        <v>26</v>
      </c>
      <c r="T1133" s="25">
        <f t="shared" si="17"/>
        <v>29900</v>
      </c>
    </row>
    <row r="1134" spans="1:20">
      <c r="A1134" t="s">
        <v>3033</v>
      </c>
      <c r="B1134">
        <v>45912</v>
      </c>
      <c r="C1134" t="s">
        <v>93</v>
      </c>
      <c r="D1134" t="s">
        <v>94</v>
      </c>
      <c r="E1134" t="s">
        <v>160</v>
      </c>
      <c r="F1134">
        <v>4000</v>
      </c>
      <c r="G1134" t="s">
        <v>25</v>
      </c>
      <c r="H1134" t="s">
        <v>3034</v>
      </c>
      <c r="I1134" t="s">
        <v>71</v>
      </c>
      <c r="J1134">
        <v>30000</v>
      </c>
      <c r="K1134" t="s">
        <v>3</v>
      </c>
      <c r="L1134" t="s">
        <v>3032</v>
      </c>
      <c r="M1134" t="s">
        <v>3</v>
      </c>
      <c r="N1134" t="s">
        <v>75</v>
      </c>
      <c r="O1134" s="25" t="s">
        <v>3830</v>
      </c>
      <c r="P1134" s="25">
        <v>1</v>
      </c>
      <c r="Q1134" s="25">
        <v>30000</v>
      </c>
      <c r="R1134" s="25" t="s">
        <v>26</v>
      </c>
      <c r="S1134" s="25" t="s">
        <v>26</v>
      </c>
      <c r="T1134" s="25">
        <f t="shared" si="17"/>
        <v>30000</v>
      </c>
    </row>
    <row r="1135" spans="1:20">
      <c r="A1135" t="s">
        <v>3035</v>
      </c>
      <c r="B1135">
        <v>45912</v>
      </c>
      <c r="C1135" t="s">
        <v>93</v>
      </c>
      <c r="D1135" t="s">
        <v>94</v>
      </c>
      <c r="E1135" t="s">
        <v>107</v>
      </c>
      <c r="F1135">
        <v>4000</v>
      </c>
      <c r="G1135" t="s">
        <v>25</v>
      </c>
      <c r="H1135" t="s">
        <v>3036</v>
      </c>
      <c r="I1135" t="s">
        <v>71</v>
      </c>
      <c r="J1135">
        <v>33500</v>
      </c>
      <c r="K1135" t="s">
        <v>3</v>
      </c>
      <c r="L1135" t="s">
        <v>3037</v>
      </c>
      <c r="M1135" t="s">
        <v>3</v>
      </c>
      <c r="N1135" t="s">
        <v>75</v>
      </c>
      <c r="O1135" s="25" t="s">
        <v>3830</v>
      </c>
      <c r="P1135" s="25">
        <v>1</v>
      </c>
      <c r="Q1135" s="25">
        <v>33500</v>
      </c>
      <c r="R1135" s="25" t="s">
        <v>26</v>
      </c>
      <c r="S1135" s="25" t="s">
        <v>26</v>
      </c>
      <c r="T1135" s="25">
        <f t="shared" si="17"/>
        <v>33500</v>
      </c>
    </row>
    <row r="1136" spans="1:20">
      <c r="A1136" t="s">
        <v>3038</v>
      </c>
      <c r="B1136">
        <v>45912</v>
      </c>
      <c r="C1136" t="s">
        <v>93</v>
      </c>
      <c r="D1136" t="s">
        <v>111</v>
      </c>
      <c r="E1136" t="s">
        <v>112</v>
      </c>
      <c r="F1136">
        <v>4000</v>
      </c>
      <c r="G1136" t="s">
        <v>25</v>
      </c>
      <c r="H1136" t="s">
        <v>3039</v>
      </c>
      <c r="I1136" t="s">
        <v>71</v>
      </c>
      <c r="J1136">
        <v>50200</v>
      </c>
      <c r="K1136" t="s">
        <v>3</v>
      </c>
      <c r="L1136" t="s">
        <v>3040</v>
      </c>
      <c r="M1136" t="s">
        <v>3</v>
      </c>
      <c r="N1136" t="s">
        <v>75</v>
      </c>
      <c r="O1136" s="25" t="s">
        <v>3830</v>
      </c>
      <c r="P1136" s="25">
        <v>1</v>
      </c>
      <c r="Q1136" s="25">
        <v>50200</v>
      </c>
      <c r="R1136" s="25" t="s">
        <v>26</v>
      </c>
      <c r="S1136" s="25" t="s">
        <v>26</v>
      </c>
      <c r="T1136" s="25">
        <f t="shared" si="17"/>
        <v>50200</v>
      </c>
    </row>
    <row r="1137" spans="1:20">
      <c r="A1137" t="s">
        <v>3041</v>
      </c>
      <c r="B1137">
        <v>45912</v>
      </c>
      <c r="C1137" t="s">
        <v>93</v>
      </c>
      <c r="D1137" t="s">
        <v>111</v>
      </c>
      <c r="E1137" t="s">
        <v>116</v>
      </c>
      <c r="F1137">
        <v>4000</v>
      </c>
      <c r="G1137" t="s">
        <v>25</v>
      </c>
      <c r="H1137" t="s">
        <v>3042</v>
      </c>
      <c r="I1137" t="s">
        <v>71</v>
      </c>
      <c r="J1137">
        <v>49100</v>
      </c>
      <c r="K1137" t="s">
        <v>3</v>
      </c>
      <c r="L1137" t="s">
        <v>3040</v>
      </c>
      <c r="M1137" t="s">
        <v>3</v>
      </c>
      <c r="N1137" t="s">
        <v>75</v>
      </c>
      <c r="O1137" s="25" t="s">
        <v>3830</v>
      </c>
      <c r="P1137" s="25">
        <v>1</v>
      </c>
      <c r="Q1137" s="25">
        <v>49100</v>
      </c>
      <c r="R1137" s="25" t="s">
        <v>26</v>
      </c>
      <c r="S1137" s="25" t="s">
        <v>26</v>
      </c>
      <c r="T1137" s="25">
        <f t="shared" si="17"/>
        <v>49100</v>
      </c>
    </row>
    <row r="1138" spans="1:20">
      <c r="A1138" t="s">
        <v>3043</v>
      </c>
      <c r="B1138">
        <v>45912</v>
      </c>
      <c r="C1138" t="s">
        <v>93</v>
      </c>
      <c r="D1138" t="s">
        <v>111</v>
      </c>
      <c r="E1138" t="s">
        <v>119</v>
      </c>
      <c r="F1138">
        <v>4000</v>
      </c>
      <c r="G1138" t="s">
        <v>25</v>
      </c>
      <c r="H1138" t="s">
        <v>3044</v>
      </c>
      <c r="I1138" t="s">
        <v>71</v>
      </c>
      <c r="J1138">
        <v>50000</v>
      </c>
      <c r="K1138" t="s">
        <v>3</v>
      </c>
      <c r="L1138" t="s">
        <v>3040</v>
      </c>
      <c r="M1138" t="s">
        <v>3</v>
      </c>
      <c r="N1138" t="s">
        <v>75</v>
      </c>
      <c r="O1138" s="25" t="s">
        <v>3830</v>
      </c>
      <c r="P1138" s="25">
        <v>1</v>
      </c>
      <c r="Q1138" s="25">
        <v>50000</v>
      </c>
      <c r="R1138" s="25" t="s">
        <v>26</v>
      </c>
      <c r="S1138" s="25" t="s">
        <v>26</v>
      </c>
      <c r="T1138" s="25">
        <f t="shared" si="17"/>
        <v>50000</v>
      </c>
    </row>
    <row r="1139" spans="1:20">
      <c r="A1139" t="s">
        <v>3045</v>
      </c>
      <c r="B1139">
        <v>45912</v>
      </c>
      <c r="C1139" t="s">
        <v>93</v>
      </c>
      <c r="D1139" t="s">
        <v>111</v>
      </c>
      <c r="E1139" t="s">
        <v>170</v>
      </c>
      <c r="F1139">
        <v>4000</v>
      </c>
      <c r="G1139" t="s">
        <v>25</v>
      </c>
      <c r="H1139" t="s">
        <v>3046</v>
      </c>
      <c r="I1139" t="s">
        <v>71</v>
      </c>
      <c r="J1139">
        <v>49900</v>
      </c>
      <c r="K1139" t="s">
        <v>3</v>
      </c>
      <c r="L1139" t="s">
        <v>3040</v>
      </c>
      <c r="M1139" t="s">
        <v>3</v>
      </c>
      <c r="N1139" t="s">
        <v>75</v>
      </c>
      <c r="O1139" s="25" t="s">
        <v>3830</v>
      </c>
      <c r="P1139" s="25">
        <v>1</v>
      </c>
      <c r="Q1139" s="25">
        <v>49900</v>
      </c>
      <c r="R1139" s="25" t="s">
        <v>26</v>
      </c>
      <c r="S1139" s="25" t="s">
        <v>26</v>
      </c>
      <c r="T1139" s="25">
        <f t="shared" si="17"/>
        <v>49900</v>
      </c>
    </row>
    <row r="1140" spans="1:20">
      <c r="A1140" t="s">
        <v>3047</v>
      </c>
      <c r="B1140">
        <v>45912</v>
      </c>
      <c r="C1140" t="s">
        <v>93</v>
      </c>
      <c r="D1140" t="s">
        <v>111</v>
      </c>
      <c r="E1140" t="s">
        <v>122</v>
      </c>
      <c r="F1140">
        <v>4000</v>
      </c>
      <c r="G1140" t="s">
        <v>25</v>
      </c>
      <c r="H1140" t="s">
        <v>3048</v>
      </c>
      <c r="I1140" t="s">
        <v>71</v>
      </c>
      <c r="J1140">
        <v>49100</v>
      </c>
      <c r="K1140" t="s">
        <v>3</v>
      </c>
      <c r="L1140" t="s">
        <v>3049</v>
      </c>
      <c r="M1140" t="s">
        <v>3</v>
      </c>
      <c r="N1140" t="s">
        <v>75</v>
      </c>
      <c r="O1140" s="25" t="s">
        <v>3830</v>
      </c>
      <c r="P1140" s="25">
        <v>1</v>
      </c>
      <c r="Q1140" s="25">
        <v>49100</v>
      </c>
      <c r="R1140" s="25" t="s">
        <v>26</v>
      </c>
      <c r="S1140" s="25" t="s">
        <v>26</v>
      </c>
      <c r="T1140" s="25">
        <f t="shared" si="17"/>
        <v>49100</v>
      </c>
    </row>
    <row r="1141" spans="1:20">
      <c r="A1141" t="s">
        <v>3050</v>
      </c>
      <c r="B1141">
        <v>45912</v>
      </c>
      <c r="C1141" t="s">
        <v>126</v>
      </c>
      <c r="D1141" t="s">
        <v>88</v>
      </c>
      <c r="E1141" t="s">
        <v>127</v>
      </c>
      <c r="F1141">
        <v>4020</v>
      </c>
      <c r="G1141" t="s">
        <v>30</v>
      </c>
      <c r="H1141" t="s">
        <v>3051</v>
      </c>
      <c r="I1141" t="s">
        <v>72</v>
      </c>
      <c r="J1141">
        <v>35.57</v>
      </c>
      <c r="K1141" t="s">
        <v>129</v>
      </c>
      <c r="L1141" t="s">
        <v>3052</v>
      </c>
      <c r="M1141" t="s">
        <v>3</v>
      </c>
      <c r="N1141" t="s">
        <v>75</v>
      </c>
      <c r="O1141" s="25" t="s">
        <v>3831</v>
      </c>
      <c r="P1141" s="25">
        <v>1611</v>
      </c>
      <c r="Q1141" s="25">
        <v>57303.270000000004</v>
      </c>
      <c r="R1141" s="25" t="s">
        <v>26</v>
      </c>
      <c r="S1141" s="25" t="s">
        <v>26</v>
      </c>
      <c r="T1141" s="25">
        <f t="shared" si="17"/>
        <v>57303.270000000004</v>
      </c>
    </row>
    <row r="1142" spans="1:20">
      <c r="A1142" t="s">
        <v>3053</v>
      </c>
      <c r="B1142">
        <v>45912</v>
      </c>
      <c r="C1142" t="s">
        <v>126</v>
      </c>
      <c r="D1142" t="s">
        <v>88</v>
      </c>
      <c r="E1142" t="s">
        <v>132</v>
      </c>
      <c r="F1142">
        <v>4020</v>
      </c>
      <c r="G1142" t="s">
        <v>30</v>
      </c>
      <c r="H1142" t="s">
        <v>3054</v>
      </c>
      <c r="I1142" t="s">
        <v>71</v>
      </c>
      <c r="J1142">
        <v>56500</v>
      </c>
      <c r="K1142" t="s">
        <v>134</v>
      </c>
      <c r="L1142" t="s">
        <v>3052</v>
      </c>
      <c r="M1142" t="s">
        <v>3</v>
      </c>
      <c r="N1142" t="s">
        <v>75</v>
      </c>
      <c r="O1142" s="25" t="s">
        <v>3830</v>
      </c>
      <c r="P1142" s="25">
        <v>1</v>
      </c>
      <c r="Q1142" s="25">
        <v>56500</v>
      </c>
      <c r="R1142" s="25" t="s">
        <v>26</v>
      </c>
      <c r="S1142" s="25" t="s">
        <v>26</v>
      </c>
      <c r="T1142" s="25">
        <f t="shared" si="17"/>
        <v>56500</v>
      </c>
    </row>
    <row r="1143" spans="1:20">
      <c r="A1143" t="s">
        <v>3055</v>
      </c>
      <c r="B1143">
        <v>45912</v>
      </c>
      <c r="C1143" t="s">
        <v>126</v>
      </c>
      <c r="D1143" t="s">
        <v>88</v>
      </c>
      <c r="E1143" t="s">
        <v>136</v>
      </c>
      <c r="F1143">
        <v>4020</v>
      </c>
      <c r="G1143" t="s">
        <v>30</v>
      </c>
      <c r="H1143" t="s">
        <v>3056</v>
      </c>
      <c r="I1143" t="s">
        <v>71</v>
      </c>
      <c r="J1143">
        <v>58700</v>
      </c>
      <c r="K1143" t="s">
        <v>138</v>
      </c>
      <c r="L1143" t="s">
        <v>3052</v>
      </c>
      <c r="M1143" t="s">
        <v>3</v>
      </c>
      <c r="N1143" t="s">
        <v>75</v>
      </c>
      <c r="O1143" s="25" t="s">
        <v>3830</v>
      </c>
      <c r="P1143" s="25">
        <v>1</v>
      </c>
      <c r="Q1143" s="25">
        <v>58700</v>
      </c>
      <c r="R1143" s="25" t="s">
        <v>26</v>
      </c>
      <c r="S1143" s="25" t="s">
        <v>26</v>
      </c>
      <c r="T1143" s="25">
        <f t="shared" si="17"/>
        <v>58700</v>
      </c>
    </row>
    <row r="1144" spans="1:20">
      <c r="A1144" t="s">
        <v>3057</v>
      </c>
      <c r="B1144">
        <v>45912</v>
      </c>
      <c r="C1144" t="s">
        <v>126</v>
      </c>
      <c r="D1144" t="s">
        <v>88</v>
      </c>
      <c r="E1144" t="s">
        <v>140</v>
      </c>
      <c r="F1144">
        <v>4020</v>
      </c>
      <c r="G1144" t="s">
        <v>30</v>
      </c>
      <c r="H1144" t="s">
        <v>3058</v>
      </c>
      <c r="I1144" t="s">
        <v>71</v>
      </c>
      <c r="J1144">
        <v>47400</v>
      </c>
      <c r="K1144" t="s">
        <v>3</v>
      </c>
      <c r="L1144" t="s">
        <v>3059</v>
      </c>
      <c r="M1144" t="s">
        <v>3</v>
      </c>
      <c r="N1144" t="s">
        <v>75</v>
      </c>
      <c r="O1144" s="25" t="s">
        <v>3830</v>
      </c>
      <c r="P1144" s="25">
        <v>1</v>
      </c>
      <c r="Q1144" s="25">
        <v>47400</v>
      </c>
      <c r="R1144" s="25" t="s">
        <v>26</v>
      </c>
      <c r="S1144" s="25" t="s">
        <v>26</v>
      </c>
      <c r="T1144" s="25">
        <f t="shared" si="17"/>
        <v>47400</v>
      </c>
    </row>
    <row r="1145" spans="1:20">
      <c r="A1145" t="s">
        <v>3060</v>
      </c>
      <c r="B1145">
        <v>45912</v>
      </c>
      <c r="C1145" t="s">
        <v>93</v>
      </c>
      <c r="D1145" t="s">
        <v>94</v>
      </c>
      <c r="E1145" t="s">
        <v>95</v>
      </c>
      <c r="F1145">
        <v>4900</v>
      </c>
      <c r="G1145" t="s">
        <v>32</v>
      </c>
      <c r="H1145" t="s">
        <v>3061</v>
      </c>
      <c r="I1145" t="s">
        <v>71</v>
      </c>
      <c r="J1145">
        <v>-87494</v>
      </c>
      <c r="K1145" t="s">
        <v>3</v>
      </c>
      <c r="L1145" t="s">
        <v>3062</v>
      </c>
      <c r="M1145" t="s">
        <v>3</v>
      </c>
      <c r="N1145" t="s">
        <v>75</v>
      </c>
      <c r="O1145" s="25" t="s">
        <v>3830</v>
      </c>
      <c r="P1145" s="25">
        <v>1</v>
      </c>
      <c r="Q1145" s="25">
        <v>-87494</v>
      </c>
      <c r="R1145" s="25" t="s">
        <v>26</v>
      </c>
      <c r="S1145" s="25" t="s">
        <v>26</v>
      </c>
      <c r="T1145" s="25">
        <f t="shared" si="17"/>
        <v>-87494</v>
      </c>
    </row>
    <row r="1146" spans="1:20">
      <c r="A1146" t="s">
        <v>3063</v>
      </c>
      <c r="B1146">
        <v>45912</v>
      </c>
      <c r="C1146" t="s">
        <v>93</v>
      </c>
      <c r="D1146" t="s">
        <v>111</v>
      </c>
      <c r="E1146" t="s">
        <v>112</v>
      </c>
      <c r="F1146">
        <v>4900</v>
      </c>
      <c r="G1146" t="s">
        <v>32</v>
      </c>
      <c r="H1146" t="s">
        <v>3064</v>
      </c>
      <c r="I1146" t="s">
        <v>71</v>
      </c>
      <c r="J1146">
        <v>-105790</v>
      </c>
      <c r="K1146" t="s">
        <v>3</v>
      </c>
      <c r="L1146" t="s">
        <v>3065</v>
      </c>
      <c r="M1146" t="s">
        <v>3</v>
      </c>
      <c r="N1146" t="s">
        <v>75</v>
      </c>
      <c r="O1146" s="25" t="s">
        <v>3830</v>
      </c>
      <c r="P1146" s="25">
        <v>1</v>
      </c>
      <c r="Q1146" s="25">
        <v>-105790</v>
      </c>
      <c r="R1146" s="25" t="s">
        <v>26</v>
      </c>
      <c r="S1146" s="25" t="s">
        <v>26</v>
      </c>
      <c r="T1146" s="25">
        <f t="shared" si="17"/>
        <v>-105790</v>
      </c>
    </row>
    <row r="1147" spans="1:20">
      <c r="A1147" t="s">
        <v>3066</v>
      </c>
      <c r="B1147">
        <v>45912</v>
      </c>
      <c r="C1147" t="s">
        <v>93</v>
      </c>
      <c r="D1147" t="s">
        <v>111</v>
      </c>
      <c r="E1147" t="s">
        <v>112</v>
      </c>
      <c r="F1147">
        <v>4900</v>
      </c>
      <c r="G1147" t="s">
        <v>32</v>
      </c>
      <c r="H1147" t="s">
        <v>3067</v>
      </c>
      <c r="I1147" t="s">
        <v>71</v>
      </c>
      <c r="J1147">
        <v>127556</v>
      </c>
      <c r="K1147" t="s">
        <v>3</v>
      </c>
      <c r="L1147" t="s">
        <v>3068</v>
      </c>
      <c r="M1147" t="s">
        <v>237</v>
      </c>
      <c r="N1147" t="s">
        <v>75</v>
      </c>
      <c r="O1147" s="25" t="s">
        <v>3830</v>
      </c>
      <c r="P1147" s="25">
        <v>1</v>
      </c>
      <c r="Q1147" s="25">
        <v>127556</v>
      </c>
      <c r="R1147" s="25" t="s">
        <v>26</v>
      </c>
      <c r="S1147" s="25" t="s">
        <v>26</v>
      </c>
      <c r="T1147" s="25">
        <f t="shared" si="17"/>
        <v>-127556</v>
      </c>
    </row>
    <row r="1148" spans="1:20">
      <c r="A1148" t="s">
        <v>3069</v>
      </c>
      <c r="B1148">
        <v>45912</v>
      </c>
      <c r="C1148" t="s">
        <v>93</v>
      </c>
      <c r="D1148" t="s">
        <v>94</v>
      </c>
      <c r="E1148" t="s">
        <v>95</v>
      </c>
      <c r="F1148">
        <v>4900</v>
      </c>
      <c r="G1148" t="s">
        <v>32</v>
      </c>
      <c r="H1148" t="s">
        <v>3070</v>
      </c>
      <c r="I1148" t="s">
        <v>71</v>
      </c>
      <c r="J1148">
        <v>-110975</v>
      </c>
      <c r="K1148" t="s">
        <v>3</v>
      </c>
      <c r="L1148" t="s">
        <v>3071</v>
      </c>
      <c r="M1148" t="s">
        <v>3</v>
      </c>
      <c r="N1148" t="s">
        <v>75</v>
      </c>
      <c r="O1148" s="25" t="s">
        <v>3830</v>
      </c>
      <c r="P1148" s="25">
        <v>1</v>
      </c>
      <c r="Q1148" s="25">
        <v>-110975</v>
      </c>
      <c r="R1148" s="25" t="s">
        <v>26</v>
      </c>
      <c r="S1148" s="25" t="s">
        <v>26</v>
      </c>
      <c r="T1148" s="25">
        <f t="shared" si="17"/>
        <v>-110975</v>
      </c>
    </row>
    <row r="1149" spans="1:20">
      <c r="A1149" t="s">
        <v>3072</v>
      </c>
      <c r="B1149">
        <v>45912</v>
      </c>
      <c r="C1149" t="s">
        <v>87</v>
      </c>
      <c r="D1149" t="s">
        <v>94</v>
      </c>
      <c r="E1149" t="s">
        <v>3</v>
      </c>
      <c r="F1149">
        <v>5050</v>
      </c>
      <c r="G1149" t="s">
        <v>45</v>
      </c>
      <c r="H1149" t="s">
        <v>3073</v>
      </c>
      <c r="I1149" t="s">
        <v>71</v>
      </c>
      <c r="J1149">
        <v>-186000</v>
      </c>
      <c r="K1149" t="s">
        <v>668</v>
      </c>
      <c r="L1149" t="s">
        <v>3074</v>
      </c>
      <c r="M1149" t="s">
        <v>3</v>
      </c>
      <c r="N1149" t="s">
        <v>75</v>
      </c>
      <c r="O1149" s="25" t="s">
        <v>3830</v>
      </c>
      <c r="P1149" s="25">
        <v>1</v>
      </c>
      <c r="Q1149" s="25">
        <v>-186000</v>
      </c>
      <c r="R1149" s="25" t="s">
        <v>35</v>
      </c>
      <c r="S1149" s="25" t="s">
        <v>35</v>
      </c>
      <c r="T1149" s="25">
        <f t="shared" si="17"/>
        <v>-186000</v>
      </c>
    </row>
    <row r="1150" spans="1:20">
      <c r="A1150" t="s">
        <v>3075</v>
      </c>
      <c r="B1150">
        <v>45912</v>
      </c>
      <c r="C1150" t="s">
        <v>87</v>
      </c>
      <c r="D1150" t="s">
        <v>94</v>
      </c>
      <c r="E1150" t="s">
        <v>3</v>
      </c>
      <c r="F1150">
        <v>5050</v>
      </c>
      <c r="G1150" t="s">
        <v>45</v>
      </c>
      <c r="H1150" t="s">
        <v>2726</v>
      </c>
      <c r="I1150" t="s">
        <v>71</v>
      </c>
      <c r="J1150">
        <v>-242000</v>
      </c>
      <c r="K1150" t="s">
        <v>191</v>
      </c>
      <c r="L1150" t="s">
        <v>3076</v>
      </c>
      <c r="M1150" t="s">
        <v>3</v>
      </c>
      <c r="N1150" t="s">
        <v>75</v>
      </c>
      <c r="O1150" s="25" t="s">
        <v>3830</v>
      </c>
      <c r="P1150" s="25">
        <v>1</v>
      </c>
      <c r="Q1150" s="25">
        <v>-242000</v>
      </c>
      <c r="R1150" s="25" t="s">
        <v>35</v>
      </c>
      <c r="S1150" s="25" t="s">
        <v>35</v>
      </c>
      <c r="T1150" s="25">
        <f t="shared" si="17"/>
        <v>-242000</v>
      </c>
    </row>
    <row r="1151" spans="1:20">
      <c r="A1151" t="s">
        <v>3077</v>
      </c>
      <c r="B1151">
        <v>45912</v>
      </c>
      <c r="C1151" t="s">
        <v>87</v>
      </c>
      <c r="D1151" t="s">
        <v>88</v>
      </c>
      <c r="E1151" t="s">
        <v>3</v>
      </c>
      <c r="F1151">
        <v>5030</v>
      </c>
      <c r="G1151" t="s">
        <v>41</v>
      </c>
      <c r="H1151" t="s">
        <v>2822</v>
      </c>
      <c r="I1151" t="s">
        <v>71</v>
      </c>
      <c r="J1151">
        <v>-328000</v>
      </c>
      <c r="K1151" t="s">
        <v>280</v>
      </c>
      <c r="L1151" t="s">
        <v>3078</v>
      </c>
      <c r="M1151" t="s">
        <v>3</v>
      </c>
      <c r="N1151" t="s">
        <v>75</v>
      </c>
      <c r="O1151" s="25" t="s">
        <v>3830</v>
      </c>
      <c r="P1151" s="25">
        <v>1</v>
      </c>
      <c r="Q1151" s="25">
        <v>-328000</v>
      </c>
      <c r="R1151" s="25" t="s">
        <v>35</v>
      </c>
      <c r="S1151" s="25" t="s">
        <v>35</v>
      </c>
      <c r="T1151" s="25">
        <f t="shared" si="17"/>
        <v>-328000</v>
      </c>
    </row>
    <row r="1152" spans="1:20">
      <c r="A1152" t="s">
        <v>3079</v>
      </c>
      <c r="B1152">
        <v>45912</v>
      </c>
      <c r="C1152" t="s">
        <v>87</v>
      </c>
      <c r="D1152" t="s">
        <v>88</v>
      </c>
      <c r="E1152" t="s">
        <v>3</v>
      </c>
      <c r="F1152">
        <v>5040</v>
      </c>
      <c r="G1152" t="s">
        <v>43</v>
      </c>
      <c r="H1152" t="s">
        <v>2864</v>
      </c>
      <c r="I1152" t="s">
        <v>71</v>
      </c>
      <c r="J1152">
        <v>-698000</v>
      </c>
      <c r="K1152" t="s">
        <v>398</v>
      </c>
      <c r="L1152" t="s">
        <v>3080</v>
      </c>
      <c r="M1152" t="s">
        <v>3</v>
      </c>
      <c r="N1152" t="s">
        <v>75</v>
      </c>
      <c r="O1152" s="25" t="s">
        <v>3830</v>
      </c>
      <c r="P1152" s="25">
        <v>1</v>
      </c>
      <c r="Q1152" s="25">
        <v>-698000</v>
      </c>
      <c r="R1152" s="25" t="s">
        <v>35</v>
      </c>
      <c r="S1152" s="25" t="s">
        <v>35</v>
      </c>
      <c r="T1152" s="25">
        <f t="shared" si="17"/>
        <v>-698000</v>
      </c>
    </row>
    <row r="1153" spans="1:20">
      <c r="A1153" t="s">
        <v>3081</v>
      </c>
      <c r="B1153">
        <v>45912</v>
      </c>
      <c r="C1153" t="s">
        <v>87</v>
      </c>
      <c r="D1153" t="s">
        <v>111</v>
      </c>
      <c r="E1153" t="s">
        <v>3</v>
      </c>
      <c r="F1153">
        <v>6050</v>
      </c>
      <c r="G1153" t="s">
        <v>58</v>
      </c>
      <c r="H1153" t="s">
        <v>3082</v>
      </c>
      <c r="I1153" t="s">
        <v>71</v>
      </c>
      <c r="J1153">
        <v>-350000</v>
      </c>
      <c r="K1153" t="s">
        <v>595</v>
      </c>
      <c r="L1153" t="s">
        <v>3083</v>
      </c>
      <c r="M1153" t="s">
        <v>3</v>
      </c>
      <c r="N1153" t="s">
        <v>75</v>
      </c>
      <c r="O1153" s="25" t="s">
        <v>3830</v>
      </c>
      <c r="P1153" s="25">
        <v>1</v>
      </c>
      <c r="Q1153" s="25">
        <v>-350000</v>
      </c>
      <c r="R1153" s="25" t="s">
        <v>48</v>
      </c>
      <c r="S1153" s="25" t="s">
        <v>48</v>
      </c>
      <c r="T1153" s="25">
        <f t="shared" si="17"/>
        <v>-350000</v>
      </c>
    </row>
    <row r="1154" spans="1:20">
      <c r="A1154" t="s">
        <v>3084</v>
      </c>
      <c r="B1154">
        <v>45913</v>
      </c>
      <c r="C1154" t="s">
        <v>93</v>
      </c>
      <c r="D1154" t="s">
        <v>94</v>
      </c>
      <c r="E1154" t="s">
        <v>95</v>
      </c>
      <c r="F1154">
        <v>4000</v>
      </c>
      <c r="G1154" t="s">
        <v>25</v>
      </c>
      <c r="H1154" t="s">
        <v>3085</v>
      </c>
      <c r="I1154" t="s">
        <v>71</v>
      </c>
      <c r="J1154">
        <v>41100</v>
      </c>
      <c r="K1154" t="s">
        <v>3</v>
      </c>
      <c r="L1154" t="s">
        <v>3086</v>
      </c>
      <c r="M1154" t="s">
        <v>3</v>
      </c>
      <c r="N1154" t="s">
        <v>75</v>
      </c>
      <c r="O1154" s="25" t="s">
        <v>3830</v>
      </c>
      <c r="P1154" s="25">
        <v>1</v>
      </c>
      <c r="Q1154" s="25">
        <v>41100</v>
      </c>
      <c r="R1154" s="25" t="s">
        <v>26</v>
      </c>
      <c r="S1154" s="25" t="s">
        <v>26</v>
      </c>
      <c r="T1154" s="25">
        <f t="shared" ref="T1154:T1217" si="18">IF(AND(S1154="Revenue",G1154&lt;&gt;"Refunds &amp; Chargebacks"),ABS(Q1154),-ABS(Q1154))</f>
        <v>41100</v>
      </c>
    </row>
    <row r="1155" spans="1:20">
      <c r="A1155" t="s">
        <v>3087</v>
      </c>
      <c r="B1155">
        <v>45913</v>
      </c>
      <c r="C1155" t="s">
        <v>93</v>
      </c>
      <c r="D1155" t="s">
        <v>94</v>
      </c>
      <c r="E1155" t="s">
        <v>99</v>
      </c>
      <c r="F1155">
        <v>4000</v>
      </c>
      <c r="G1155" t="s">
        <v>25</v>
      </c>
      <c r="H1155" t="s">
        <v>3088</v>
      </c>
      <c r="I1155" t="s">
        <v>71</v>
      </c>
      <c r="J1155">
        <v>41200</v>
      </c>
      <c r="K1155" t="s">
        <v>3</v>
      </c>
      <c r="L1155" t="s">
        <v>3089</v>
      </c>
      <c r="M1155" t="s">
        <v>3</v>
      </c>
      <c r="N1155" t="s">
        <v>75</v>
      </c>
      <c r="O1155" s="25" t="s">
        <v>3830</v>
      </c>
      <c r="P1155" s="25">
        <v>1</v>
      </c>
      <c r="Q1155" s="25">
        <v>41200</v>
      </c>
      <c r="R1155" s="25" t="s">
        <v>26</v>
      </c>
      <c r="S1155" s="25" t="s">
        <v>26</v>
      </c>
      <c r="T1155" s="25">
        <f t="shared" si="18"/>
        <v>41200</v>
      </c>
    </row>
    <row r="1156" spans="1:20">
      <c r="A1156" t="s">
        <v>3090</v>
      </c>
      <c r="B1156">
        <v>45913</v>
      </c>
      <c r="C1156" t="s">
        <v>93</v>
      </c>
      <c r="D1156" t="s">
        <v>94</v>
      </c>
      <c r="E1156" t="s">
        <v>103</v>
      </c>
      <c r="F1156">
        <v>4000</v>
      </c>
      <c r="G1156" t="s">
        <v>25</v>
      </c>
      <c r="H1156" t="s">
        <v>3091</v>
      </c>
      <c r="I1156" t="s">
        <v>71</v>
      </c>
      <c r="J1156">
        <v>37700</v>
      </c>
      <c r="K1156" t="s">
        <v>3</v>
      </c>
      <c r="L1156" t="s">
        <v>3092</v>
      </c>
      <c r="M1156" t="s">
        <v>3</v>
      </c>
      <c r="N1156" t="s">
        <v>75</v>
      </c>
      <c r="O1156" s="25" t="s">
        <v>3830</v>
      </c>
      <c r="P1156" s="25">
        <v>1</v>
      </c>
      <c r="Q1156" s="25">
        <v>37700</v>
      </c>
      <c r="R1156" s="25" t="s">
        <v>26</v>
      </c>
      <c r="S1156" s="25" t="s">
        <v>26</v>
      </c>
      <c r="T1156" s="25">
        <f t="shared" si="18"/>
        <v>37700</v>
      </c>
    </row>
    <row r="1157" spans="1:20">
      <c r="A1157" t="s">
        <v>3093</v>
      </c>
      <c r="B1157">
        <v>45913</v>
      </c>
      <c r="C1157" t="s">
        <v>93</v>
      </c>
      <c r="D1157" t="s">
        <v>94</v>
      </c>
      <c r="E1157" t="s">
        <v>160</v>
      </c>
      <c r="F1157">
        <v>4000</v>
      </c>
      <c r="G1157" t="s">
        <v>25</v>
      </c>
      <c r="H1157" t="s">
        <v>3094</v>
      </c>
      <c r="I1157" t="s">
        <v>71</v>
      </c>
      <c r="J1157">
        <v>36000</v>
      </c>
      <c r="K1157" t="s">
        <v>3</v>
      </c>
      <c r="L1157" t="s">
        <v>3092</v>
      </c>
      <c r="M1157" t="s">
        <v>3</v>
      </c>
      <c r="N1157" t="s">
        <v>75</v>
      </c>
      <c r="O1157" s="25" t="s">
        <v>3830</v>
      </c>
      <c r="P1157" s="25">
        <v>1</v>
      </c>
      <c r="Q1157" s="25">
        <v>36000</v>
      </c>
      <c r="R1157" s="25" t="s">
        <v>26</v>
      </c>
      <c r="S1157" s="25" t="s">
        <v>26</v>
      </c>
      <c r="T1157" s="25">
        <f t="shared" si="18"/>
        <v>36000</v>
      </c>
    </row>
    <row r="1158" spans="1:20">
      <c r="A1158" t="s">
        <v>3095</v>
      </c>
      <c r="B1158">
        <v>45913</v>
      </c>
      <c r="C1158" t="s">
        <v>93</v>
      </c>
      <c r="D1158" t="s">
        <v>94</v>
      </c>
      <c r="E1158" t="s">
        <v>107</v>
      </c>
      <c r="F1158">
        <v>4000</v>
      </c>
      <c r="G1158" t="s">
        <v>25</v>
      </c>
      <c r="H1158" t="s">
        <v>3096</v>
      </c>
      <c r="I1158" t="s">
        <v>71</v>
      </c>
      <c r="J1158">
        <v>37000</v>
      </c>
      <c r="K1158" t="s">
        <v>3</v>
      </c>
      <c r="L1158" t="s">
        <v>3097</v>
      </c>
      <c r="M1158" t="s">
        <v>3</v>
      </c>
      <c r="N1158" t="s">
        <v>75</v>
      </c>
      <c r="O1158" s="25" t="s">
        <v>3830</v>
      </c>
      <c r="P1158" s="25">
        <v>1</v>
      </c>
      <c r="Q1158" s="25">
        <v>37000</v>
      </c>
      <c r="R1158" s="25" t="s">
        <v>26</v>
      </c>
      <c r="S1158" s="25" t="s">
        <v>26</v>
      </c>
      <c r="T1158" s="25">
        <f t="shared" si="18"/>
        <v>37000</v>
      </c>
    </row>
    <row r="1159" spans="1:20">
      <c r="A1159" t="s">
        <v>3098</v>
      </c>
      <c r="B1159">
        <v>45913</v>
      </c>
      <c r="C1159" t="s">
        <v>93</v>
      </c>
      <c r="D1159" t="s">
        <v>111</v>
      </c>
      <c r="E1159" t="s">
        <v>112</v>
      </c>
      <c r="F1159">
        <v>4000</v>
      </c>
      <c r="G1159" t="s">
        <v>25</v>
      </c>
      <c r="H1159" t="s">
        <v>3099</v>
      </c>
      <c r="I1159" t="s">
        <v>71</v>
      </c>
      <c r="J1159">
        <v>65800</v>
      </c>
      <c r="K1159" t="s">
        <v>3</v>
      </c>
      <c r="L1159" t="s">
        <v>3100</v>
      </c>
      <c r="M1159" t="s">
        <v>3</v>
      </c>
      <c r="N1159" t="s">
        <v>75</v>
      </c>
      <c r="O1159" s="25" t="s">
        <v>3830</v>
      </c>
      <c r="P1159" s="25">
        <v>1</v>
      </c>
      <c r="Q1159" s="25">
        <v>65800</v>
      </c>
      <c r="R1159" s="25" t="s">
        <v>26</v>
      </c>
      <c r="S1159" s="25" t="s">
        <v>26</v>
      </c>
      <c r="T1159" s="25">
        <f t="shared" si="18"/>
        <v>65800</v>
      </c>
    </row>
    <row r="1160" spans="1:20">
      <c r="A1160" t="s">
        <v>3101</v>
      </c>
      <c r="B1160">
        <v>45913</v>
      </c>
      <c r="C1160" t="s">
        <v>93</v>
      </c>
      <c r="D1160" t="s">
        <v>111</v>
      </c>
      <c r="E1160" t="s">
        <v>116</v>
      </c>
      <c r="F1160">
        <v>4000</v>
      </c>
      <c r="G1160" t="s">
        <v>25</v>
      </c>
      <c r="H1160" t="s">
        <v>3102</v>
      </c>
      <c r="I1160" t="s">
        <v>71</v>
      </c>
      <c r="J1160">
        <v>65100</v>
      </c>
      <c r="K1160" t="s">
        <v>3</v>
      </c>
      <c r="L1160" t="s">
        <v>3100</v>
      </c>
      <c r="M1160" t="s">
        <v>3</v>
      </c>
      <c r="N1160" t="s">
        <v>75</v>
      </c>
      <c r="O1160" s="25" t="s">
        <v>3830</v>
      </c>
      <c r="P1160" s="25">
        <v>1</v>
      </c>
      <c r="Q1160" s="25">
        <v>65100</v>
      </c>
      <c r="R1160" s="25" t="s">
        <v>26</v>
      </c>
      <c r="S1160" s="25" t="s">
        <v>26</v>
      </c>
      <c r="T1160" s="25">
        <f t="shared" si="18"/>
        <v>65100</v>
      </c>
    </row>
    <row r="1161" spans="1:20">
      <c r="A1161" t="s">
        <v>3103</v>
      </c>
      <c r="B1161">
        <v>45913</v>
      </c>
      <c r="C1161" t="s">
        <v>93</v>
      </c>
      <c r="D1161" t="s">
        <v>111</v>
      </c>
      <c r="E1161" t="s">
        <v>119</v>
      </c>
      <c r="F1161">
        <v>4000</v>
      </c>
      <c r="G1161" t="s">
        <v>25</v>
      </c>
      <c r="H1161" t="s">
        <v>3104</v>
      </c>
      <c r="I1161" t="s">
        <v>71</v>
      </c>
      <c r="J1161">
        <v>61100</v>
      </c>
      <c r="K1161" t="s">
        <v>3</v>
      </c>
      <c r="L1161" t="s">
        <v>3100</v>
      </c>
      <c r="M1161" t="s">
        <v>3</v>
      </c>
      <c r="N1161" t="s">
        <v>75</v>
      </c>
      <c r="O1161" s="25" t="s">
        <v>3830</v>
      </c>
      <c r="P1161" s="25">
        <v>1</v>
      </c>
      <c r="Q1161" s="25">
        <v>61100</v>
      </c>
      <c r="R1161" s="25" t="s">
        <v>26</v>
      </c>
      <c r="S1161" s="25" t="s">
        <v>26</v>
      </c>
      <c r="T1161" s="25">
        <f t="shared" si="18"/>
        <v>61100</v>
      </c>
    </row>
    <row r="1162" spans="1:20">
      <c r="A1162" t="s">
        <v>3105</v>
      </c>
      <c r="B1162">
        <v>45913</v>
      </c>
      <c r="C1162" t="s">
        <v>93</v>
      </c>
      <c r="D1162" t="s">
        <v>111</v>
      </c>
      <c r="E1162" t="s">
        <v>170</v>
      </c>
      <c r="F1162">
        <v>4000</v>
      </c>
      <c r="G1162" t="s">
        <v>25</v>
      </c>
      <c r="H1162" t="s">
        <v>3106</v>
      </c>
      <c r="I1162" t="s">
        <v>71</v>
      </c>
      <c r="J1162">
        <v>66700</v>
      </c>
      <c r="K1162" t="s">
        <v>3</v>
      </c>
      <c r="L1162" t="s">
        <v>3100</v>
      </c>
      <c r="M1162" t="s">
        <v>3</v>
      </c>
      <c r="N1162" t="s">
        <v>75</v>
      </c>
      <c r="O1162" s="25" t="s">
        <v>3830</v>
      </c>
      <c r="P1162" s="25">
        <v>1</v>
      </c>
      <c r="Q1162" s="25">
        <v>66700</v>
      </c>
      <c r="R1162" s="25" t="s">
        <v>26</v>
      </c>
      <c r="S1162" s="25" t="s">
        <v>26</v>
      </c>
      <c r="T1162" s="25">
        <f t="shared" si="18"/>
        <v>66700</v>
      </c>
    </row>
    <row r="1163" spans="1:20">
      <c r="A1163" t="s">
        <v>3107</v>
      </c>
      <c r="B1163">
        <v>45913</v>
      </c>
      <c r="C1163" t="s">
        <v>93</v>
      </c>
      <c r="D1163" t="s">
        <v>111</v>
      </c>
      <c r="E1163" t="s">
        <v>122</v>
      </c>
      <c r="F1163">
        <v>4000</v>
      </c>
      <c r="G1163" t="s">
        <v>25</v>
      </c>
      <c r="H1163" t="s">
        <v>3108</v>
      </c>
      <c r="I1163" t="s">
        <v>71</v>
      </c>
      <c r="J1163">
        <v>63700</v>
      </c>
      <c r="K1163" t="s">
        <v>3</v>
      </c>
      <c r="L1163" t="s">
        <v>3109</v>
      </c>
      <c r="M1163" t="s">
        <v>3</v>
      </c>
      <c r="N1163" t="s">
        <v>75</v>
      </c>
      <c r="O1163" s="25" t="s">
        <v>3830</v>
      </c>
      <c r="P1163" s="25">
        <v>1</v>
      </c>
      <c r="Q1163" s="25">
        <v>63700</v>
      </c>
      <c r="R1163" s="25" t="s">
        <v>26</v>
      </c>
      <c r="S1163" s="25" t="s">
        <v>26</v>
      </c>
      <c r="T1163" s="25">
        <f t="shared" si="18"/>
        <v>63700</v>
      </c>
    </row>
    <row r="1164" spans="1:20">
      <c r="A1164" t="s">
        <v>3110</v>
      </c>
      <c r="B1164">
        <v>45913</v>
      </c>
      <c r="C1164" t="s">
        <v>126</v>
      </c>
      <c r="D1164" t="s">
        <v>88</v>
      </c>
      <c r="E1164" t="s">
        <v>127</v>
      </c>
      <c r="F1164">
        <v>4020</v>
      </c>
      <c r="G1164" t="s">
        <v>30</v>
      </c>
      <c r="H1164" t="s">
        <v>3111</v>
      </c>
      <c r="I1164" t="s">
        <v>72</v>
      </c>
      <c r="J1164">
        <v>35.94</v>
      </c>
      <c r="K1164" t="s">
        <v>129</v>
      </c>
      <c r="L1164" t="s">
        <v>3112</v>
      </c>
      <c r="M1164" t="s">
        <v>3</v>
      </c>
      <c r="N1164" t="s">
        <v>75</v>
      </c>
      <c r="O1164" s="25" t="s">
        <v>3831</v>
      </c>
      <c r="P1164" s="25">
        <v>1611</v>
      </c>
      <c r="Q1164" s="25">
        <v>57899.34</v>
      </c>
      <c r="R1164" s="25" t="s">
        <v>26</v>
      </c>
      <c r="S1164" s="25" t="s">
        <v>26</v>
      </c>
      <c r="T1164" s="25">
        <f t="shared" si="18"/>
        <v>57899.34</v>
      </c>
    </row>
    <row r="1165" spans="1:20">
      <c r="A1165" t="s">
        <v>3113</v>
      </c>
      <c r="B1165">
        <v>45913</v>
      </c>
      <c r="C1165" t="s">
        <v>126</v>
      </c>
      <c r="D1165" t="s">
        <v>88</v>
      </c>
      <c r="E1165" t="s">
        <v>132</v>
      </c>
      <c r="F1165">
        <v>4020</v>
      </c>
      <c r="G1165" t="s">
        <v>30</v>
      </c>
      <c r="H1165" t="s">
        <v>3114</v>
      </c>
      <c r="I1165" t="s">
        <v>72</v>
      </c>
      <c r="J1165">
        <v>35.26</v>
      </c>
      <c r="K1165" t="s">
        <v>134</v>
      </c>
      <c r="L1165" t="s">
        <v>3112</v>
      </c>
      <c r="M1165" t="s">
        <v>3</v>
      </c>
      <c r="N1165" t="s">
        <v>75</v>
      </c>
      <c r="O1165" s="25" t="s">
        <v>3831</v>
      </c>
      <c r="P1165" s="25">
        <v>1611</v>
      </c>
      <c r="Q1165" s="25">
        <v>56803.859999999993</v>
      </c>
      <c r="R1165" s="25" t="s">
        <v>26</v>
      </c>
      <c r="S1165" s="25" t="s">
        <v>26</v>
      </c>
      <c r="T1165" s="25">
        <f t="shared" si="18"/>
        <v>56803.859999999993</v>
      </c>
    </row>
    <row r="1166" spans="1:20">
      <c r="A1166" t="s">
        <v>3115</v>
      </c>
      <c r="B1166">
        <v>45913</v>
      </c>
      <c r="C1166" t="s">
        <v>126</v>
      </c>
      <c r="D1166" t="s">
        <v>88</v>
      </c>
      <c r="E1166" t="s">
        <v>140</v>
      </c>
      <c r="F1166">
        <v>4020</v>
      </c>
      <c r="G1166" t="s">
        <v>30</v>
      </c>
      <c r="H1166" t="s">
        <v>3116</v>
      </c>
      <c r="I1166" t="s">
        <v>71</v>
      </c>
      <c r="J1166">
        <v>47400</v>
      </c>
      <c r="K1166" t="s">
        <v>3</v>
      </c>
      <c r="L1166" t="s">
        <v>3117</v>
      </c>
      <c r="M1166" t="s">
        <v>3</v>
      </c>
      <c r="N1166" t="s">
        <v>75</v>
      </c>
      <c r="O1166" s="25" t="s">
        <v>3830</v>
      </c>
      <c r="P1166" s="25">
        <v>1</v>
      </c>
      <c r="Q1166" s="25">
        <v>47400</v>
      </c>
      <c r="R1166" s="25" t="s">
        <v>26</v>
      </c>
      <c r="S1166" s="25" t="s">
        <v>26</v>
      </c>
      <c r="T1166" s="25">
        <f t="shared" si="18"/>
        <v>47400</v>
      </c>
    </row>
    <row r="1167" spans="1:20">
      <c r="A1167" t="s">
        <v>3118</v>
      </c>
      <c r="B1167">
        <v>45913</v>
      </c>
      <c r="C1167" t="s">
        <v>87</v>
      </c>
      <c r="D1167" t="s">
        <v>94</v>
      </c>
      <c r="E1167" t="s">
        <v>3</v>
      </c>
      <c r="F1167">
        <v>5000</v>
      </c>
      <c r="G1167" t="s">
        <v>34</v>
      </c>
      <c r="H1167" t="s">
        <v>2691</v>
      </c>
      <c r="I1167" t="s">
        <v>71</v>
      </c>
      <c r="J1167">
        <v>-717000</v>
      </c>
      <c r="K1167" t="s">
        <v>316</v>
      </c>
      <c r="L1167" t="s">
        <v>3119</v>
      </c>
      <c r="M1167" t="s">
        <v>3</v>
      </c>
      <c r="N1167" t="s">
        <v>75</v>
      </c>
      <c r="O1167" s="25" t="s">
        <v>3830</v>
      </c>
      <c r="P1167" s="25">
        <v>1</v>
      </c>
      <c r="Q1167" s="25">
        <v>-717000</v>
      </c>
      <c r="R1167" s="25" t="s">
        <v>35</v>
      </c>
      <c r="S1167" s="25" t="s">
        <v>35</v>
      </c>
      <c r="T1167" s="25">
        <f t="shared" si="18"/>
        <v>-717000</v>
      </c>
    </row>
    <row r="1168" spans="1:20">
      <c r="A1168" t="s">
        <v>3120</v>
      </c>
      <c r="B1168">
        <v>45913</v>
      </c>
      <c r="C1168" t="s">
        <v>87</v>
      </c>
      <c r="D1168" t="s">
        <v>111</v>
      </c>
      <c r="E1168" t="s">
        <v>3</v>
      </c>
      <c r="F1168">
        <v>5020</v>
      </c>
      <c r="G1168" t="s">
        <v>39</v>
      </c>
      <c r="H1168" t="s">
        <v>2694</v>
      </c>
      <c r="I1168" t="s">
        <v>71</v>
      </c>
      <c r="J1168">
        <v>-113000</v>
      </c>
      <c r="K1168" t="s">
        <v>276</v>
      </c>
      <c r="L1168" t="s">
        <v>3121</v>
      </c>
      <c r="M1168" t="s">
        <v>3</v>
      </c>
      <c r="N1168" t="s">
        <v>75</v>
      </c>
      <c r="O1168" s="25" t="s">
        <v>3830</v>
      </c>
      <c r="P1168" s="25">
        <v>1</v>
      </c>
      <c r="Q1168" s="25">
        <v>-113000</v>
      </c>
      <c r="R1168" s="25" t="s">
        <v>35</v>
      </c>
      <c r="S1168" s="25" t="s">
        <v>35</v>
      </c>
      <c r="T1168" s="25">
        <f t="shared" si="18"/>
        <v>-113000</v>
      </c>
    </row>
    <row r="1169" spans="1:20">
      <c r="A1169" t="s">
        <v>3122</v>
      </c>
      <c r="B1169">
        <v>45914</v>
      </c>
      <c r="C1169" t="s">
        <v>93</v>
      </c>
      <c r="D1169" t="s">
        <v>94</v>
      </c>
      <c r="E1169" t="s">
        <v>95</v>
      </c>
      <c r="F1169">
        <v>4000</v>
      </c>
      <c r="G1169" t="s">
        <v>25</v>
      </c>
      <c r="H1169" t="s">
        <v>3123</v>
      </c>
      <c r="I1169" t="s">
        <v>71</v>
      </c>
      <c r="J1169">
        <v>39600</v>
      </c>
      <c r="K1169" t="s">
        <v>3</v>
      </c>
      <c r="L1169" t="s">
        <v>3124</v>
      </c>
      <c r="M1169" t="s">
        <v>3</v>
      </c>
      <c r="N1169" t="s">
        <v>75</v>
      </c>
      <c r="O1169" s="25" t="s">
        <v>3830</v>
      </c>
      <c r="P1169" s="25">
        <v>1</v>
      </c>
      <c r="Q1169" s="25">
        <v>39600</v>
      </c>
      <c r="R1169" s="25" t="s">
        <v>26</v>
      </c>
      <c r="S1169" s="25" t="s">
        <v>26</v>
      </c>
      <c r="T1169" s="25">
        <f t="shared" si="18"/>
        <v>39600</v>
      </c>
    </row>
    <row r="1170" spans="1:20">
      <c r="A1170" t="s">
        <v>3125</v>
      </c>
      <c r="B1170">
        <v>45914</v>
      </c>
      <c r="C1170" t="s">
        <v>93</v>
      </c>
      <c r="D1170" t="s">
        <v>94</v>
      </c>
      <c r="E1170" t="s">
        <v>103</v>
      </c>
      <c r="F1170">
        <v>4000</v>
      </c>
      <c r="G1170" t="s">
        <v>25</v>
      </c>
      <c r="H1170" t="s">
        <v>3126</v>
      </c>
      <c r="I1170" t="s">
        <v>71</v>
      </c>
      <c r="J1170">
        <v>41400</v>
      </c>
      <c r="K1170" t="s">
        <v>3</v>
      </c>
      <c r="L1170" t="s">
        <v>3127</v>
      </c>
      <c r="M1170" t="s">
        <v>3</v>
      </c>
      <c r="N1170" t="s">
        <v>75</v>
      </c>
      <c r="O1170" s="25" t="s">
        <v>3830</v>
      </c>
      <c r="P1170" s="25">
        <v>1</v>
      </c>
      <c r="Q1170" s="25">
        <v>41400</v>
      </c>
      <c r="R1170" s="25" t="s">
        <v>26</v>
      </c>
      <c r="S1170" s="25" t="s">
        <v>26</v>
      </c>
      <c r="T1170" s="25">
        <f t="shared" si="18"/>
        <v>41400</v>
      </c>
    </row>
    <row r="1171" spans="1:20">
      <c r="A1171" t="s">
        <v>3128</v>
      </c>
      <c r="B1171">
        <v>45914</v>
      </c>
      <c r="C1171" t="s">
        <v>93</v>
      </c>
      <c r="D1171" t="s">
        <v>94</v>
      </c>
      <c r="E1171" t="s">
        <v>160</v>
      </c>
      <c r="F1171">
        <v>4000</v>
      </c>
      <c r="G1171" t="s">
        <v>25</v>
      </c>
      <c r="H1171" t="s">
        <v>3129</v>
      </c>
      <c r="I1171" t="s">
        <v>71</v>
      </c>
      <c r="J1171">
        <v>37200</v>
      </c>
      <c r="K1171" t="s">
        <v>3</v>
      </c>
      <c r="L1171" t="s">
        <v>3127</v>
      </c>
      <c r="M1171" t="s">
        <v>3</v>
      </c>
      <c r="N1171" t="s">
        <v>75</v>
      </c>
      <c r="O1171" s="25" t="s">
        <v>3830</v>
      </c>
      <c r="P1171" s="25">
        <v>1</v>
      </c>
      <c r="Q1171" s="25">
        <v>37200</v>
      </c>
      <c r="R1171" s="25" t="s">
        <v>26</v>
      </c>
      <c r="S1171" s="25" t="s">
        <v>26</v>
      </c>
      <c r="T1171" s="25">
        <f t="shared" si="18"/>
        <v>37200</v>
      </c>
    </row>
    <row r="1172" spans="1:20">
      <c r="A1172" t="s">
        <v>3130</v>
      </c>
      <c r="B1172">
        <v>45914</v>
      </c>
      <c r="C1172" t="s">
        <v>93</v>
      </c>
      <c r="D1172" t="s">
        <v>94</v>
      </c>
      <c r="E1172" t="s">
        <v>107</v>
      </c>
      <c r="F1172">
        <v>4000</v>
      </c>
      <c r="G1172" t="s">
        <v>25</v>
      </c>
      <c r="H1172" t="s">
        <v>3131</v>
      </c>
      <c r="I1172" t="s">
        <v>71</v>
      </c>
      <c r="J1172">
        <v>37600</v>
      </c>
      <c r="K1172" t="s">
        <v>3</v>
      </c>
      <c r="L1172" t="s">
        <v>3132</v>
      </c>
      <c r="M1172" t="s">
        <v>3</v>
      </c>
      <c r="N1172" t="s">
        <v>75</v>
      </c>
      <c r="O1172" s="25" t="s">
        <v>3830</v>
      </c>
      <c r="P1172" s="25">
        <v>1</v>
      </c>
      <c r="Q1172" s="25">
        <v>37600</v>
      </c>
      <c r="R1172" s="25" t="s">
        <v>26</v>
      </c>
      <c r="S1172" s="25" t="s">
        <v>26</v>
      </c>
      <c r="T1172" s="25">
        <f t="shared" si="18"/>
        <v>37600</v>
      </c>
    </row>
    <row r="1173" spans="1:20">
      <c r="A1173" t="s">
        <v>3133</v>
      </c>
      <c r="B1173">
        <v>45914</v>
      </c>
      <c r="C1173" t="s">
        <v>93</v>
      </c>
      <c r="D1173" t="s">
        <v>111</v>
      </c>
      <c r="E1173" t="s">
        <v>112</v>
      </c>
      <c r="F1173">
        <v>4000</v>
      </c>
      <c r="G1173" t="s">
        <v>25</v>
      </c>
      <c r="H1173" t="s">
        <v>3134</v>
      </c>
      <c r="I1173" t="s">
        <v>71</v>
      </c>
      <c r="J1173">
        <v>61000</v>
      </c>
      <c r="K1173" t="s">
        <v>3</v>
      </c>
      <c r="L1173" t="s">
        <v>3135</v>
      </c>
      <c r="M1173" t="s">
        <v>3</v>
      </c>
      <c r="N1173" t="s">
        <v>75</v>
      </c>
      <c r="O1173" s="25" t="s">
        <v>3830</v>
      </c>
      <c r="P1173" s="25">
        <v>1</v>
      </c>
      <c r="Q1173" s="25">
        <v>61000</v>
      </c>
      <c r="R1173" s="25" t="s">
        <v>26</v>
      </c>
      <c r="S1173" s="25" t="s">
        <v>26</v>
      </c>
      <c r="T1173" s="25">
        <f t="shared" si="18"/>
        <v>61000</v>
      </c>
    </row>
    <row r="1174" spans="1:20">
      <c r="A1174" t="s">
        <v>3136</v>
      </c>
      <c r="B1174">
        <v>45914</v>
      </c>
      <c r="C1174" t="s">
        <v>93</v>
      </c>
      <c r="D1174" t="s">
        <v>111</v>
      </c>
      <c r="E1174" t="s">
        <v>116</v>
      </c>
      <c r="F1174">
        <v>4000</v>
      </c>
      <c r="G1174" t="s">
        <v>25</v>
      </c>
      <c r="H1174" t="s">
        <v>3137</v>
      </c>
      <c r="I1174" t="s">
        <v>71</v>
      </c>
      <c r="J1174">
        <v>62100</v>
      </c>
      <c r="K1174" t="s">
        <v>3</v>
      </c>
      <c r="L1174" t="s">
        <v>3135</v>
      </c>
      <c r="M1174" t="s">
        <v>3</v>
      </c>
      <c r="N1174" t="s">
        <v>75</v>
      </c>
      <c r="O1174" s="25" t="s">
        <v>3830</v>
      </c>
      <c r="P1174" s="25">
        <v>1</v>
      </c>
      <c r="Q1174" s="25">
        <v>62100</v>
      </c>
      <c r="R1174" s="25" t="s">
        <v>26</v>
      </c>
      <c r="S1174" s="25" t="s">
        <v>26</v>
      </c>
      <c r="T1174" s="25">
        <f t="shared" si="18"/>
        <v>62100</v>
      </c>
    </row>
    <row r="1175" spans="1:20">
      <c r="A1175" t="s">
        <v>3138</v>
      </c>
      <c r="B1175">
        <v>45914</v>
      </c>
      <c r="C1175" t="s">
        <v>93</v>
      </c>
      <c r="D1175" t="s">
        <v>111</v>
      </c>
      <c r="E1175" t="s">
        <v>119</v>
      </c>
      <c r="F1175">
        <v>4000</v>
      </c>
      <c r="G1175" t="s">
        <v>25</v>
      </c>
      <c r="H1175" t="s">
        <v>3139</v>
      </c>
      <c r="I1175" t="s">
        <v>71</v>
      </c>
      <c r="J1175">
        <v>66300</v>
      </c>
      <c r="K1175" t="s">
        <v>3</v>
      </c>
      <c r="L1175" t="s">
        <v>3135</v>
      </c>
      <c r="M1175" t="s">
        <v>3</v>
      </c>
      <c r="N1175" t="s">
        <v>75</v>
      </c>
      <c r="O1175" s="25" t="s">
        <v>3830</v>
      </c>
      <c r="P1175" s="25">
        <v>1</v>
      </c>
      <c r="Q1175" s="25">
        <v>66300</v>
      </c>
      <c r="R1175" s="25" t="s">
        <v>26</v>
      </c>
      <c r="S1175" s="25" t="s">
        <v>26</v>
      </c>
      <c r="T1175" s="25">
        <f t="shared" si="18"/>
        <v>66300</v>
      </c>
    </row>
    <row r="1176" spans="1:20">
      <c r="A1176" t="s">
        <v>3140</v>
      </c>
      <c r="B1176">
        <v>45914</v>
      </c>
      <c r="C1176" t="s">
        <v>93</v>
      </c>
      <c r="D1176" t="s">
        <v>111</v>
      </c>
      <c r="E1176" t="s">
        <v>170</v>
      </c>
      <c r="F1176">
        <v>4000</v>
      </c>
      <c r="G1176" t="s">
        <v>25</v>
      </c>
      <c r="H1176" t="s">
        <v>3141</v>
      </c>
      <c r="I1176" t="s">
        <v>71</v>
      </c>
      <c r="J1176">
        <v>65100</v>
      </c>
      <c r="K1176" t="s">
        <v>3</v>
      </c>
      <c r="L1176" t="s">
        <v>3135</v>
      </c>
      <c r="M1176" t="s">
        <v>3</v>
      </c>
      <c r="N1176" t="s">
        <v>75</v>
      </c>
      <c r="O1176" s="25" t="s">
        <v>3830</v>
      </c>
      <c r="P1176" s="25">
        <v>1</v>
      </c>
      <c r="Q1176" s="25">
        <v>65100</v>
      </c>
      <c r="R1176" s="25" t="s">
        <v>26</v>
      </c>
      <c r="S1176" s="25" t="s">
        <v>26</v>
      </c>
      <c r="T1176" s="25">
        <f t="shared" si="18"/>
        <v>65100</v>
      </c>
    </row>
    <row r="1177" spans="1:20">
      <c r="A1177" t="s">
        <v>3142</v>
      </c>
      <c r="B1177">
        <v>45914</v>
      </c>
      <c r="C1177" t="s">
        <v>126</v>
      </c>
      <c r="D1177" t="s">
        <v>88</v>
      </c>
      <c r="E1177" t="s">
        <v>127</v>
      </c>
      <c r="F1177">
        <v>4020</v>
      </c>
      <c r="G1177" t="s">
        <v>30</v>
      </c>
      <c r="H1177" t="s">
        <v>3143</v>
      </c>
      <c r="I1177" t="s">
        <v>72</v>
      </c>
      <c r="J1177">
        <v>31.35</v>
      </c>
      <c r="K1177" t="s">
        <v>129</v>
      </c>
      <c r="L1177" t="s">
        <v>3144</v>
      </c>
      <c r="M1177" t="s">
        <v>3</v>
      </c>
      <c r="N1177" t="s">
        <v>75</v>
      </c>
      <c r="O1177" s="25" t="s">
        <v>3831</v>
      </c>
      <c r="P1177" s="25">
        <v>1611</v>
      </c>
      <c r="Q1177" s="25">
        <v>50504.850000000006</v>
      </c>
      <c r="R1177" s="25" t="s">
        <v>26</v>
      </c>
      <c r="S1177" s="25" t="s">
        <v>26</v>
      </c>
      <c r="T1177" s="25">
        <f t="shared" si="18"/>
        <v>50504.850000000006</v>
      </c>
    </row>
    <row r="1178" spans="1:20">
      <c r="A1178" t="s">
        <v>3145</v>
      </c>
      <c r="B1178">
        <v>45914</v>
      </c>
      <c r="C1178" t="s">
        <v>126</v>
      </c>
      <c r="D1178" t="s">
        <v>88</v>
      </c>
      <c r="E1178" t="s">
        <v>132</v>
      </c>
      <c r="F1178">
        <v>4020</v>
      </c>
      <c r="G1178" t="s">
        <v>30</v>
      </c>
      <c r="H1178" t="s">
        <v>3146</v>
      </c>
      <c r="I1178" t="s">
        <v>71</v>
      </c>
      <c r="J1178">
        <v>49300</v>
      </c>
      <c r="K1178" t="s">
        <v>134</v>
      </c>
      <c r="L1178" t="s">
        <v>3144</v>
      </c>
      <c r="M1178" t="s">
        <v>3</v>
      </c>
      <c r="N1178" t="s">
        <v>75</v>
      </c>
      <c r="O1178" s="25" t="s">
        <v>3830</v>
      </c>
      <c r="P1178" s="25">
        <v>1</v>
      </c>
      <c r="Q1178" s="25">
        <v>49300</v>
      </c>
      <c r="R1178" s="25" t="s">
        <v>26</v>
      </c>
      <c r="S1178" s="25" t="s">
        <v>26</v>
      </c>
      <c r="T1178" s="25">
        <f t="shared" si="18"/>
        <v>49300</v>
      </c>
    </row>
    <row r="1179" spans="1:20">
      <c r="A1179" t="s">
        <v>3147</v>
      </c>
      <c r="B1179">
        <v>45914</v>
      </c>
      <c r="C1179" t="s">
        <v>126</v>
      </c>
      <c r="D1179" t="s">
        <v>88</v>
      </c>
      <c r="E1179" t="s">
        <v>136</v>
      </c>
      <c r="F1179">
        <v>4020</v>
      </c>
      <c r="G1179" t="s">
        <v>30</v>
      </c>
      <c r="H1179" t="s">
        <v>3148</v>
      </c>
      <c r="I1179" t="s">
        <v>71</v>
      </c>
      <c r="J1179">
        <v>51400</v>
      </c>
      <c r="K1179" t="s">
        <v>138</v>
      </c>
      <c r="L1179" t="s">
        <v>3144</v>
      </c>
      <c r="M1179" t="s">
        <v>3</v>
      </c>
      <c r="N1179" t="s">
        <v>75</v>
      </c>
      <c r="O1179" s="25" t="s">
        <v>3830</v>
      </c>
      <c r="P1179" s="25">
        <v>1</v>
      </c>
      <c r="Q1179" s="25">
        <v>51400</v>
      </c>
      <c r="R1179" s="25" t="s">
        <v>26</v>
      </c>
      <c r="S1179" s="25" t="s">
        <v>26</v>
      </c>
      <c r="T1179" s="25">
        <f t="shared" si="18"/>
        <v>51400</v>
      </c>
    </row>
    <row r="1180" spans="1:20">
      <c r="A1180" t="s">
        <v>3149</v>
      </c>
      <c r="B1180">
        <v>45914</v>
      </c>
      <c r="C1180" t="s">
        <v>126</v>
      </c>
      <c r="D1180" t="s">
        <v>88</v>
      </c>
      <c r="E1180" t="s">
        <v>140</v>
      </c>
      <c r="F1180">
        <v>4020</v>
      </c>
      <c r="G1180" t="s">
        <v>30</v>
      </c>
      <c r="H1180" t="s">
        <v>3150</v>
      </c>
      <c r="I1180" t="s">
        <v>71</v>
      </c>
      <c r="J1180">
        <v>57400</v>
      </c>
      <c r="K1180" t="s">
        <v>3</v>
      </c>
      <c r="L1180" t="s">
        <v>3151</v>
      </c>
      <c r="M1180" t="s">
        <v>3</v>
      </c>
      <c r="N1180" t="s">
        <v>75</v>
      </c>
      <c r="O1180" s="25" t="s">
        <v>3830</v>
      </c>
      <c r="P1180" s="25">
        <v>1</v>
      </c>
      <c r="Q1180" s="25">
        <v>57400</v>
      </c>
      <c r="R1180" s="25" t="s">
        <v>26</v>
      </c>
      <c r="S1180" s="25" t="s">
        <v>26</v>
      </c>
      <c r="T1180" s="25">
        <f t="shared" si="18"/>
        <v>57400</v>
      </c>
    </row>
    <row r="1181" spans="1:20">
      <c r="A1181" t="s">
        <v>3152</v>
      </c>
      <c r="B1181">
        <v>45914</v>
      </c>
      <c r="C1181" t="s">
        <v>93</v>
      </c>
      <c r="D1181" t="s">
        <v>111</v>
      </c>
      <c r="E1181" t="s">
        <v>112</v>
      </c>
      <c r="F1181">
        <v>4900</v>
      </c>
      <c r="G1181" t="s">
        <v>32</v>
      </c>
      <c r="H1181" t="s">
        <v>3153</v>
      </c>
      <c r="I1181" t="s">
        <v>71</v>
      </c>
      <c r="J1181">
        <v>129408</v>
      </c>
      <c r="K1181" t="s">
        <v>3</v>
      </c>
      <c r="L1181" t="s">
        <v>3154</v>
      </c>
      <c r="M1181" t="s">
        <v>237</v>
      </c>
      <c r="N1181" t="s">
        <v>75</v>
      </c>
      <c r="O1181" s="25" t="s">
        <v>3830</v>
      </c>
      <c r="P1181" s="25">
        <v>1</v>
      </c>
      <c r="Q1181" s="25">
        <v>129408</v>
      </c>
      <c r="R1181" s="25" t="s">
        <v>26</v>
      </c>
      <c r="S1181" s="25" t="s">
        <v>26</v>
      </c>
      <c r="T1181" s="25">
        <f t="shared" si="18"/>
        <v>-129408</v>
      </c>
    </row>
    <row r="1182" spans="1:20">
      <c r="A1182" t="s">
        <v>3155</v>
      </c>
      <c r="B1182">
        <v>45914</v>
      </c>
      <c r="C1182" t="s">
        <v>87</v>
      </c>
      <c r="D1182" t="s">
        <v>88</v>
      </c>
      <c r="E1182" t="s">
        <v>3</v>
      </c>
      <c r="F1182">
        <v>5030</v>
      </c>
      <c r="G1182" t="s">
        <v>41</v>
      </c>
      <c r="H1182" t="s">
        <v>2656</v>
      </c>
      <c r="I1182" t="s">
        <v>71</v>
      </c>
      <c r="J1182">
        <v>-452000</v>
      </c>
      <c r="K1182" t="s">
        <v>90</v>
      </c>
      <c r="L1182" t="s">
        <v>3156</v>
      </c>
      <c r="M1182" t="s">
        <v>3</v>
      </c>
      <c r="N1182" t="s">
        <v>75</v>
      </c>
      <c r="O1182" s="25" t="s">
        <v>3830</v>
      </c>
      <c r="P1182" s="25">
        <v>1</v>
      </c>
      <c r="Q1182" s="25">
        <v>-452000</v>
      </c>
      <c r="R1182" s="25" t="s">
        <v>35</v>
      </c>
      <c r="S1182" s="25" t="s">
        <v>35</v>
      </c>
      <c r="T1182" s="25">
        <f t="shared" si="18"/>
        <v>-452000</v>
      </c>
    </row>
    <row r="1183" spans="1:20">
      <c r="A1183" t="s">
        <v>3157</v>
      </c>
      <c r="B1183">
        <v>45914</v>
      </c>
      <c r="C1183" t="s">
        <v>87</v>
      </c>
      <c r="D1183" t="s">
        <v>88</v>
      </c>
      <c r="E1183" t="s">
        <v>3</v>
      </c>
      <c r="F1183">
        <v>5030</v>
      </c>
      <c r="G1183" t="s">
        <v>41</v>
      </c>
      <c r="H1183" t="s">
        <v>2656</v>
      </c>
      <c r="I1183" t="s">
        <v>71</v>
      </c>
      <c r="J1183">
        <v>-489000</v>
      </c>
      <c r="K1183" t="s">
        <v>90</v>
      </c>
      <c r="L1183" t="s">
        <v>3158</v>
      </c>
      <c r="M1183" t="s">
        <v>3</v>
      </c>
      <c r="N1183" t="s">
        <v>75</v>
      </c>
      <c r="O1183" s="25" t="s">
        <v>3830</v>
      </c>
      <c r="P1183" s="25">
        <v>1</v>
      </c>
      <c r="Q1183" s="25">
        <v>-489000</v>
      </c>
      <c r="R1183" s="25" t="s">
        <v>35</v>
      </c>
      <c r="S1183" s="25" t="s">
        <v>35</v>
      </c>
      <c r="T1183" s="25">
        <f t="shared" si="18"/>
        <v>-489000</v>
      </c>
    </row>
    <row r="1184" spans="1:20">
      <c r="A1184" t="s">
        <v>3159</v>
      </c>
      <c r="B1184">
        <v>45915</v>
      </c>
      <c r="C1184" t="s">
        <v>93</v>
      </c>
      <c r="D1184" t="s">
        <v>94</v>
      </c>
      <c r="E1184" t="s">
        <v>95</v>
      </c>
      <c r="F1184">
        <v>4000</v>
      </c>
      <c r="G1184" t="s">
        <v>25</v>
      </c>
      <c r="H1184" t="s">
        <v>3160</v>
      </c>
      <c r="I1184" t="s">
        <v>71</v>
      </c>
      <c r="J1184">
        <v>28800</v>
      </c>
      <c r="K1184" t="s">
        <v>3</v>
      </c>
      <c r="L1184" t="s">
        <v>3161</v>
      </c>
      <c r="M1184" t="s">
        <v>3</v>
      </c>
      <c r="N1184" t="s">
        <v>75</v>
      </c>
      <c r="O1184" s="25" t="s">
        <v>3830</v>
      </c>
      <c r="P1184" s="25">
        <v>1</v>
      </c>
      <c r="Q1184" s="25">
        <v>28800</v>
      </c>
      <c r="R1184" s="25" t="s">
        <v>26</v>
      </c>
      <c r="S1184" s="25" t="s">
        <v>26</v>
      </c>
      <c r="T1184" s="25">
        <f t="shared" si="18"/>
        <v>28800</v>
      </c>
    </row>
    <row r="1185" spans="1:20">
      <c r="A1185" t="s">
        <v>3162</v>
      </c>
      <c r="B1185">
        <v>45915</v>
      </c>
      <c r="C1185" t="s">
        <v>93</v>
      </c>
      <c r="D1185" t="s">
        <v>94</v>
      </c>
      <c r="E1185" t="s">
        <v>99</v>
      </c>
      <c r="F1185">
        <v>4000</v>
      </c>
      <c r="G1185" t="s">
        <v>25</v>
      </c>
      <c r="H1185" t="s">
        <v>3163</v>
      </c>
      <c r="I1185" t="s">
        <v>71</v>
      </c>
      <c r="J1185">
        <v>28700</v>
      </c>
      <c r="K1185" t="s">
        <v>3</v>
      </c>
      <c r="L1185" t="s">
        <v>3164</v>
      </c>
      <c r="M1185" t="s">
        <v>3</v>
      </c>
      <c r="N1185" t="s">
        <v>75</v>
      </c>
      <c r="O1185" s="25" t="s">
        <v>3830</v>
      </c>
      <c r="P1185" s="25">
        <v>1</v>
      </c>
      <c r="Q1185" s="25">
        <v>28700</v>
      </c>
      <c r="R1185" s="25" t="s">
        <v>26</v>
      </c>
      <c r="S1185" s="25" t="s">
        <v>26</v>
      </c>
      <c r="T1185" s="25">
        <f t="shared" si="18"/>
        <v>28700</v>
      </c>
    </row>
    <row r="1186" spans="1:20">
      <c r="A1186" t="s">
        <v>3165</v>
      </c>
      <c r="B1186">
        <v>45915</v>
      </c>
      <c r="C1186" t="s">
        <v>93</v>
      </c>
      <c r="D1186" t="s">
        <v>94</v>
      </c>
      <c r="E1186" t="s">
        <v>103</v>
      </c>
      <c r="F1186">
        <v>4000</v>
      </c>
      <c r="G1186" t="s">
        <v>25</v>
      </c>
      <c r="H1186" t="s">
        <v>3166</v>
      </c>
      <c r="I1186" t="s">
        <v>71</v>
      </c>
      <c r="J1186">
        <v>33100</v>
      </c>
      <c r="K1186" t="s">
        <v>3</v>
      </c>
      <c r="L1186" t="s">
        <v>3167</v>
      </c>
      <c r="M1186" t="s">
        <v>3</v>
      </c>
      <c r="N1186" t="s">
        <v>75</v>
      </c>
      <c r="O1186" s="25" t="s">
        <v>3830</v>
      </c>
      <c r="P1186" s="25">
        <v>1</v>
      </c>
      <c r="Q1186" s="25">
        <v>33100</v>
      </c>
      <c r="R1186" s="25" t="s">
        <v>26</v>
      </c>
      <c r="S1186" s="25" t="s">
        <v>26</v>
      </c>
      <c r="T1186" s="25">
        <f t="shared" si="18"/>
        <v>33100</v>
      </c>
    </row>
    <row r="1187" spans="1:20">
      <c r="A1187" t="s">
        <v>3168</v>
      </c>
      <c r="B1187">
        <v>45915</v>
      </c>
      <c r="C1187" t="s">
        <v>93</v>
      </c>
      <c r="D1187" t="s">
        <v>94</v>
      </c>
      <c r="E1187" t="s">
        <v>160</v>
      </c>
      <c r="F1187">
        <v>4000</v>
      </c>
      <c r="G1187" t="s">
        <v>25</v>
      </c>
      <c r="H1187" t="s">
        <v>3169</v>
      </c>
      <c r="I1187" t="s">
        <v>71</v>
      </c>
      <c r="J1187">
        <v>31400</v>
      </c>
      <c r="K1187" t="s">
        <v>3</v>
      </c>
      <c r="L1187" t="s">
        <v>3167</v>
      </c>
      <c r="M1187" t="s">
        <v>3</v>
      </c>
      <c r="N1187" t="s">
        <v>75</v>
      </c>
      <c r="O1187" s="25" t="s">
        <v>3830</v>
      </c>
      <c r="P1187" s="25">
        <v>1</v>
      </c>
      <c r="Q1187" s="25">
        <v>31400</v>
      </c>
      <c r="R1187" s="25" t="s">
        <v>26</v>
      </c>
      <c r="S1187" s="25" t="s">
        <v>26</v>
      </c>
      <c r="T1187" s="25">
        <f t="shared" si="18"/>
        <v>31400</v>
      </c>
    </row>
    <row r="1188" spans="1:20">
      <c r="A1188" t="s">
        <v>3170</v>
      </c>
      <c r="B1188">
        <v>45915</v>
      </c>
      <c r="C1188" t="s">
        <v>93</v>
      </c>
      <c r="D1188" t="s">
        <v>94</v>
      </c>
      <c r="E1188" t="s">
        <v>107</v>
      </c>
      <c r="F1188">
        <v>4000</v>
      </c>
      <c r="G1188" t="s">
        <v>25</v>
      </c>
      <c r="H1188" t="s">
        <v>3171</v>
      </c>
      <c r="I1188" t="s">
        <v>71</v>
      </c>
      <c r="J1188">
        <v>33100</v>
      </c>
      <c r="K1188" t="s">
        <v>3</v>
      </c>
      <c r="L1188" t="s">
        <v>3172</v>
      </c>
      <c r="M1188" t="s">
        <v>3</v>
      </c>
      <c r="N1188" t="s">
        <v>75</v>
      </c>
      <c r="O1188" s="25" t="s">
        <v>3830</v>
      </c>
      <c r="P1188" s="25">
        <v>1</v>
      </c>
      <c r="Q1188" s="25">
        <v>33100</v>
      </c>
      <c r="R1188" s="25" t="s">
        <v>26</v>
      </c>
      <c r="S1188" s="25" t="s">
        <v>26</v>
      </c>
      <c r="T1188" s="25">
        <f t="shared" si="18"/>
        <v>33100</v>
      </c>
    </row>
    <row r="1189" spans="1:20">
      <c r="A1189" t="s">
        <v>3173</v>
      </c>
      <c r="B1189">
        <v>45915</v>
      </c>
      <c r="C1189" t="s">
        <v>93</v>
      </c>
      <c r="D1189" t="s">
        <v>111</v>
      </c>
      <c r="E1189" t="s">
        <v>112</v>
      </c>
      <c r="F1189">
        <v>4000</v>
      </c>
      <c r="G1189" t="s">
        <v>25</v>
      </c>
      <c r="H1189" t="s">
        <v>3174</v>
      </c>
      <c r="I1189" t="s">
        <v>71</v>
      </c>
      <c r="J1189">
        <v>52700</v>
      </c>
      <c r="K1189" t="s">
        <v>3</v>
      </c>
      <c r="L1189" t="s">
        <v>3175</v>
      </c>
      <c r="M1189" t="s">
        <v>3</v>
      </c>
      <c r="N1189" t="s">
        <v>75</v>
      </c>
      <c r="O1189" s="25" t="s">
        <v>3830</v>
      </c>
      <c r="P1189" s="25">
        <v>1</v>
      </c>
      <c r="Q1189" s="25">
        <v>52700</v>
      </c>
      <c r="R1189" s="25" t="s">
        <v>26</v>
      </c>
      <c r="S1189" s="25" t="s">
        <v>26</v>
      </c>
      <c r="T1189" s="25">
        <f t="shared" si="18"/>
        <v>52700</v>
      </c>
    </row>
    <row r="1190" spans="1:20">
      <c r="A1190" t="s">
        <v>3176</v>
      </c>
      <c r="B1190">
        <v>45915</v>
      </c>
      <c r="C1190" t="s">
        <v>93</v>
      </c>
      <c r="D1190" t="s">
        <v>111</v>
      </c>
      <c r="E1190" t="s">
        <v>116</v>
      </c>
      <c r="F1190">
        <v>4000</v>
      </c>
      <c r="G1190" t="s">
        <v>25</v>
      </c>
      <c r="H1190" t="s">
        <v>3177</v>
      </c>
      <c r="I1190" t="s">
        <v>71</v>
      </c>
      <c r="J1190">
        <v>51100</v>
      </c>
      <c r="K1190" t="s">
        <v>3</v>
      </c>
      <c r="L1190" t="s">
        <v>3175</v>
      </c>
      <c r="M1190" t="s">
        <v>3</v>
      </c>
      <c r="N1190" t="s">
        <v>75</v>
      </c>
      <c r="O1190" s="25" t="s">
        <v>3830</v>
      </c>
      <c r="P1190" s="25">
        <v>1</v>
      </c>
      <c r="Q1190" s="25">
        <v>51100</v>
      </c>
      <c r="R1190" s="25" t="s">
        <v>26</v>
      </c>
      <c r="S1190" s="25" t="s">
        <v>26</v>
      </c>
      <c r="T1190" s="25">
        <f t="shared" si="18"/>
        <v>51100</v>
      </c>
    </row>
    <row r="1191" spans="1:20">
      <c r="A1191" t="s">
        <v>3178</v>
      </c>
      <c r="B1191">
        <v>45915</v>
      </c>
      <c r="C1191" t="s">
        <v>93</v>
      </c>
      <c r="D1191" t="s">
        <v>111</v>
      </c>
      <c r="E1191" t="s">
        <v>119</v>
      </c>
      <c r="F1191">
        <v>4000</v>
      </c>
      <c r="G1191" t="s">
        <v>25</v>
      </c>
      <c r="H1191" t="s">
        <v>3179</v>
      </c>
      <c r="I1191" t="s">
        <v>71</v>
      </c>
      <c r="J1191">
        <v>50500</v>
      </c>
      <c r="K1191" t="s">
        <v>3</v>
      </c>
      <c r="L1191" t="s">
        <v>3175</v>
      </c>
      <c r="M1191" t="s">
        <v>3</v>
      </c>
      <c r="N1191" t="s">
        <v>75</v>
      </c>
      <c r="O1191" s="25" t="s">
        <v>3830</v>
      </c>
      <c r="P1191" s="25">
        <v>1</v>
      </c>
      <c r="Q1191" s="25">
        <v>50500</v>
      </c>
      <c r="R1191" s="25" t="s">
        <v>26</v>
      </c>
      <c r="S1191" s="25" t="s">
        <v>26</v>
      </c>
      <c r="T1191" s="25">
        <f t="shared" si="18"/>
        <v>50500</v>
      </c>
    </row>
    <row r="1192" spans="1:20">
      <c r="A1192" t="s">
        <v>3180</v>
      </c>
      <c r="B1192">
        <v>45915</v>
      </c>
      <c r="C1192" t="s">
        <v>93</v>
      </c>
      <c r="D1192" t="s">
        <v>111</v>
      </c>
      <c r="E1192" t="s">
        <v>170</v>
      </c>
      <c r="F1192">
        <v>4000</v>
      </c>
      <c r="G1192" t="s">
        <v>25</v>
      </c>
      <c r="H1192" t="s">
        <v>3181</v>
      </c>
      <c r="I1192" t="s">
        <v>71</v>
      </c>
      <c r="J1192">
        <v>52900</v>
      </c>
      <c r="K1192" t="s">
        <v>3</v>
      </c>
      <c r="L1192" t="s">
        <v>3175</v>
      </c>
      <c r="M1192" t="s">
        <v>3</v>
      </c>
      <c r="N1192" t="s">
        <v>75</v>
      </c>
      <c r="O1192" s="25" t="s">
        <v>3830</v>
      </c>
      <c r="P1192" s="25">
        <v>1</v>
      </c>
      <c r="Q1192" s="25">
        <v>52900</v>
      </c>
      <c r="R1192" s="25" t="s">
        <v>26</v>
      </c>
      <c r="S1192" s="25" t="s">
        <v>26</v>
      </c>
      <c r="T1192" s="25">
        <f t="shared" si="18"/>
        <v>52900</v>
      </c>
    </row>
    <row r="1193" spans="1:20">
      <c r="A1193" t="s">
        <v>3182</v>
      </c>
      <c r="B1193">
        <v>45915</v>
      </c>
      <c r="C1193" t="s">
        <v>93</v>
      </c>
      <c r="D1193" t="s">
        <v>111</v>
      </c>
      <c r="E1193" t="s">
        <v>122</v>
      </c>
      <c r="F1193">
        <v>4000</v>
      </c>
      <c r="G1193" t="s">
        <v>25</v>
      </c>
      <c r="H1193" t="s">
        <v>3183</v>
      </c>
      <c r="I1193" t="s">
        <v>71</v>
      </c>
      <c r="J1193">
        <v>51400</v>
      </c>
      <c r="K1193" t="s">
        <v>3</v>
      </c>
      <c r="L1193" t="s">
        <v>3184</v>
      </c>
      <c r="M1193" t="s">
        <v>3</v>
      </c>
      <c r="N1193" t="s">
        <v>75</v>
      </c>
      <c r="O1193" s="25" t="s">
        <v>3830</v>
      </c>
      <c r="P1193" s="25">
        <v>1</v>
      </c>
      <c r="Q1193" s="25">
        <v>51400</v>
      </c>
      <c r="R1193" s="25" t="s">
        <v>26</v>
      </c>
      <c r="S1193" s="25" t="s">
        <v>26</v>
      </c>
      <c r="T1193" s="25">
        <f t="shared" si="18"/>
        <v>51400</v>
      </c>
    </row>
    <row r="1194" spans="1:20">
      <c r="A1194" t="s">
        <v>3185</v>
      </c>
      <c r="B1194">
        <v>45915</v>
      </c>
      <c r="C1194" t="s">
        <v>126</v>
      </c>
      <c r="D1194" t="s">
        <v>88</v>
      </c>
      <c r="E1194" t="s">
        <v>132</v>
      </c>
      <c r="F1194">
        <v>4020</v>
      </c>
      <c r="G1194" t="s">
        <v>30</v>
      </c>
      <c r="H1194" t="s">
        <v>3186</v>
      </c>
      <c r="I1194" t="s">
        <v>71</v>
      </c>
      <c r="J1194">
        <v>50500</v>
      </c>
      <c r="K1194" t="s">
        <v>134</v>
      </c>
      <c r="L1194" t="s">
        <v>3187</v>
      </c>
      <c r="M1194" t="s">
        <v>3</v>
      </c>
      <c r="N1194" t="s">
        <v>75</v>
      </c>
      <c r="O1194" s="25" t="s">
        <v>3830</v>
      </c>
      <c r="P1194" s="25">
        <v>1</v>
      </c>
      <c r="Q1194" s="25">
        <v>50500</v>
      </c>
      <c r="R1194" s="25" t="s">
        <v>26</v>
      </c>
      <c r="S1194" s="25" t="s">
        <v>26</v>
      </c>
      <c r="T1194" s="25">
        <f t="shared" si="18"/>
        <v>50500</v>
      </c>
    </row>
    <row r="1195" spans="1:20">
      <c r="A1195" t="s">
        <v>3188</v>
      </c>
      <c r="B1195">
        <v>45915</v>
      </c>
      <c r="C1195" t="s">
        <v>126</v>
      </c>
      <c r="D1195" t="s">
        <v>88</v>
      </c>
      <c r="E1195" t="s">
        <v>136</v>
      </c>
      <c r="F1195">
        <v>4020</v>
      </c>
      <c r="G1195" t="s">
        <v>30</v>
      </c>
      <c r="H1195" t="s">
        <v>3189</v>
      </c>
      <c r="I1195" t="s">
        <v>71</v>
      </c>
      <c r="J1195">
        <v>58700</v>
      </c>
      <c r="K1195" t="s">
        <v>138</v>
      </c>
      <c r="L1195" t="s">
        <v>3187</v>
      </c>
      <c r="M1195" t="s">
        <v>3</v>
      </c>
      <c r="N1195" t="s">
        <v>75</v>
      </c>
      <c r="O1195" s="25" t="s">
        <v>3830</v>
      </c>
      <c r="P1195" s="25">
        <v>1</v>
      </c>
      <c r="Q1195" s="25">
        <v>58700</v>
      </c>
      <c r="R1195" s="25" t="s">
        <v>26</v>
      </c>
      <c r="S1195" s="25" t="s">
        <v>26</v>
      </c>
      <c r="T1195" s="25">
        <f t="shared" si="18"/>
        <v>58700</v>
      </c>
    </row>
    <row r="1196" spans="1:20">
      <c r="A1196" t="s">
        <v>3190</v>
      </c>
      <c r="B1196">
        <v>45915</v>
      </c>
      <c r="C1196" t="s">
        <v>126</v>
      </c>
      <c r="D1196" t="s">
        <v>88</v>
      </c>
      <c r="E1196" t="s">
        <v>140</v>
      </c>
      <c r="F1196">
        <v>4020</v>
      </c>
      <c r="G1196" t="s">
        <v>30</v>
      </c>
      <c r="H1196" t="s">
        <v>3191</v>
      </c>
      <c r="I1196" t="s">
        <v>71</v>
      </c>
      <c r="J1196">
        <v>57400</v>
      </c>
      <c r="K1196" t="s">
        <v>3</v>
      </c>
      <c r="L1196" t="s">
        <v>3192</v>
      </c>
      <c r="M1196" t="s">
        <v>3</v>
      </c>
      <c r="N1196" t="s">
        <v>75</v>
      </c>
      <c r="O1196" s="25" t="s">
        <v>3830</v>
      </c>
      <c r="P1196" s="25">
        <v>1</v>
      </c>
      <c r="Q1196" s="25">
        <v>57400</v>
      </c>
      <c r="R1196" s="25" t="s">
        <v>26</v>
      </c>
      <c r="S1196" s="25" t="s">
        <v>26</v>
      </c>
      <c r="T1196" s="25">
        <f t="shared" si="18"/>
        <v>57400</v>
      </c>
    </row>
    <row r="1197" spans="1:20">
      <c r="A1197" t="s">
        <v>3193</v>
      </c>
      <c r="B1197">
        <v>45915</v>
      </c>
      <c r="C1197" t="s">
        <v>87</v>
      </c>
      <c r="D1197" t="s">
        <v>94</v>
      </c>
      <c r="E1197" t="s">
        <v>3</v>
      </c>
      <c r="F1197">
        <v>5000</v>
      </c>
      <c r="G1197" t="s">
        <v>34</v>
      </c>
      <c r="H1197" t="s">
        <v>2691</v>
      </c>
      <c r="I1197" t="s">
        <v>71</v>
      </c>
      <c r="J1197">
        <v>-388000</v>
      </c>
      <c r="K1197" t="s">
        <v>316</v>
      </c>
      <c r="L1197" t="s">
        <v>3194</v>
      </c>
      <c r="M1197" t="s">
        <v>3</v>
      </c>
      <c r="N1197" t="s">
        <v>75</v>
      </c>
      <c r="O1197" s="25" t="s">
        <v>3830</v>
      </c>
      <c r="P1197" s="25">
        <v>1</v>
      </c>
      <c r="Q1197" s="25">
        <v>-388000</v>
      </c>
      <c r="R1197" s="25" t="s">
        <v>35</v>
      </c>
      <c r="S1197" s="25" t="s">
        <v>35</v>
      </c>
      <c r="T1197" s="25">
        <f t="shared" si="18"/>
        <v>-388000</v>
      </c>
    </row>
    <row r="1198" spans="1:20">
      <c r="A1198" t="s">
        <v>3195</v>
      </c>
      <c r="B1198">
        <v>45915</v>
      </c>
      <c r="C1198" t="s">
        <v>87</v>
      </c>
      <c r="D1198" t="s">
        <v>111</v>
      </c>
      <c r="E1198" t="s">
        <v>3</v>
      </c>
      <c r="F1198">
        <v>5010</v>
      </c>
      <c r="G1198" t="s">
        <v>37</v>
      </c>
      <c r="H1198" t="s">
        <v>2770</v>
      </c>
      <c r="I1198" t="s">
        <v>71</v>
      </c>
      <c r="J1198">
        <v>-881000</v>
      </c>
      <c r="K1198" t="s">
        <v>987</v>
      </c>
      <c r="L1198" t="s">
        <v>3196</v>
      </c>
      <c r="M1198" t="s">
        <v>3</v>
      </c>
      <c r="N1198" t="s">
        <v>75</v>
      </c>
      <c r="O1198" s="25" t="s">
        <v>3830</v>
      </c>
      <c r="P1198" s="25">
        <v>1</v>
      </c>
      <c r="Q1198" s="25">
        <v>-881000</v>
      </c>
      <c r="R1198" s="25" t="s">
        <v>35</v>
      </c>
      <c r="S1198" s="25" t="s">
        <v>35</v>
      </c>
      <c r="T1198" s="25">
        <f t="shared" si="18"/>
        <v>-881000</v>
      </c>
    </row>
    <row r="1199" spans="1:20">
      <c r="A1199" t="s">
        <v>3197</v>
      </c>
      <c r="B1199">
        <v>45915</v>
      </c>
      <c r="C1199" t="s">
        <v>87</v>
      </c>
      <c r="D1199" t="s">
        <v>94</v>
      </c>
      <c r="E1199" t="s">
        <v>3</v>
      </c>
      <c r="F1199">
        <v>6030</v>
      </c>
      <c r="G1199" t="s">
        <v>54</v>
      </c>
      <c r="H1199" t="s">
        <v>3198</v>
      </c>
      <c r="I1199" t="s">
        <v>72</v>
      </c>
      <c r="J1199">
        <v>-800.8</v>
      </c>
      <c r="K1199" t="s">
        <v>708</v>
      </c>
      <c r="L1199" t="s">
        <v>3199</v>
      </c>
      <c r="M1199" t="s">
        <v>3</v>
      </c>
      <c r="N1199" t="s">
        <v>75</v>
      </c>
      <c r="O1199" s="25" t="s">
        <v>3831</v>
      </c>
      <c r="P1199" s="25">
        <v>1611</v>
      </c>
      <c r="Q1199" s="25">
        <v>-1290088.7999999998</v>
      </c>
      <c r="R1199" s="25" t="s">
        <v>48</v>
      </c>
      <c r="S1199" s="25" t="s">
        <v>48</v>
      </c>
      <c r="T1199" s="25">
        <f t="shared" si="18"/>
        <v>-1290088.7999999998</v>
      </c>
    </row>
    <row r="1200" spans="1:20">
      <c r="A1200" t="s">
        <v>3200</v>
      </c>
      <c r="B1200">
        <v>45916</v>
      </c>
      <c r="C1200" t="s">
        <v>93</v>
      </c>
      <c r="D1200" t="s">
        <v>94</v>
      </c>
      <c r="E1200" t="s">
        <v>95</v>
      </c>
      <c r="F1200">
        <v>4000</v>
      </c>
      <c r="G1200" t="s">
        <v>25</v>
      </c>
      <c r="H1200" t="s">
        <v>3201</v>
      </c>
      <c r="I1200" t="s">
        <v>71</v>
      </c>
      <c r="J1200">
        <v>28400</v>
      </c>
      <c r="K1200" t="s">
        <v>3</v>
      </c>
      <c r="L1200" t="s">
        <v>3202</v>
      </c>
      <c r="M1200" t="s">
        <v>3</v>
      </c>
      <c r="N1200" t="s">
        <v>75</v>
      </c>
      <c r="O1200" s="25" t="s">
        <v>3830</v>
      </c>
      <c r="P1200" s="25">
        <v>1</v>
      </c>
      <c r="Q1200" s="25">
        <v>28400</v>
      </c>
      <c r="R1200" s="25" t="s">
        <v>26</v>
      </c>
      <c r="S1200" s="25" t="s">
        <v>26</v>
      </c>
      <c r="T1200" s="25">
        <f t="shared" si="18"/>
        <v>28400</v>
      </c>
    </row>
    <row r="1201" spans="1:20">
      <c r="A1201" t="s">
        <v>3203</v>
      </c>
      <c r="B1201">
        <v>45916</v>
      </c>
      <c r="C1201" t="s">
        <v>93</v>
      </c>
      <c r="D1201" t="s">
        <v>94</v>
      </c>
      <c r="E1201" t="s">
        <v>99</v>
      </c>
      <c r="F1201">
        <v>4000</v>
      </c>
      <c r="G1201" t="s">
        <v>25</v>
      </c>
      <c r="H1201" t="s">
        <v>3204</v>
      </c>
      <c r="I1201" t="s">
        <v>71</v>
      </c>
      <c r="J1201">
        <v>31800</v>
      </c>
      <c r="K1201" t="s">
        <v>3</v>
      </c>
      <c r="L1201" t="s">
        <v>3205</v>
      </c>
      <c r="M1201" t="s">
        <v>3</v>
      </c>
      <c r="N1201" t="s">
        <v>75</v>
      </c>
      <c r="O1201" s="25" t="s">
        <v>3830</v>
      </c>
      <c r="P1201" s="25">
        <v>1</v>
      </c>
      <c r="Q1201" s="25">
        <v>31800</v>
      </c>
      <c r="R1201" s="25" t="s">
        <v>26</v>
      </c>
      <c r="S1201" s="25" t="s">
        <v>26</v>
      </c>
      <c r="T1201" s="25">
        <f t="shared" si="18"/>
        <v>31800</v>
      </c>
    </row>
    <row r="1202" spans="1:20">
      <c r="A1202" t="s">
        <v>3206</v>
      </c>
      <c r="B1202">
        <v>45916</v>
      </c>
      <c r="C1202" t="s">
        <v>93</v>
      </c>
      <c r="D1202" t="s">
        <v>94</v>
      </c>
      <c r="E1202" t="s">
        <v>103</v>
      </c>
      <c r="F1202">
        <v>4000</v>
      </c>
      <c r="G1202" t="s">
        <v>25</v>
      </c>
      <c r="H1202" t="s">
        <v>3207</v>
      </c>
      <c r="I1202" t="s">
        <v>71</v>
      </c>
      <c r="J1202">
        <v>31400</v>
      </c>
      <c r="K1202" t="s">
        <v>3</v>
      </c>
      <c r="L1202" t="s">
        <v>3208</v>
      </c>
      <c r="M1202" t="s">
        <v>3</v>
      </c>
      <c r="N1202" t="s">
        <v>75</v>
      </c>
      <c r="O1202" s="25" t="s">
        <v>3830</v>
      </c>
      <c r="P1202" s="25">
        <v>1</v>
      </c>
      <c r="Q1202" s="25">
        <v>31400</v>
      </c>
      <c r="R1202" s="25" t="s">
        <v>26</v>
      </c>
      <c r="S1202" s="25" t="s">
        <v>26</v>
      </c>
      <c r="T1202" s="25">
        <f t="shared" si="18"/>
        <v>31400</v>
      </c>
    </row>
    <row r="1203" spans="1:20">
      <c r="A1203" t="s">
        <v>3209</v>
      </c>
      <c r="B1203">
        <v>45916</v>
      </c>
      <c r="C1203" t="s">
        <v>93</v>
      </c>
      <c r="D1203" t="s">
        <v>94</v>
      </c>
      <c r="E1203" t="s">
        <v>107</v>
      </c>
      <c r="F1203">
        <v>4000</v>
      </c>
      <c r="G1203" t="s">
        <v>25</v>
      </c>
      <c r="H1203" t="s">
        <v>3210</v>
      </c>
      <c r="I1203" t="s">
        <v>71</v>
      </c>
      <c r="J1203">
        <v>32800</v>
      </c>
      <c r="K1203" t="s">
        <v>3</v>
      </c>
      <c r="L1203" t="s">
        <v>3211</v>
      </c>
      <c r="M1203" t="s">
        <v>3</v>
      </c>
      <c r="N1203" t="s">
        <v>75</v>
      </c>
      <c r="O1203" s="25" t="s">
        <v>3830</v>
      </c>
      <c r="P1203" s="25">
        <v>1</v>
      </c>
      <c r="Q1203" s="25">
        <v>32800</v>
      </c>
      <c r="R1203" s="25" t="s">
        <v>26</v>
      </c>
      <c r="S1203" s="25" t="s">
        <v>26</v>
      </c>
      <c r="T1203" s="25">
        <f t="shared" si="18"/>
        <v>32800</v>
      </c>
    </row>
    <row r="1204" spans="1:20">
      <c r="A1204" t="s">
        <v>3212</v>
      </c>
      <c r="B1204">
        <v>45916</v>
      </c>
      <c r="C1204" t="s">
        <v>93</v>
      </c>
      <c r="D1204" t="s">
        <v>111</v>
      </c>
      <c r="E1204" t="s">
        <v>112</v>
      </c>
      <c r="F1204">
        <v>4000</v>
      </c>
      <c r="G1204" t="s">
        <v>25</v>
      </c>
      <c r="H1204" t="s">
        <v>3213</v>
      </c>
      <c r="I1204" t="s">
        <v>71</v>
      </c>
      <c r="J1204">
        <v>47500</v>
      </c>
      <c r="K1204" t="s">
        <v>3</v>
      </c>
      <c r="L1204" t="s">
        <v>3214</v>
      </c>
      <c r="M1204" t="s">
        <v>3</v>
      </c>
      <c r="N1204" t="s">
        <v>75</v>
      </c>
      <c r="O1204" s="25" t="s">
        <v>3830</v>
      </c>
      <c r="P1204" s="25">
        <v>1</v>
      </c>
      <c r="Q1204" s="25">
        <v>47500</v>
      </c>
      <c r="R1204" s="25" t="s">
        <v>26</v>
      </c>
      <c r="S1204" s="25" t="s">
        <v>26</v>
      </c>
      <c r="T1204" s="25">
        <f t="shared" si="18"/>
        <v>47500</v>
      </c>
    </row>
    <row r="1205" spans="1:20">
      <c r="A1205" t="s">
        <v>3215</v>
      </c>
      <c r="B1205">
        <v>45916</v>
      </c>
      <c r="C1205" t="s">
        <v>93</v>
      </c>
      <c r="D1205" t="s">
        <v>111</v>
      </c>
      <c r="E1205" t="s">
        <v>116</v>
      </c>
      <c r="F1205">
        <v>4000</v>
      </c>
      <c r="G1205" t="s">
        <v>25</v>
      </c>
      <c r="H1205" t="s">
        <v>3216</v>
      </c>
      <c r="I1205" t="s">
        <v>71</v>
      </c>
      <c r="J1205">
        <v>51800</v>
      </c>
      <c r="K1205" t="s">
        <v>3</v>
      </c>
      <c r="L1205" t="s">
        <v>3214</v>
      </c>
      <c r="M1205" t="s">
        <v>3</v>
      </c>
      <c r="N1205" t="s">
        <v>75</v>
      </c>
      <c r="O1205" s="25" t="s">
        <v>3830</v>
      </c>
      <c r="P1205" s="25">
        <v>1</v>
      </c>
      <c r="Q1205" s="25">
        <v>51800</v>
      </c>
      <c r="R1205" s="25" t="s">
        <v>26</v>
      </c>
      <c r="S1205" s="25" t="s">
        <v>26</v>
      </c>
      <c r="T1205" s="25">
        <f t="shared" si="18"/>
        <v>51800</v>
      </c>
    </row>
    <row r="1206" spans="1:20">
      <c r="A1206" t="s">
        <v>3217</v>
      </c>
      <c r="B1206">
        <v>45916</v>
      </c>
      <c r="C1206" t="s">
        <v>93</v>
      </c>
      <c r="D1206" t="s">
        <v>111</v>
      </c>
      <c r="E1206" t="s">
        <v>119</v>
      </c>
      <c r="F1206">
        <v>4000</v>
      </c>
      <c r="G1206" t="s">
        <v>25</v>
      </c>
      <c r="H1206" t="s">
        <v>3218</v>
      </c>
      <c r="I1206" t="s">
        <v>71</v>
      </c>
      <c r="J1206">
        <v>50400</v>
      </c>
      <c r="K1206" t="s">
        <v>3</v>
      </c>
      <c r="L1206" t="s">
        <v>3214</v>
      </c>
      <c r="M1206" t="s">
        <v>3</v>
      </c>
      <c r="N1206" t="s">
        <v>75</v>
      </c>
      <c r="O1206" s="25" t="s">
        <v>3830</v>
      </c>
      <c r="P1206" s="25">
        <v>1</v>
      </c>
      <c r="Q1206" s="25">
        <v>50400</v>
      </c>
      <c r="R1206" s="25" t="s">
        <v>26</v>
      </c>
      <c r="S1206" s="25" t="s">
        <v>26</v>
      </c>
      <c r="T1206" s="25">
        <f t="shared" si="18"/>
        <v>50400</v>
      </c>
    </row>
    <row r="1207" spans="1:20">
      <c r="A1207" t="s">
        <v>3219</v>
      </c>
      <c r="B1207">
        <v>45916</v>
      </c>
      <c r="C1207" t="s">
        <v>93</v>
      </c>
      <c r="D1207" t="s">
        <v>111</v>
      </c>
      <c r="E1207" t="s">
        <v>170</v>
      </c>
      <c r="F1207">
        <v>4000</v>
      </c>
      <c r="G1207" t="s">
        <v>25</v>
      </c>
      <c r="H1207" t="s">
        <v>3220</v>
      </c>
      <c r="I1207" t="s">
        <v>71</v>
      </c>
      <c r="J1207">
        <v>51800</v>
      </c>
      <c r="K1207" t="s">
        <v>3</v>
      </c>
      <c r="L1207" t="s">
        <v>3214</v>
      </c>
      <c r="M1207" t="s">
        <v>3</v>
      </c>
      <c r="N1207" t="s">
        <v>75</v>
      </c>
      <c r="O1207" s="25" t="s">
        <v>3830</v>
      </c>
      <c r="P1207" s="25">
        <v>1</v>
      </c>
      <c r="Q1207" s="25">
        <v>51800</v>
      </c>
      <c r="R1207" s="25" t="s">
        <v>26</v>
      </c>
      <c r="S1207" s="25" t="s">
        <v>26</v>
      </c>
      <c r="T1207" s="25">
        <f t="shared" si="18"/>
        <v>51800</v>
      </c>
    </row>
    <row r="1208" spans="1:20">
      <c r="A1208" t="s">
        <v>3221</v>
      </c>
      <c r="B1208">
        <v>45916</v>
      </c>
      <c r="C1208" t="s">
        <v>93</v>
      </c>
      <c r="D1208" t="s">
        <v>111</v>
      </c>
      <c r="E1208" t="s">
        <v>122</v>
      </c>
      <c r="F1208">
        <v>4000</v>
      </c>
      <c r="G1208" t="s">
        <v>25</v>
      </c>
      <c r="H1208" t="s">
        <v>3222</v>
      </c>
      <c r="I1208" t="s">
        <v>71</v>
      </c>
      <c r="J1208">
        <v>48200</v>
      </c>
      <c r="K1208" t="s">
        <v>3</v>
      </c>
      <c r="L1208" t="s">
        <v>3223</v>
      </c>
      <c r="M1208" t="s">
        <v>3</v>
      </c>
      <c r="N1208" t="s">
        <v>75</v>
      </c>
      <c r="O1208" s="25" t="s">
        <v>3830</v>
      </c>
      <c r="P1208" s="25">
        <v>1</v>
      </c>
      <c r="Q1208" s="25">
        <v>48200</v>
      </c>
      <c r="R1208" s="25" t="s">
        <v>26</v>
      </c>
      <c r="S1208" s="25" t="s">
        <v>26</v>
      </c>
      <c r="T1208" s="25">
        <f t="shared" si="18"/>
        <v>48200</v>
      </c>
    </row>
    <row r="1209" spans="1:20">
      <c r="A1209" t="s">
        <v>3224</v>
      </c>
      <c r="B1209">
        <v>45916</v>
      </c>
      <c r="C1209" t="s">
        <v>126</v>
      </c>
      <c r="D1209" t="s">
        <v>88</v>
      </c>
      <c r="E1209" t="s">
        <v>127</v>
      </c>
      <c r="F1209">
        <v>4020</v>
      </c>
      <c r="G1209" t="s">
        <v>30</v>
      </c>
      <c r="H1209" t="s">
        <v>3225</v>
      </c>
      <c r="I1209" t="s">
        <v>72</v>
      </c>
      <c r="J1209">
        <v>31.91</v>
      </c>
      <c r="K1209" t="s">
        <v>129</v>
      </c>
      <c r="L1209" t="s">
        <v>3226</v>
      </c>
      <c r="M1209" t="s">
        <v>3</v>
      </c>
      <c r="N1209" t="s">
        <v>75</v>
      </c>
      <c r="O1209" s="25" t="s">
        <v>3831</v>
      </c>
      <c r="P1209" s="25">
        <v>1611</v>
      </c>
      <c r="Q1209" s="25">
        <v>51407.01</v>
      </c>
      <c r="R1209" s="25" t="s">
        <v>26</v>
      </c>
      <c r="S1209" s="25" t="s">
        <v>26</v>
      </c>
      <c r="T1209" s="25">
        <f t="shared" si="18"/>
        <v>51407.01</v>
      </c>
    </row>
    <row r="1210" spans="1:20">
      <c r="A1210" t="s">
        <v>3227</v>
      </c>
      <c r="B1210">
        <v>45916</v>
      </c>
      <c r="C1210" t="s">
        <v>126</v>
      </c>
      <c r="D1210" t="s">
        <v>88</v>
      </c>
      <c r="E1210" t="s">
        <v>132</v>
      </c>
      <c r="F1210">
        <v>4020</v>
      </c>
      <c r="G1210" t="s">
        <v>30</v>
      </c>
      <c r="H1210" t="s">
        <v>3228</v>
      </c>
      <c r="I1210" t="s">
        <v>72</v>
      </c>
      <c r="J1210">
        <v>34.76</v>
      </c>
      <c r="K1210" t="s">
        <v>134</v>
      </c>
      <c r="L1210" t="s">
        <v>3226</v>
      </c>
      <c r="M1210" t="s">
        <v>3</v>
      </c>
      <c r="N1210" t="s">
        <v>75</v>
      </c>
      <c r="O1210" s="25" t="s">
        <v>3831</v>
      </c>
      <c r="P1210" s="25">
        <v>1611</v>
      </c>
      <c r="Q1210" s="25">
        <v>55998.359999999993</v>
      </c>
      <c r="R1210" s="25" t="s">
        <v>26</v>
      </c>
      <c r="S1210" s="25" t="s">
        <v>26</v>
      </c>
      <c r="T1210" s="25">
        <f t="shared" si="18"/>
        <v>55998.359999999993</v>
      </c>
    </row>
    <row r="1211" spans="1:20">
      <c r="A1211" t="s">
        <v>3229</v>
      </c>
      <c r="B1211">
        <v>45916</v>
      </c>
      <c r="C1211" t="s">
        <v>126</v>
      </c>
      <c r="D1211" t="s">
        <v>88</v>
      </c>
      <c r="E1211" t="s">
        <v>136</v>
      </c>
      <c r="F1211">
        <v>4020</v>
      </c>
      <c r="G1211" t="s">
        <v>30</v>
      </c>
      <c r="H1211" t="s">
        <v>3230</v>
      </c>
      <c r="I1211" t="s">
        <v>72</v>
      </c>
      <c r="J1211">
        <v>32.28</v>
      </c>
      <c r="K1211" t="s">
        <v>138</v>
      </c>
      <c r="L1211" t="s">
        <v>3226</v>
      </c>
      <c r="M1211" t="s">
        <v>3</v>
      </c>
      <c r="N1211" t="s">
        <v>75</v>
      </c>
      <c r="O1211" s="25" t="s">
        <v>3831</v>
      </c>
      <c r="P1211" s="25">
        <v>1611</v>
      </c>
      <c r="Q1211" s="25">
        <v>52003.08</v>
      </c>
      <c r="R1211" s="25" t="s">
        <v>26</v>
      </c>
      <c r="S1211" s="25" t="s">
        <v>26</v>
      </c>
      <c r="T1211" s="25">
        <f t="shared" si="18"/>
        <v>52003.08</v>
      </c>
    </row>
    <row r="1212" spans="1:20">
      <c r="A1212" t="s">
        <v>3231</v>
      </c>
      <c r="B1212">
        <v>45916</v>
      </c>
      <c r="C1212" t="s">
        <v>126</v>
      </c>
      <c r="D1212" t="s">
        <v>88</v>
      </c>
      <c r="E1212" t="s">
        <v>140</v>
      </c>
      <c r="F1212">
        <v>4020</v>
      </c>
      <c r="G1212" t="s">
        <v>30</v>
      </c>
      <c r="H1212" t="s">
        <v>3232</v>
      </c>
      <c r="I1212" t="s">
        <v>71</v>
      </c>
      <c r="J1212">
        <v>50100</v>
      </c>
      <c r="K1212" t="s">
        <v>3</v>
      </c>
      <c r="L1212" t="s">
        <v>3233</v>
      </c>
      <c r="M1212" t="s">
        <v>3</v>
      </c>
      <c r="N1212" t="s">
        <v>75</v>
      </c>
      <c r="O1212" s="25" t="s">
        <v>3830</v>
      </c>
      <c r="P1212" s="25">
        <v>1</v>
      </c>
      <c r="Q1212" s="25">
        <v>50100</v>
      </c>
      <c r="R1212" s="25" t="s">
        <v>26</v>
      </c>
      <c r="S1212" s="25" t="s">
        <v>26</v>
      </c>
      <c r="T1212" s="25">
        <f t="shared" si="18"/>
        <v>50100</v>
      </c>
    </row>
    <row r="1213" spans="1:20">
      <c r="A1213" t="s">
        <v>3234</v>
      </c>
      <c r="B1213">
        <v>45916</v>
      </c>
      <c r="C1213" t="s">
        <v>87</v>
      </c>
      <c r="D1213" t="s">
        <v>94</v>
      </c>
      <c r="E1213" t="s">
        <v>3</v>
      </c>
      <c r="F1213">
        <v>5000</v>
      </c>
      <c r="G1213" t="s">
        <v>34</v>
      </c>
      <c r="H1213" t="s">
        <v>2691</v>
      </c>
      <c r="I1213" t="s">
        <v>71</v>
      </c>
      <c r="J1213">
        <v>-579000</v>
      </c>
      <c r="K1213" t="s">
        <v>316</v>
      </c>
      <c r="L1213" t="s">
        <v>3235</v>
      </c>
      <c r="M1213" t="s">
        <v>3</v>
      </c>
      <c r="N1213" t="s">
        <v>75</v>
      </c>
      <c r="O1213" s="25" t="s">
        <v>3830</v>
      </c>
      <c r="P1213" s="25">
        <v>1</v>
      </c>
      <c r="Q1213" s="25">
        <v>-579000</v>
      </c>
      <c r="R1213" s="25" t="s">
        <v>35</v>
      </c>
      <c r="S1213" s="25" t="s">
        <v>35</v>
      </c>
      <c r="T1213" s="25">
        <f t="shared" si="18"/>
        <v>-579000</v>
      </c>
    </row>
    <row r="1214" spans="1:20">
      <c r="A1214" t="s">
        <v>3236</v>
      </c>
      <c r="B1214">
        <v>45916</v>
      </c>
      <c r="C1214" t="s">
        <v>87</v>
      </c>
      <c r="D1214" t="s">
        <v>111</v>
      </c>
      <c r="E1214" t="s">
        <v>3</v>
      </c>
      <c r="F1214">
        <v>5020</v>
      </c>
      <c r="G1214" t="s">
        <v>39</v>
      </c>
      <c r="H1214" t="s">
        <v>2694</v>
      </c>
      <c r="I1214" t="s">
        <v>71</v>
      </c>
      <c r="J1214">
        <v>-114000</v>
      </c>
      <c r="K1214" t="s">
        <v>276</v>
      </c>
      <c r="L1214" t="s">
        <v>3237</v>
      </c>
      <c r="M1214" t="s">
        <v>3</v>
      </c>
      <c r="N1214" t="s">
        <v>75</v>
      </c>
      <c r="O1214" s="25" t="s">
        <v>3830</v>
      </c>
      <c r="P1214" s="25">
        <v>1</v>
      </c>
      <c r="Q1214" s="25">
        <v>-114000</v>
      </c>
      <c r="R1214" s="25" t="s">
        <v>35</v>
      </c>
      <c r="S1214" s="25" t="s">
        <v>35</v>
      </c>
      <c r="T1214" s="25">
        <f t="shared" si="18"/>
        <v>-114000</v>
      </c>
    </row>
    <row r="1215" spans="1:20">
      <c r="A1215" t="s">
        <v>3238</v>
      </c>
      <c r="B1215">
        <v>45917</v>
      </c>
      <c r="C1215" t="s">
        <v>93</v>
      </c>
      <c r="D1215" t="s">
        <v>94</v>
      </c>
      <c r="E1215" t="s">
        <v>95</v>
      </c>
      <c r="F1215">
        <v>4000</v>
      </c>
      <c r="G1215" t="s">
        <v>25</v>
      </c>
      <c r="H1215" t="s">
        <v>3239</v>
      </c>
      <c r="I1215" t="s">
        <v>71</v>
      </c>
      <c r="J1215">
        <v>33200</v>
      </c>
      <c r="K1215" t="s">
        <v>3</v>
      </c>
      <c r="L1215" t="s">
        <v>3240</v>
      </c>
      <c r="M1215" t="s">
        <v>3</v>
      </c>
      <c r="N1215" t="s">
        <v>75</v>
      </c>
      <c r="O1215" s="25" t="s">
        <v>3830</v>
      </c>
      <c r="P1215" s="25">
        <v>1</v>
      </c>
      <c r="Q1215" s="25">
        <v>33200</v>
      </c>
      <c r="R1215" s="25" t="s">
        <v>26</v>
      </c>
      <c r="S1215" s="25" t="s">
        <v>26</v>
      </c>
      <c r="T1215" s="25">
        <f t="shared" si="18"/>
        <v>33200</v>
      </c>
    </row>
    <row r="1216" spans="1:20">
      <c r="A1216" t="s">
        <v>3241</v>
      </c>
      <c r="B1216">
        <v>45917</v>
      </c>
      <c r="C1216" t="s">
        <v>93</v>
      </c>
      <c r="D1216" t="s">
        <v>94</v>
      </c>
      <c r="E1216" t="s">
        <v>99</v>
      </c>
      <c r="F1216">
        <v>4000</v>
      </c>
      <c r="G1216" t="s">
        <v>25</v>
      </c>
      <c r="H1216" t="s">
        <v>3242</v>
      </c>
      <c r="I1216" t="s">
        <v>71</v>
      </c>
      <c r="J1216">
        <v>32800</v>
      </c>
      <c r="K1216" t="s">
        <v>3</v>
      </c>
      <c r="L1216" t="s">
        <v>3243</v>
      </c>
      <c r="M1216" t="s">
        <v>3</v>
      </c>
      <c r="N1216" t="s">
        <v>75</v>
      </c>
      <c r="O1216" s="25" t="s">
        <v>3830</v>
      </c>
      <c r="P1216" s="25">
        <v>1</v>
      </c>
      <c r="Q1216" s="25">
        <v>32800</v>
      </c>
      <c r="R1216" s="25" t="s">
        <v>26</v>
      </c>
      <c r="S1216" s="25" t="s">
        <v>26</v>
      </c>
      <c r="T1216" s="25">
        <f t="shared" si="18"/>
        <v>32800</v>
      </c>
    </row>
    <row r="1217" spans="1:20">
      <c r="A1217" t="s">
        <v>3244</v>
      </c>
      <c r="B1217">
        <v>45917</v>
      </c>
      <c r="C1217" t="s">
        <v>93</v>
      </c>
      <c r="D1217" t="s">
        <v>94</v>
      </c>
      <c r="E1217" t="s">
        <v>103</v>
      </c>
      <c r="F1217">
        <v>4000</v>
      </c>
      <c r="G1217" t="s">
        <v>25</v>
      </c>
      <c r="H1217" t="s">
        <v>3245</v>
      </c>
      <c r="I1217" t="s">
        <v>71</v>
      </c>
      <c r="J1217">
        <v>30100</v>
      </c>
      <c r="K1217" t="s">
        <v>3</v>
      </c>
      <c r="L1217" t="s">
        <v>3246</v>
      </c>
      <c r="M1217" t="s">
        <v>3</v>
      </c>
      <c r="N1217" t="s">
        <v>75</v>
      </c>
      <c r="O1217" s="25" t="s">
        <v>3830</v>
      </c>
      <c r="P1217" s="25">
        <v>1</v>
      </c>
      <c r="Q1217" s="25">
        <v>30100</v>
      </c>
      <c r="R1217" s="25" t="s">
        <v>26</v>
      </c>
      <c r="S1217" s="25" t="s">
        <v>26</v>
      </c>
      <c r="T1217" s="25">
        <f t="shared" si="18"/>
        <v>30100</v>
      </c>
    </row>
    <row r="1218" spans="1:20">
      <c r="A1218" t="s">
        <v>3247</v>
      </c>
      <c r="B1218">
        <v>45917</v>
      </c>
      <c r="C1218" t="s">
        <v>93</v>
      </c>
      <c r="D1218" t="s">
        <v>94</v>
      </c>
      <c r="E1218" t="s">
        <v>160</v>
      </c>
      <c r="F1218">
        <v>4000</v>
      </c>
      <c r="G1218" t="s">
        <v>25</v>
      </c>
      <c r="H1218" t="s">
        <v>3248</v>
      </c>
      <c r="I1218" t="s">
        <v>71</v>
      </c>
      <c r="J1218">
        <v>31900</v>
      </c>
      <c r="K1218" t="s">
        <v>3</v>
      </c>
      <c r="L1218" t="s">
        <v>3246</v>
      </c>
      <c r="M1218" t="s">
        <v>3</v>
      </c>
      <c r="N1218" t="s">
        <v>75</v>
      </c>
      <c r="O1218" s="25" t="s">
        <v>3830</v>
      </c>
      <c r="P1218" s="25">
        <v>1</v>
      </c>
      <c r="Q1218" s="25">
        <v>31900</v>
      </c>
      <c r="R1218" s="25" t="s">
        <v>26</v>
      </c>
      <c r="S1218" s="25" t="s">
        <v>26</v>
      </c>
      <c r="T1218" s="25">
        <f t="shared" ref="T1218:T1281" si="19">IF(AND(S1218="Revenue",G1218&lt;&gt;"Refunds &amp; Chargebacks"),ABS(Q1218),-ABS(Q1218))</f>
        <v>31900</v>
      </c>
    </row>
    <row r="1219" spans="1:20">
      <c r="A1219" t="s">
        <v>3249</v>
      </c>
      <c r="B1219">
        <v>45917</v>
      </c>
      <c r="C1219" t="s">
        <v>93</v>
      </c>
      <c r="D1219" t="s">
        <v>94</v>
      </c>
      <c r="E1219" t="s">
        <v>107</v>
      </c>
      <c r="F1219">
        <v>4000</v>
      </c>
      <c r="G1219" t="s">
        <v>25</v>
      </c>
      <c r="H1219" t="s">
        <v>3250</v>
      </c>
      <c r="I1219" t="s">
        <v>71</v>
      </c>
      <c r="J1219">
        <v>33600</v>
      </c>
      <c r="K1219" t="s">
        <v>3</v>
      </c>
      <c r="L1219" t="s">
        <v>3251</v>
      </c>
      <c r="M1219" t="s">
        <v>3</v>
      </c>
      <c r="N1219" t="s">
        <v>75</v>
      </c>
      <c r="O1219" s="25" t="s">
        <v>3830</v>
      </c>
      <c r="P1219" s="25">
        <v>1</v>
      </c>
      <c r="Q1219" s="25">
        <v>33600</v>
      </c>
      <c r="R1219" s="25" t="s">
        <v>26</v>
      </c>
      <c r="S1219" s="25" t="s">
        <v>26</v>
      </c>
      <c r="T1219" s="25">
        <f t="shared" si="19"/>
        <v>33600</v>
      </c>
    </row>
    <row r="1220" spans="1:20">
      <c r="A1220" t="s">
        <v>3252</v>
      </c>
      <c r="B1220">
        <v>45917</v>
      </c>
      <c r="C1220" t="s">
        <v>93</v>
      </c>
      <c r="D1220" t="s">
        <v>111</v>
      </c>
      <c r="E1220" t="s">
        <v>112</v>
      </c>
      <c r="F1220">
        <v>4000</v>
      </c>
      <c r="G1220" t="s">
        <v>25</v>
      </c>
      <c r="H1220" t="s">
        <v>3253</v>
      </c>
      <c r="I1220" t="s">
        <v>71</v>
      </c>
      <c r="J1220">
        <v>48900</v>
      </c>
      <c r="K1220" t="s">
        <v>3</v>
      </c>
      <c r="L1220" t="s">
        <v>3254</v>
      </c>
      <c r="M1220" t="s">
        <v>3</v>
      </c>
      <c r="N1220" t="s">
        <v>75</v>
      </c>
      <c r="O1220" s="25" t="s">
        <v>3830</v>
      </c>
      <c r="P1220" s="25">
        <v>1</v>
      </c>
      <c r="Q1220" s="25">
        <v>48900</v>
      </c>
      <c r="R1220" s="25" t="s">
        <v>26</v>
      </c>
      <c r="S1220" s="25" t="s">
        <v>26</v>
      </c>
      <c r="T1220" s="25">
        <f t="shared" si="19"/>
        <v>48900</v>
      </c>
    </row>
    <row r="1221" spans="1:20">
      <c r="A1221" t="s">
        <v>3255</v>
      </c>
      <c r="B1221">
        <v>45917</v>
      </c>
      <c r="C1221" t="s">
        <v>93</v>
      </c>
      <c r="D1221" t="s">
        <v>111</v>
      </c>
      <c r="E1221" t="s">
        <v>116</v>
      </c>
      <c r="F1221">
        <v>4000</v>
      </c>
      <c r="G1221" t="s">
        <v>25</v>
      </c>
      <c r="H1221" t="s">
        <v>3256</v>
      </c>
      <c r="I1221" t="s">
        <v>71</v>
      </c>
      <c r="J1221">
        <v>49300</v>
      </c>
      <c r="K1221" t="s">
        <v>3</v>
      </c>
      <c r="L1221" t="s">
        <v>3254</v>
      </c>
      <c r="M1221" t="s">
        <v>3</v>
      </c>
      <c r="N1221" t="s">
        <v>75</v>
      </c>
      <c r="O1221" s="25" t="s">
        <v>3830</v>
      </c>
      <c r="P1221" s="25">
        <v>1</v>
      </c>
      <c r="Q1221" s="25">
        <v>49300</v>
      </c>
      <c r="R1221" s="25" t="s">
        <v>26</v>
      </c>
      <c r="S1221" s="25" t="s">
        <v>26</v>
      </c>
      <c r="T1221" s="25">
        <f t="shared" si="19"/>
        <v>49300</v>
      </c>
    </row>
    <row r="1222" spans="1:20">
      <c r="A1222" t="s">
        <v>3257</v>
      </c>
      <c r="B1222">
        <v>45917</v>
      </c>
      <c r="C1222" t="s">
        <v>93</v>
      </c>
      <c r="D1222" t="s">
        <v>111</v>
      </c>
      <c r="E1222" t="s">
        <v>119</v>
      </c>
      <c r="F1222">
        <v>4000</v>
      </c>
      <c r="G1222" t="s">
        <v>25</v>
      </c>
      <c r="H1222" t="s">
        <v>3258</v>
      </c>
      <c r="I1222" t="s">
        <v>71</v>
      </c>
      <c r="J1222">
        <v>51900</v>
      </c>
      <c r="K1222" t="s">
        <v>3</v>
      </c>
      <c r="L1222" t="s">
        <v>3254</v>
      </c>
      <c r="M1222" t="s">
        <v>3</v>
      </c>
      <c r="N1222" t="s">
        <v>75</v>
      </c>
      <c r="O1222" s="25" t="s">
        <v>3830</v>
      </c>
      <c r="P1222" s="25">
        <v>1</v>
      </c>
      <c r="Q1222" s="25">
        <v>51900</v>
      </c>
      <c r="R1222" s="25" t="s">
        <v>26</v>
      </c>
      <c r="S1222" s="25" t="s">
        <v>26</v>
      </c>
      <c r="T1222" s="25">
        <f t="shared" si="19"/>
        <v>51900</v>
      </c>
    </row>
    <row r="1223" spans="1:20">
      <c r="A1223" t="s">
        <v>3259</v>
      </c>
      <c r="B1223">
        <v>45917</v>
      </c>
      <c r="C1223" t="s">
        <v>93</v>
      </c>
      <c r="D1223" t="s">
        <v>111</v>
      </c>
      <c r="E1223" t="s">
        <v>170</v>
      </c>
      <c r="F1223">
        <v>4000</v>
      </c>
      <c r="G1223" t="s">
        <v>25</v>
      </c>
      <c r="H1223" t="s">
        <v>3260</v>
      </c>
      <c r="I1223" t="s">
        <v>71</v>
      </c>
      <c r="J1223">
        <v>51800</v>
      </c>
      <c r="K1223" t="s">
        <v>3</v>
      </c>
      <c r="L1223" t="s">
        <v>3254</v>
      </c>
      <c r="M1223" t="s">
        <v>3</v>
      </c>
      <c r="N1223" t="s">
        <v>75</v>
      </c>
      <c r="O1223" s="25" t="s">
        <v>3830</v>
      </c>
      <c r="P1223" s="25">
        <v>1</v>
      </c>
      <c r="Q1223" s="25">
        <v>51800</v>
      </c>
      <c r="R1223" s="25" t="s">
        <v>26</v>
      </c>
      <c r="S1223" s="25" t="s">
        <v>26</v>
      </c>
      <c r="T1223" s="25">
        <f t="shared" si="19"/>
        <v>51800</v>
      </c>
    </row>
    <row r="1224" spans="1:20">
      <c r="A1224" t="s">
        <v>3261</v>
      </c>
      <c r="B1224">
        <v>45917</v>
      </c>
      <c r="C1224" t="s">
        <v>93</v>
      </c>
      <c r="D1224" t="s">
        <v>111</v>
      </c>
      <c r="E1224" t="s">
        <v>122</v>
      </c>
      <c r="F1224">
        <v>4000</v>
      </c>
      <c r="G1224" t="s">
        <v>25</v>
      </c>
      <c r="H1224" t="s">
        <v>3262</v>
      </c>
      <c r="I1224" t="s">
        <v>73</v>
      </c>
      <c r="J1224">
        <v>509.38</v>
      </c>
      <c r="K1224" t="s">
        <v>3</v>
      </c>
      <c r="L1224" t="s">
        <v>3263</v>
      </c>
      <c r="M1224" t="s">
        <v>3</v>
      </c>
      <c r="N1224" t="s">
        <v>75</v>
      </c>
      <c r="O1224" s="25" t="s">
        <v>3832</v>
      </c>
      <c r="P1224" s="25">
        <v>96</v>
      </c>
      <c r="Q1224" s="25">
        <v>48900.479999999996</v>
      </c>
      <c r="R1224" s="25" t="s">
        <v>26</v>
      </c>
      <c r="S1224" s="25" t="s">
        <v>26</v>
      </c>
      <c r="T1224" s="25">
        <f t="shared" si="19"/>
        <v>48900.479999999996</v>
      </c>
    </row>
    <row r="1225" spans="1:20">
      <c r="A1225" t="s">
        <v>3264</v>
      </c>
      <c r="B1225">
        <v>45917</v>
      </c>
      <c r="C1225" t="s">
        <v>126</v>
      </c>
      <c r="D1225" t="s">
        <v>88</v>
      </c>
      <c r="E1225" t="s">
        <v>127</v>
      </c>
      <c r="F1225">
        <v>4020</v>
      </c>
      <c r="G1225" t="s">
        <v>30</v>
      </c>
      <c r="H1225" t="s">
        <v>3265</v>
      </c>
      <c r="I1225" t="s">
        <v>72</v>
      </c>
      <c r="J1225">
        <v>36.69</v>
      </c>
      <c r="K1225" t="s">
        <v>129</v>
      </c>
      <c r="L1225" t="s">
        <v>3266</v>
      </c>
      <c r="M1225" t="s">
        <v>3</v>
      </c>
      <c r="N1225" t="s">
        <v>75</v>
      </c>
      <c r="O1225" s="25" t="s">
        <v>3831</v>
      </c>
      <c r="P1225" s="25">
        <v>1611</v>
      </c>
      <c r="Q1225" s="25">
        <v>59107.59</v>
      </c>
      <c r="R1225" s="25" t="s">
        <v>26</v>
      </c>
      <c r="S1225" s="25" t="s">
        <v>26</v>
      </c>
      <c r="T1225" s="25">
        <f t="shared" si="19"/>
        <v>59107.59</v>
      </c>
    </row>
    <row r="1226" spans="1:20">
      <c r="A1226" t="s">
        <v>3267</v>
      </c>
      <c r="B1226">
        <v>45917</v>
      </c>
      <c r="C1226" t="s">
        <v>126</v>
      </c>
      <c r="D1226" t="s">
        <v>88</v>
      </c>
      <c r="E1226" t="s">
        <v>132</v>
      </c>
      <c r="F1226">
        <v>4020</v>
      </c>
      <c r="G1226" t="s">
        <v>30</v>
      </c>
      <c r="H1226" t="s">
        <v>3268</v>
      </c>
      <c r="I1226" t="s">
        <v>71</v>
      </c>
      <c r="J1226">
        <v>51000</v>
      </c>
      <c r="K1226" t="s">
        <v>134</v>
      </c>
      <c r="L1226" t="s">
        <v>3266</v>
      </c>
      <c r="M1226" t="s">
        <v>3</v>
      </c>
      <c r="N1226" t="s">
        <v>75</v>
      </c>
      <c r="O1226" s="25" t="s">
        <v>3830</v>
      </c>
      <c r="P1226" s="25">
        <v>1</v>
      </c>
      <c r="Q1226" s="25">
        <v>51000</v>
      </c>
      <c r="R1226" s="25" t="s">
        <v>26</v>
      </c>
      <c r="S1226" s="25" t="s">
        <v>26</v>
      </c>
      <c r="T1226" s="25">
        <f t="shared" si="19"/>
        <v>51000</v>
      </c>
    </row>
    <row r="1227" spans="1:20">
      <c r="A1227" t="s">
        <v>3269</v>
      </c>
      <c r="B1227">
        <v>45917</v>
      </c>
      <c r="C1227" t="s">
        <v>126</v>
      </c>
      <c r="D1227" t="s">
        <v>88</v>
      </c>
      <c r="E1227" t="s">
        <v>136</v>
      </c>
      <c r="F1227">
        <v>4020</v>
      </c>
      <c r="G1227" t="s">
        <v>30</v>
      </c>
      <c r="H1227" t="s">
        <v>3270</v>
      </c>
      <c r="I1227" t="s">
        <v>71</v>
      </c>
      <c r="J1227">
        <v>53900</v>
      </c>
      <c r="K1227" t="s">
        <v>138</v>
      </c>
      <c r="L1227" t="s">
        <v>3266</v>
      </c>
      <c r="M1227" t="s">
        <v>3</v>
      </c>
      <c r="N1227" t="s">
        <v>75</v>
      </c>
      <c r="O1227" s="25" t="s">
        <v>3830</v>
      </c>
      <c r="P1227" s="25">
        <v>1</v>
      </c>
      <c r="Q1227" s="25">
        <v>53900</v>
      </c>
      <c r="R1227" s="25" t="s">
        <v>26</v>
      </c>
      <c r="S1227" s="25" t="s">
        <v>26</v>
      </c>
      <c r="T1227" s="25">
        <f t="shared" si="19"/>
        <v>53900</v>
      </c>
    </row>
    <row r="1228" spans="1:20">
      <c r="A1228" t="s">
        <v>3271</v>
      </c>
      <c r="B1228">
        <v>45917</v>
      </c>
      <c r="C1228" t="s">
        <v>126</v>
      </c>
      <c r="D1228" t="s">
        <v>88</v>
      </c>
      <c r="E1228" t="s">
        <v>140</v>
      </c>
      <c r="F1228">
        <v>4020</v>
      </c>
      <c r="G1228" t="s">
        <v>30</v>
      </c>
      <c r="H1228" t="s">
        <v>3272</v>
      </c>
      <c r="I1228" t="s">
        <v>71</v>
      </c>
      <c r="J1228">
        <v>50500</v>
      </c>
      <c r="K1228" t="s">
        <v>3</v>
      </c>
      <c r="L1228" t="s">
        <v>3273</v>
      </c>
      <c r="M1228" t="s">
        <v>3</v>
      </c>
      <c r="N1228" t="s">
        <v>75</v>
      </c>
      <c r="O1228" s="25" t="s">
        <v>3830</v>
      </c>
      <c r="P1228" s="25">
        <v>1</v>
      </c>
      <c r="Q1228" s="25">
        <v>50500</v>
      </c>
      <c r="R1228" s="25" t="s">
        <v>26</v>
      </c>
      <c r="S1228" s="25" t="s">
        <v>26</v>
      </c>
      <c r="T1228" s="25">
        <f t="shared" si="19"/>
        <v>50500</v>
      </c>
    </row>
    <row r="1229" spans="1:20">
      <c r="A1229" t="s">
        <v>3274</v>
      </c>
      <c r="B1229">
        <v>45917</v>
      </c>
      <c r="C1229" t="s">
        <v>87</v>
      </c>
      <c r="D1229" t="s">
        <v>88</v>
      </c>
      <c r="E1229" t="s">
        <v>3</v>
      </c>
      <c r="F1229">
        <v>5030</v>
      </c>
      <c r="G1229" t="s">
        <v>41</v>
      </c>
      <c r="H1229" t="s">
        <v>2656</v>
      </c>
      <c r="I1229" t="s">
        <v>71</v>
      </c>
      <c r="J1229">
        <v>-458000</v>
      </c>
      <c r="K1229" t="s">
        <v>90</v>
      </c>
      <c r="L1229" t="s">
        <v>3275</v>
      </c>
      <c r="M1229" t="s">
        <v>3</v>
      </c>
      <c r="N1229" t="s">
        <v>75</v>
      </c>
      <c r="O1229" s="25" t="s">
        <v>3830</v>
      </c>
      <c r="P1229" s="25">
        <v>1</v>
      </c>
      <c r="Q1229" s="25">
        <v>-458000</v>
      </c>
      <c r="R1229" s="25" t="s">
        <v>35</v>
      </c>
      <c r="S1229" s="25" t="s">
        <v>35</v>
      </c>
      <c r="T1229" s="25">
        <f t="shared" si="19"/>
        <v>-458000</v>
      </c>
    </row>
    <row r="1230" spans="1:20">
      <c r="A1230" t="s">
        <v>3276</v>
      </c>
      <c r="B1230">
        <v>45918</v>
      </c>
      <c r="C1230" t="s">
        <v>93</v>
      </c>
      <c r="D1230" t="s">
        <v>94</v>
      </c>
      <c r="E1230" t="s">
        <v>95</v>
      </c>
      <c r="F1230">
        <v>4000</v>
      </c>
      <c r="G1230" t="s">
        <v>25</v>
      </c>
      <c r="H1230" t="s">
        <v>3277</v>
      </c>
      <c r="I1230" t="s">
        <v>71</v>
      </c>
      <c r="J1230">
        <v>32400</v>
      </c>
      <c r="K1230" t="s">
        <v>3</v>
      </c>
      <c r="L1230" t="s">
        <v>3278</v>
      </c>
      <c r="M1230" t="s">
        <v>3</v>
      </c>
      <c r="N1230" t="s">
        <v>75</v>
      </c>
      <c r="O1230" s="25" t="s">
        <v>3830</v>
      </c>
      <c r="P1230" s="25">
        <v>1</v>
      </c>
      <c r="Q1230" s="25">
        <v>32400</v>
      </c>
      <c r="R1230" s="25" t="s">
        <v>26</v>
      </c>
      <c r="S1230" s="25" t="s">
        <v>26</v>
      </c>
      <c r="T1230" s="25">
        <f t="shared" si="19"/>
        <v>32400</v>
      </c>
    </row>
    <row r="1231" spans="1:20">
      <c r="A1231" t="s">
        <v>3279</v>
      </c>
      <c r="B1231">
        <v>45918</v>
      </c>
      <c r="C1231" t="s">
        <v>93</v>
      </c>
      <c r="D1231" t="s">
        <v>94</v>
      </c>
      <c r="E1231" t="s">
        <v>99</v>
      </c>
      <c r="F1231">
        <v>4000</v>
      </c>
      <c r="G1231" t="s">
        <v>25</v>
      </c>
      <c r="H1231" t="s">
        <v>3280</v>
      </c>
      <c r="I1231" t="s">
        <v>71</v>
      </c>
      <c r="J1231">
        <v>31300</v>
      </c>
      <c r="K1231" t="s">
        <v>3</v>
      </c>
      <c r="L1231" t="s">
        <v>3281</v>
      </c>
      <c r="M1231" t="s">
        <v>3</v>
      </c>
      <c r="N1231" t="s">
        <v>75</v>
      </c>
      <c r="O1231" s="25" t="s">
        <v>3830</v>
      </c>
      <c r="P1231" s="25">
        <v>1</v>
      </c>
      <c r="Q1231" s="25">
        <v>31300</v>
      </c>
      <c r="R1231" s="25" t="s">
        <v>26</v>
      </c>
      <c r="S1231" s="25" t="s">
        <v>26</v>
      </c>
      <c r="T1231" s="25">
        <f t="shared" si="19"/>
        <v>31300</v>
      </c>
    </row>
    <row r="1232" spans="1:20">
      <c r="A1232" t="s">
        <v>3282</v>
      </c>
      <c r="B1232">
        <v>45918</v>
      </c>
      <c r="C1232" t="s">
        <v>93</v>
      </c>
      <c r="D1232" t="s">
        <v>94</v>
      </c>
      <c r="E1232" t="s">
        <v>103</v>
      </c>
      <c r="F1232">
        <v>4000</v>
      </c>
      <c r="G1232" t="s">
        <v>25</v>
      </c>
      <c r="H1232" t="s">
        <v>3283</v>
      </c>
      <c r="I1232" t="s">
        <v>71</v>
      </c>
      <c r="J1232">
        <v>31700</v>
      </c>
      <c r="K1232" t="s">
        <v>3</v>
      </c>
      <c r="L1232" t="s">
        <v>3284</v>
      </c>
      <c r="M1232" t="s">
        <v>3</v>
      </c>
      <c r="N1232" t="s">
        <v>75</v>
      </c>
      <c r="O1232" s="25" t="s">
        <v>3830</v>
      </c>
      <c r="P1232" s="25">
        <v>1</v>
      </c>
      <c r="Q1232" s="25">
        <v>31700</v>
      </c>
      <c r="R1232" s="25" t="s">
        <v>26</v>
      </c>
      <c r="S1232" s="25" t="s">
        <v>26</v>
      </c>
      <c r="T1232" s="25">
        <f t="shared" si="19"/>
        <v>31700</v>
      </c>
    </row>
    <row r="1233" spans="1:20">
      <c r="A1233" t="s">
        <v>3285</v>
      </c>
      <c r="B1233">
        <v>45918</v>
      </c>
      <c r="C1233" t="s">
        <v>93</v>
      </c>
      <c r="D1233" t="s">
        <v>94</v>
      </c>
      <c r="E1233" t="s">
        <v>160</v>
      </c>
      <c r="F1233">
        <v>4000</v>
      </c>
      <c r="G1233" t="s">
        <v>25</v>
      </c>
      <c r="H1233" t="s">
        <v>3286</v>
      </c>
      <c r="I1233" t="s">
        <v>71</v>
      </c>
      <c r="J1233">
        <v>28800</v>
      </c>
      <c r="K1233" t="s">
        <v>3</v>
      </c>
      <c r="L1233" t="s">
        <v>3284</v>
      </c>
      <c r="M1233" t="s">
        <v>3</v>
      </c>
      <c r="N1233" t="s">
        <v>75</v>
      </c>
      <c r="O1233" s="25" t="s">
        <v>3830</v>
      </c>
      <c r="P1233" s="25">
        <v>1</v>
      </c>
      <c r="Q1233" s="25">
        <v>28800</v>
      </c>
      <c r="R1233" s="25" t="s">
        <v>26</v>
      </c>
      <c r="S1233" s="25" t="s">
        <v>26</v>
      </c>
      <c r="T1233" s="25">
        <f t="shared" si="19"/>
        <v>28800</v>
      </c>
    </row>
    <row r="1234" spans="1:20">
      <c r="A1234" t="s">
        <v>3287</v>
      </c>
      <c r="B1234">
        <v>45918</v>
      </c>
      <c r="C1234" t="s">
        <v>93</v>
      </c>
      <c r="D1234" t="s">
        <v>94</v>
      </c>
      <c r="E1234" t="s">
        <v>107</v>
      </c>
      <c r="F1234">
        <v>4000</v>
      </c>
      <c r="G1234" t="s">
        <v>25</v>
      </c>
      <c r="H1234" t="s">
        <v>3288</v>
      </c>
      <c r="I1234" t="s">
        <v>71</v>
      </c>
      <c r="J1234">
        <v>33200</v>
      </c>
      <c r="K1234" t="s">
        <v>3</v>
      </c>
      <c r="L1234" t="s">
        <v>3289</v>
      </c>
      <c r="M1234" t="s">
        <v>3</v>
      </c>
      <c r="N1234" t="s">
        <v>75</v>
      </c>
      <c r="O1234" s="25" t="s">
        <v>3830</v>
      </c>
      <c r="P1234" s="25">
        <v>1</v>
      </c>
      <c r="Q1234" s="25">
        <v>33200</v>
      </c>
      <c r="R1234" s="25" t="s">
        <v>26</v>
      </c>
      <c r="S1234" s="25" t="s">
        <v>26</v>
      </c>
      <c r="T1234" s="25">
        <f t="shared" si="19"/>
        <v>33200</v>
      </c>
    </row>
    <row r="1235" spans="1:20">
      <c r="A1235" t="s">
        <v>3290</v>
      </c>
      <c r="B1235">
        <v>45918</v>
      </c>
      <c r="C1235" t="s">
        <v>93</v>
      </c>
      <c r="D1235" t="s">
        <v>111</v>
      </c>
      <c r="E1235" t="s">
        <v>116</v>
      </c>
      <c r="F1235">
        <v>4000</v>
      </c>
      <c r="G1235" t="s">
        <v>25</v>
      </c>
      <c r="H1235" t="s">
        <v>3291</v>
      </c>
      <c r="I1235" t="s">
        <v>71</v>
      </c>
      <c r="J1235">
        <v>52600</v>
      </c>
      <c r="K1235" t="s">
        <v>3</v>
      </c>
      <c r="L1235" t="s">
        <v>3292</v>
      </c>
      <c r="M1235" t="s">
        <v>3</v>
      </c>
      <c r="N1235" t="s">
        <v>75</v>
      </c>
      <c r="O1235" s="25" t="s">
        <v>3830</v>
      </c>
      <c r="P1235" s="25">
        <v>1</v>
      </c>
      <c r="Q1235" s="25">
        <v>52600</v>
      </c>
      <c r="R1235" s="25" t="s">
        <v>26</v>
      </c>
      <c r="S1235" s="25" t="s">
        <v>26</v>
      </c>
      <c r="T1235" s="25">
        <f t="shared" si="19"/>
        <v>52600</v>
      </c>
    </row>
    <row r="1236" spans="1:20">
      <c r="A1236" t="s">
        <v>3293</v>
      </c>
      <c r="B1236">
        <v>45918</v>
      </c>
      <c r="C1236" t="s">
        <v>93</v>
      </c>
      <c r="D1236" t="s">
        <v>111</v>
      </c>
      <c r="E1236" t="s">
        <v>170</v>
      </c>
      <c r="F1236">
        <v>4000</v>
      </c>
      <c r="G1236" t="s">
        <v>25</v>
      </c>
      <c r="H1236" t="s">
        <v>3294</v>
      </c>
      <c r="I1236" t="s">
        <v>71</v>
      </c>
      <c r="J1236">
        <v>48600</v>
      </c>
      <c r="K1236" t="s">
        <v>3</v>
      </c>
      <c r="L1236" t="s">
        <v>3292</v>
      </c>
      <c r="M1236" t="s">
        <v>3</v>
      </c>
      <c r="N1236" t="s">
        <v>75</v>
      </c>
      <c r="O1236" s="25" t="s">
        <v>3830</v>
      </c>
      <c r="P1236" s="25">
        <v>1</v>
      </c>
      <c r="Q1236" s="25">
        <v>48600</v>
      </c>
      <c r="R1236" s="25" t="s">
        <v>26</v>
      </c>
      <c r="S1236" s="25" t="s">
        <v>26</v>
      </c>
      <c r="T1236" s="25">
        <f t="shared" si="19"/>
        <v>48600</v>
      </c>
    </row>
    <row r="1237" spans="1:20">
      <c r="A1237" t="s">
        <v>3295</v>
      </c>
      <c r="B1237">
        <v>45918</v>
      </c>
      <c r="C1237" t="s">
        <v>93</v>
      </c>
      <c r="D1237" t="s">
        <v>111</v>
      </c>
      <c r="E1237" t="s">
        <v>122</v>
      </c>
      <c r="F1237">
        <v>4000</v>
      </c>
      <c r="G1237" t="s">
        <v>25</v>
      </c>
      <c r="H1237" t="s">
        <v>3296</v>
      </c>
      <c r="I1237" t="s">
        <v>71</v>
      </c>
      <c r="J1237">
        <v>53400</v>
      </c>
      <c r="K1237" t="s">
        <v>3</v>
      </c>
      <c r="L1237" t="s">
        <v>3297</v>
      </c>
      <c r="M1237" t="s">
        <v>3</v>
      </c>
      <c r="N1237" t="s">
        <v>75</v>
      </c>
      <c r="O1237" s="25" t="s">
        <v>3830</v>
      </c>
      <c r="P1237" s="25">
        <v>1</v>
      </c>
      <c r="Q1237" s="25">
        <v>53400</v>
      </c>
      <c r="R1237" s="25" t="s">
        <v>26</v>
      </c>
      <c r="S1237" s="25" t="s">
        <v>26</v>
      </c>
      <c r="T1237" s="25">
        <f t="shared" si="19"/>
        <v>53400</v>
      </c>
    </row>
    <row r="1238" spans="1:20">
      <c r="A1238" t="s">
        <v>3298</v>
      </c>
      <c r="B1238">
        <v>45918</v>
      </c>
      <c r="C1238" t="s">
        <v>126</v>
      </c>
      <c r="D1238" t="s">
        <v>88</v>
      </c>
      <c r="E1238" t="s">
        <v>127</v>
      </c>
      <c r="F1238">
        <v>4020</v>
      </c>
      <c r="G1238" t="s">
        <v>30</v>
      </c>
      <c r="H1238" t="s">
        <v>3299</v>
      </c>
      <c r="I1238" t="s">
        <v>72</v>
      </c>
      <c r="J1238">
        <v>28.99</v>
      </c>
      <c r="K1238" t="s">
        <v>129</v>
      </c>
      <c r="L1238" t="s">
        <v>3300</v>
      </c>
      <c r="M1238" t="s">
        <v>3</v>
      </c>
      <c r="N1238" t="s">
        <v>75</v>
      </c>
      <c r="O1238" s="25" t="s">
        <v>3831</v>
      </c>
      <c r="P1238" s="25">
        <v>1611</v>
      </c>
      <c r="Q1238" s="25">
        <v>46702.89</v>
      </c>
      <c r="R1238" s="25" t="s">
        <v>26</v>
      </c>
      <c r="S1238" s="25" t="s">
        <v>26</v>
      </c>
      <c r="T1238" s="25">
        <f t="shared" si="19"/>
        <v>46702.89</v>
      </c>
    </row>
    <row r="1239" spans="1:20">
      <c r="A1239" t="s">
        <v>3301</v>
      </c>
      <c r="B1239">
        <v>45918</v>
      </c>
      <c r="C1239" t="s">
        <v>126</v>
      </c>
      <c r="D1239" t="s">
        <v>88</v>
      </c>
      <c r="E1239" t="s">
        <v>132</v>
      </c>
      <c r="F1239">
        <v>4020</v>
      </c>
      <c r="G1239" t="s">
        <v>30</v>
      </c>
      <c r="H1239" t="s">
        <v>3302</v>
      </c>
      <c r="I1239" t="s">
        <v>71</v>
      </c>
      <c r="J1239">
        <v>58600</v>
      </c>
      <c r="K1239" t="s">
        <v>134</v>
      </c>
      <c r="L1239" t="s">
        <v>3300</v>
      </c>
      <c r="M1239" t="s">
        <v>3</v>
      </c>
      <c r="N1239" t="s">
        <v>75</v>
      </c>
      <c r="O1239" s="25" t="s">
        <v>3830</v>
      </c>
      <c r="P1239" s="25">
        <v>1</v>
      </c>
      <c r="Q1239" s="25">
        <v>58600</v>
      </c>
      <c r="R1239" s="25" t="s">
        <v>26</v>
      </c>
      <c r="S1239" s="25" t="s">
        <v>26</v>
      </c>
      <c r="T1239" s="25">
        <f t="shared" si="19"/>
        <v>58600</v>
      </c>
    </row>
    <row r="1240" spans="1:20">
      <c r="A1240" t="s">
        <v>3303</v>
      </c>
      <c r="B1240">
        <v>45918</v>
      </c>
      <c r="C1240" t="s">
        <v>126</v>
      </c>
      <c r="D1240" t="s">
        <v>88</v>
      </c>
      <c r="E1240" t="s">
        <v>136</v>
      </c>
      <c r="F1240">
        <v>4020</v>
      </c>
      <c r="G1240" t="s">
        <v>30</v>
      </c>
      <c r="H1240" t="s">
        <v>3304</v>
      </c>
      <c r="I1240" t="s">
        <v>72</v>
      </c>
      <c r="J1240">
        <v>30.48</v>
      </c>
      <c r="K1240" t="s">
        <v>138</v>
      </c>
      <c r="L1240" t="s">
        <v>3300</v>
      </c>
      <c r="M1240" t="s">
        <v>3</v>
      </c>
      <c r="N1240" t="s">
        <v>75</v>
      </c>
      <c r="O1240" s="25" t="s">
        <v>3831</v>
      </c>
      <c r="P1240" s="25">
        <v>1611</v>
      </c>
      <c r="Q1240" s="25">
        <v>49103.28</v>
      </c>
      <c r="R1240" s="25" t="s">
        <v>26</v>
      </c>
      <c r="S1240" s="25" t="s">
        <v>26</v>
      </c>
      <c r="T1240" s="25">
        <f t="shared" si="19"/>
        <v>49103.28</v>
      </c>
    </row>
    <row r="1241" spans="1:20">
      <c r="A1241" t="s">
        <v>3305</v>
      </c>
      <c r="B1241">
        <v>45918</v>
      </c>
      <c r="C1241" t="s">
        <v>126</v>
      </c>
      <c r="D1241" t="s">
        <v>88</v>
      </c>
      <c r="E1241" t="s">
        <v>140</v>
      </c>
      <c r="F1241">
        <v>4020</v>
      </c>
      <c r="G1241" t="s">
        <v>30</v>
      </c>
      <c r="H1241" t="s">
        <v>3306</v>
      </c>
      <c r="I1241" t="s">
        <v>71</v>
      </c>
      <c r="J1241">
        <v>51000</v>
      </c>
      <c r="K1241" t="s">
        <v>3</v>
      </c>
      <c r="L1241" t="s">
        <v>3307</v>
      </c>
      <c r="M1241" t="s">
        <v>3</v>
      </c>
      <c r="N1241" t="s">
        <v>75</v>
      </c>
      <c r="O1241" s="25" t="s">
        <v>3830</v>
      </c>
      <c r="P1241" s="25">
        <v>1</v>
      </c>
      <c r="Q1241" s="25">
        <v>51000</v>
      </c>
      <c r="R1241" s="25" t="s">
        <v>26</v>
      </c>
      <c r="S1241" s="25" t="s">
        <v>26</v>
      </c>
      <c r="T1241" s="25">
        <f t="shared" si="19"/>
        <v>51000</v>
      </c>
    </row>
    <row r="1242" spans="1:20">
      <c r="A1242" t="s">
        <v>3308</v>
      </c>
      <c r="B1242">
        <v>45918</v>
      </c>
      <c r="C1242" t="s">
        <v>93</v>
      </c>
      <c r="D1242" t="s">
        <v>111</v>
      </c>
      <c r="E1242" t="s">
        <v>112</v>
      </c>
      <c r="F1242">
        <v>4900</v>
      </c>
      <c r="G1242" t="s">
        <v>32</v>
      </c>
      <c r="H1242" t="s">
        <v>3309</v>
      </c>
      <c r="I1242" t="s">
        <v>71</v>
      </c>
      <c r="J1242">
        <v>-147983</v>
      </c>
      <c r="K1242" t="s">
        <v>3</v>
      </c>
      <c r="L1242" t="s">
        <v>3310</v>
      </c>
      <c r="M1242" t="s">
        <v>3</v>
      </c>
      <c r="N1242" t="s">
        <v>75</v>
      </c>
      <c r="O1242" s="25" t="s">
        <v>3830</v>
      </c>
      <c r="P1242" s="25">
        <v>1</v>
      </c>
      <c r="Q1242" s="25">
        <v>-147983</v>
      </c>
      <c r="R1242" s="25" t="s">
        <v>26</v>
      </c>
      <c r="S1242" s="25" t="s">
        <v>26</v>
      </c>
      <c r="T1242" s="25">
        <f t="shared" si="19"/>
        <v>-147983</v>
      </c>
    </row>
    <row r="1243" spans="1:20">
      <c r="A1243" t="s">
        <v>3311</v>
      </c>
      <c r="B1243">
        <v>45918</v>
      </c>
      <c r="C1243" t="s">
        <v>87</v>
      </c>
      <c r="D1243" t="s">
        <v>94</v>
      </c>
      <c r="E1243" t="s">
        <v>3</v>
      </c>
      <c r="F1243">
        <v>5040</v>
      </c>
      <c r="G1243" t="s">
        <v>43</v>
      </c>
      <c r="H1243" t="s">
        <v>2861</v>
      </c>
      <c r="I1243" t="s">
        <v>71</v>
      </c>
      <c r="J1243">
        <v>-529000</v>
      </c>
      <c r="K1243" t="s">
        <v>187</v>
      </c>
      <c r="L1243" t="s">
        <v>3312</v>
      </c>
      <c r="M1243" t="s">
        <v>3</v>
      </c>
      <c r="N1243" t="s">
        <v>75</v>
      </c>
      <c r="O1243" s="25" t="s">
        <v>3830</v>
      </c>
      <c r="P1243" s="25">
        <v>1</v>
      </c>
      <c r="Q1243" s="25">
        <v>-529000</v>
      </c>
      <c r="R1243" s="25" t="s">
        <v>35</v>
      </c>
      <c r="S1243" s="25" t="s">
        <v>35</v>
      </c>
      <c r="T1243" s="25">
        <f t="shared" si="19"/>
        <v>-529000</v>
      </c>
    </row>
    <row r="1244" spans="1:20">
      <c r="A1244" t="s">
        <v>3313</v>
      </c>
      <c r="B1244">
        <v>45918</v>
      </c>
      <c r="C1244" t="s">
        <v>87</v>
      </c>
      <c r="D1244" t="s">
        <v>111</v>
      </c>
      <c r="E1244" t="s">
        <v>3</v>
      </c>
      <c r="F1244">
        <v>5010</v>
      </c>
      <c r="G1244" t="s">
        <v>37</v>
      </c>
      <c r="H1244" t="s">
        <v>2732</v>
      </c>
      <c r="I1244" t="s">
        <v>71</v>
      </c>
      <c r="J1244">
        <v>-748000</v>
      </c>
      <c r="K1244" t="s">
        <v>195</v>
      </c>
      <c r="L1244" t="s">
        <v>3314</v>
      </c>
      <c r="M1244" t="s">
        <v>3</v>
      </c>
      <c r="N1244" t="s">
        <v>75</v>
      </c>
      <c r="O1244" s="25" t="s">
        <v>3830</v>
      </c>
      <c r="P1244" s="25">
        <v>1</v>
      </c>
      <c r="Q1244" s="25">
        <v>-748000</v>
      </c>
      <c r="R1244" s="25" t="s">
        <v>35</v>
      </c>
      <c r="S1244" s="25" t="s">
        <v>35</v>
      </c>
      <c r="T1244" s="25">
        <f t="shared" si="19"/>
        <v>-748000</v>
      </c>
    </row>
    <row r="1245" spans="1:20">
      <c r="A1245" t="s">
        <v>3315</v>
      </c>
      <c r="B1245">
        <v>45919</v>
      </c>
      <c r="C1245" t="s">
        <v>93</v>
      </c>
      <c r="D1245" t="s">
        <v>94</v>
      </c>
      <c r="E1245" t="s">
        <v>95</v>
      </c>
      <c r="F1245">
        <v>4000</v>
      </c>
      <c r="G1245" t="s">
        <v>25</v>
      </c>
      <c r="H1245" t="s">
        <v>3316</v>
      </c>
      <c r="I1245" t="s">
        <v>71</v>
      </c>
      <c r="J1245">
        <v>31800</v>
      </c>
      <c r="K1245" t="s">
        <v>3</v>
      </c>
      <c r="L1245" t="s">
        <v>3317</v>
      </c>
      <c r="M1245" t="s">
        <v>3</v>
      </c>
      <c r="N1245" t="s">
        <v>75</v>
      </c>
      <c r="O1245" s="25" t="s">
        <v>3830</v>
      </c>
      <c r="P1245" s="25">
        <v>1</v>
      </c>
      <c r="Q1245" s="25">
        <v>31800</v>
      </c>
      <c r="R1245" s="25" t="s">
        <v>26</v>
      </c>
      <c r="S1245" s="25" t="s">
        <v>26</v>
      </c>
      <c r="T1245" s="25">
        <f t="shared" si="19"/>
        <v>31800</v>
      </c>
    </row>
    <row r="1246" spans="1:20">
      <c r="A1246" t="s">
        <v>3318</v>
      </c>
      <c r="B1246">
        <v>45919</v>
      </c>
      <c r="C1246" t="s">
        <v>93</v>
      </c>
      <c r="D1246" t="s">
        <v>94</v>
      </c>
      <c r="E1246" t="s">
        <v>99</v>
      </c>
      <c r="F1246">
        <v>4000</v>
      </c>
      <c r="G1246" t="s">
        <v>25</v>
      </c>
      <c r="H1246" t="s">
        <v>3319</v>
      </c>
      <c r="I1246" t="s">
        <v>71</v>
      </c>
      <c r="J1246">
        <v>32500</v>
      </c>
      <c r="K1246" t="s">
        <v>3</v>
      </c>
      <c r="L1246" t="s">
        <v>3320</v>
      </c>
      <c r="M1246" t="s">
        <v>3</v>
      </c>
      <c r="N1246" t="s">
        <v>75</v>
      </c>
      <c r="O1246" s="25" t="s">
        <v>3830</v>
      </c>
      <c r="P1246" s="25">
        <v>1</v>
      </c>
      <c r="Q1246" s="25">
        <v>32500</v>
      </c>
      <c r="R1246" s="25" t="s">
        <v>26</v>
      </c>
      <c r="S1246" s="25" t="s">
        <v>26</v>
      </c>
      <c r="T1246" s="25">
        <f t="shared" si="19"/>
        <v>32500</v>
      </c>
    </row>
    <row r="1247" spans="1:20">
      <c r="A1247" t="s">
        <v>3321</v>
      </c>
      <c r="B1247">
        <v>45919</v>
      </c>
      <c r="C1247" t="s">
        <v>93</v>
      </c>
      <c r="D1247" t="s">
        <v>94</v>
      </c>
      <c r="E1247" t="s">
        <v>160</v>
      </c>
      <c r="F1247">
        <v>4000</v>
      </c>
      <c r="G1247" t="s">
        <v>25</v>
      </c>
      <c r="H1247" t="s">
        <v>3322</v>
      </c>
      <c r="I1247" t="s">
        <v>71</v>
      </c>
      <c r="J1247">
        <v>30500</v>
      </c>
      <c r="K1247" t="s">
        <v>3</v>
      </c>
      <c r="L1247" t="s">
        <v>3323</v>
      </c>
      <c r="M1247" t="s">
        <v>3</v>
      </c>
      <c r="N1247" t="s">
        <v>75</v>
      </c>
      <c r="O1247" s="25" t="s">
        <v>3830</v>
      </c>
      <c r="P1247" s="25">
        <v>1</v>
      </c>
      <c r="Q1247" s="25">
        <v>30500</v>
      </c>
      <c r="R1247" s="25" t="s">
        <v>26</v>
      </c>
      <c r="S1247" s="25" t="s">
        <v>26</v>
      </c>
      <c r="T1247" s="25">
        <f t="shared" si="19"/>
        <v>30500</v>
      </c>
    </row>
    <row r="1248" spans="1:20">
      <c r="A1248" t="s">
        <v>3324</v>
      </c>
      <c r="B1248">
        <v>45919</v>
      </c>
      <c r="C1248" t="s">
        <v>93</v>
      </c>
      <c r="D1248" t="s">
        <v>94</v>
      </c>
      <c r="E1248" t="s">
        <v>107</v>
      </c>
      <c r="F1248">
        <v>4000</v>
      </c>
      <c r="G1248" t="s">
        <v>25</v>
      </c>
      <c r="H1248" t="s">
        <v>3325</v>
      </c>
      <c r="I1248" t="s">
        <v>71</v>
      </c>
      <c r="J1248">
        <v>31500</v>
      </c>
      <c r="K1248" t="s">
        <v>3</v>
      </c>
      <c r="L1248" t="s">
        <v>3326</v>
      </c>
      <c r="M1248" t="s">
        <v>3</v>
      </c>
      <c r="N1248" t="s">
        <v>75</v>
      </c>
      <c r="O1248" s="25" t="s">
        <v>3830</v>
      </c>
      <c r="P1248" s="25">
        <v>1</v>
      </c>
      <c r="Q1248" s="25">
        <v>31500</v>
      </c>
      <c r="R1248" s="25" t="s">
        <v>26</v>
      </c>
      <c r="S1248" s="25" t="s">
        <v>26</v>
      </c>
      <c r="T1248" s="25">
        <f t="shared" si="19"/>
        <v>31500</v>
      </c>
    </row>
    <row r="1249" spans="1:20">
      <c r="A1249" t="s">
        <v>3327</v>
      </c>
      <c r="B1249">
        <v>45919</v>
      </c>
      <c r="C1249" t="s">
        <v>93</v>
      </c>
      <c r="D1249" t="s">
        <v>111</v>
      </c>
      <c r="E1249" t="s">
        <v>112</v>
      </c>
      <c r="F1249">
        <v>4000</v>
      </c>
      <c r="G1249" t="s">
        <v>25</v>
      </c>
      <c r="H1249" t="s">
        <v>3328</v>
      </c>
      <c r="I1249" t="s">
        <v>71</v>
      </c>
      <c r="J1249">
        <v>49200</v>
      </c>
      <c r="K1249" t="s">
        <v>3</v>
      </c>
      <c r="L1249" t="s">
        <v>3329</v>
      </c>
      <c r="M1249" t="s">
        <v>3</v>
      </c>
      <c r="N1249" t="s">
        <v>75</v>
      </c>
      <c r="O1249" s="25" t="s">
        <v>3830</v>
      </c>
      <c r="P1249" s="25">
        <v>1</v>
      </c>
      <c r="Q1249" s="25">
        <v>49200</v>
      </c>
      <c r="R1249" s="25" t="s">
        <v>26</v>
      </c>
      <c r="S1249" s="25" t="s">
        <v>26</v>
      </c>
      <c r="T1249" s="25">
        <f t="shared" si="19"/>
        <v>49200</v>
      </c>
    </row>
    <row r="1250" spans="1:20">
      <c r="A1250" t="s">
        <v>3330</v>
      </c>
      <c r="B1250">
        <v>45919</v>
      </c>
      <c r="C1250" t="s">
        <v>93</v>
      </c>
      <c r="D1250" t="s">
        <v>111</v>
      </c>
      <c r="E1250" t="s">
        <v>116</v>
      </c>
      <c r="F1250">
        <v>4000</v>
      </c>
      <c r="G1250" t="s">
        <v>25</v>
      </c>
      <c r="H1250" t="s">
        <v>3331</v>
      </c>
      <c r="I1250" t="s">
        <v>71</v>
      </c>
      <c r="J1250">
        <v>48000</v>
      </c>
      <c r="K1250" t="s">
        <v>3</v>
      </c>
      <c r="L1250" t="s">
        <v>3329</v>
      </c>
      <c r="M1250" t="s">
        <v>3</v>
      </c>
      <c r="N1250" t="s">
        <v>75</v>
      </c>
      <c r="O1250" s="25" t="s">
        <v>3830</v>
      </c>
      <c r="P1250" s="25">
        <v>1</v>
      </c>
      <c r="Q1250" s="25">
        <v>48000</v>
      </c>
      <c r="R1250" s="25" t="s">
        <v>26</v>
      </c>
      <c r="S1250" s="25" t="s">
        <v>26</v>
      </c>
      <c r="T1250" s="25">
        <f t="shared" si="19"/>
        <v>48000</v>
      </c>
    </row>
    <row r="1251" spans="1:20">
      <c r="A1251" t="s">
        <v>3332</v>
      </c>
      <c r="B1251">
        <v>45919</v>
      </c>
      <c r="C1251" t="s">
        <v>93</v>
      </c>
      <c r="D1251" t="s">
        <v>111</v>
      </c>
      <c r="E1251" t="s">
        <v>119</v>
      </c>
      <c r="F1251">
        <v>4000</v>
      </c>
      <c r="G1251" t="s">
        <v>25</v>
      </c>
      <c r="H1251" t="s">
        <v>3333</v>
      </c>
      <c r="I1251" t="s">
        <v>71</v>
      </c>
      <c r="J1251">
        <v>47700</v>
      </c>
      <c r="K1251" t="s">
        <v>3</v>
      </c>
      <c r="L1251" t="s">
        <v>3329</v>
      </c>
      <c r="M1251" t="s">
        <v>3</v>
      </c>
      <c r="N1251" t="s">
        <v>75</v>
      </c>
      <c r="O1251" s="25" t="s">
        <v>3830</v>
      </c>
      <c r="P1251" s="25">
        <v>1</v>
      </c>
      <c r="Q1251" s="25">
        <v>47700</v>
      </c>
      <c r="R1251" s="25" t="s">
        <v>26</v>
      </c>
      <c r="S1251" s="25" t="s">
        <v>26</v>
      </c>
      <c r="T1251" s="25">
        <f t="shared" si="19"/>
        <v>47700</v>
      </c>
    </row>
    <row r="1252" spans="1:20">
      <c r="A1252" t="s">
        <v>3334</v>
      </c>
      <c r="B1252">
        <v>45919</v>
      </c>
      <c r="C1252" t="s">
        <v>93</v>
      </c>
      <c r="D1252" t="s">
        <v>111</v>
      </c>
      <c r="E1252" t="s">
        <v>170</v>
      </c>
      <c r="F1252">
        <v>4000</v>
      </c>
      <c r="G1252" t="s">
        <v>25</v>
      </c>
      <c r="H1252" t="s">
        <v>3335</v>
      </c>
      <c r="I1252" t="s">
        <v>71</v>
      </c>
      <c r="J1252">
        <v>50300</v>
      </c>
      <c r="K1252" t="s">
        <v>3</v>
      </c>
      <c r="L1252" t="s">
        <v>3329</v>
      </c>
      <c r="M1252" t="s">
        <v>3</v>
      </c>
      <c r="N1252" t="s">
        <v>75</v>
      </c>
      <c r="O1252" s="25" t="s">
        <v>3830</v>
      </c>
      <c r="P1252" s="25">
        <v>1</v>
      </c>
      <c r="Q1252" s="25">
        <v>50300</v>
      </c>
      <c r="R1252" s="25" t="s">
        <v>26</v>
      </c>
      <c r="S1252" s="25" t="s">
        <v>26</v>
      </c>
      <c r="T1252" s="25">
        <f t="shared" si="19"/>
        <v>50300</v>
      </c>
    </row>
    <row r="1253" spans="1:20">
      <c r="A1253" t="s">
        <v>3336</v>
      </c>
      <c r="B1253">
        <v>45919</v>
      </c>
      <c r="C1253" t="s">
        <v>93</v>
      </c>
      <c r="D1253" t="s">
        <v>111</v>
      </c>
      <c r="E1253" t="s">
        <v>122</v>
      </c>
      <c r="F1253">
        <v>4000</v>
      </c>
      <c r="G1253" t="s">
        <v>25</v>
      </c>
      <c r="H1253" t="s">
        <v>3337</v>
      </c>
      <c r="I1253" t="s">
        <v>71</v>
      </c>
      <c r="J1253">
        <v>48200</v>
      </c>
      <c r="K1253" t="s">
        <v>3</v>
      </c>
      <c r="L1253" t="s">
        <v>3338</v>
      </c>
      <c r="M1253" t="s">
        <v>3</v>
      </c>
      <c r="N1253" t="s">
        <v>75</v>
      </c>
      <c r="O1253" s="25" t="s">
        <v>3830</v>
      </c>
      <c r="P1253" s="25">
        <v>1</v>
      </c>
      <c r="Q1253" s="25">
        <v>48200</v>
      </c>
      <c r="R1253" s="25" t="s">
        <v>26</v>
      </c>
      <c r="S1253" s="25" t="s">
        <v>26</v>
      </c>
      <c r="T1253" s="25">
        <f t="shared" si="19"/>
        <v>48200</v>
      </c>
    </row>
    <row r="1254" spans="1:20">
      <c r="A1254" t="s">
        <v>3339</v>
      </c>
      <c r="B1254">
        <v>45919</v>
      </c>
      <c r="C1254" t="s">
        <v>126</v>
      </c>
      <c r="D1254" t="s">
        <v>88</v>
      </c>
      <c r="E1254" t="s">
        <v>127</v>
      </c>
      <c r="F1254">
        <v>4020</v>
      </c>
      <c r="G1254" t="s">
        <v>30</v>
      </c>
      <c r="H1254" t="s">
        <v>3340</v>
      </c>
      <c r="I1254" t="s">
        <v>71</v>
      </c>
      <c r="J1254">
        <v>52700</v>
      </c>
      <c r="K1254" t="s">
        <v>129</v>
      </c>
      <c r="L1254" t="s">
        <v>3341</v>
      </c>
      <c r="M1254" t="s">
        <v>3</v>
      </c>
      <c r="N1254" t="s">
        <v>75</v>
      </c>
      <c r="O1254" s="25" t="s">
        <v>3830</v>
      </c>
      <c r="P1254" s="25">
        <v>1</v>
      </c>
      <c r="Q1254" s="25">
        <v>52700</v>
      </c>
      <c r="R1254" s="25" t="s">
        <v>26</v>
      </c>
      <c r="S1254" s="25" t="s">
        <v>26</v>
      </c>
      <c r="T1254" s="25">
        <f t="shared" si="19"/>
        <v>52700</v>
      </c>
    </row>
    <row r="1255" spans="1:20">
      <c r="A1255" t="s">
        <v>3342</v>
      </c>
      <c r="B1255">
        <v>45919</v>
      </c>
      <c r="C1255" t="s">
        <v>126</v>
      </c>
      <c r="D1255" t="s">
        <v>88</v>
      </c>
      <c r="E1255" t="s">
        <v>132</v>
      </c>
      <c r="F1255">
        <v>4020</v>
      </c>
      <c r="G1255" t="s">
        <v>30</v>
      </c>
      <c r="H1255" t="s">
        <v>3343</v>
      </c>
      <c r="I1255" t="s">
        <v>71</v>
      </c>
      <c r="J1255">
        <v>47900</v>
      </c>
      <c r="K1255" t="s">
        <v>134</v>
      </c>
      <c r="L1255" t="s">
        <v>3341</v>
      </c>
      <c r="M1255" t="s">
        <v>3</v>
      </c>
      <c r="N1255" t="s">
        <v>75</v>
      </c>
      <c r="O1255" s="25" t="s">
        <v>3830</v>
      </c>
      <c r="P1255" s="25">
        <v>1</v>
      </c>
      <c r="Q1255" s="25">
        <v>47900</v>
      </c>
      <c r="R1255" s="25" t="s">
        <v>26</v>
      </c>
      <c r="S1255" s="25" t="s">
        <v>26</v>
      </c>
      <c r="T1255" s="25">
        <f t="shared" si="19"/>
        <v>47900</v>
      </c>
    </row>
    <row r="1256" spans="1:20">
      <c r="A1256" t="s">
        <v>3344</v>
      </c>
      <c r="B1256">
        <v>45919</v>
      </c>
      <c r="C1256" t="s">
        <v>126</v>
      </c>
      <c r="D1256" t="s">
        <v>88</v>
      </c>
      <c r="E1256" t="s">
        <v>136</v>
      </c>
      <c r="F1256">
        <v>4020</v>
      </c>
      <c r="G1256" t="s">
        <v>30</v>
      </c>
      <c r="H1256" t="s">
        <v>3345</v>
      </c>
      <c r="I1256" t="s">
        <v>72</v>
      </c>
      <c r="J1256">
        <v>35.75</v>
      </c>
      <c r="K1256" t="s">
        <v>138</v>
      </c>
      <c r="L1256" t="s">
        <v>3341</v>
      </c>
      <c r="M1256" t="s">
        <v>3</v>
      </c>
      <c r="N1256" t="s">
        <v>75</v>
      </c>
      <c r="O1256" s="25" t="s">
        <v>3831</v>
      </c>
      <c r="P1256" s="25">
        <v>1611</v>
      </c>
      <c r="Q1256" s="25">
        <v>57593.25</v>
      </c>
      <c r="R1256" s="25" t="s">
        <v>26</v>
      </c>
      <c r="S1256" s="25" t="s">
        <v>26</v>
      </c>
      <c r="T1256" s="25">
        <f t="shared" si="19"/>
        <v>57593.25</v>
      </c>
    </row>
    <row r="1257" spans="1:20">
      <c r="A1257" t="s">
        <v>3346</v>
      </c>
      <c r="B1257">
        <v>45919</v>
      </c>
      <c r="C1257" t="s">
        <v>126</v>
      </c>
      <c r="D1257" t="s">
        <v>88</v>
      </c>
      <c r="E1257" t="s">
        <v>140</v>
      </c>
      <c r="F1257">
        <v>4020</v>
      </c>
      <c r="G1257" t="s">
        <v>30</v>
      </c>
      <c r="H1257" t="s">
        <v>3347</v>
      </c>
      <c r="I1257" t="s">
        <v>71</v>
      </c>
      <c r="J1257">
        <v>56400</v>
      </c>
      <c r="K1257" t="s">
        <v>3</v>
      </c>
      <c r="L1257" t="s">
        <v>3348</v>
      </c>
      <c r="M1257" t="s">
        <v>3</v>
      </c>
      <c r="N1257" t="s">
        <v>75</v>
      </c>
      <c r="O1257" s="25" t="s">
        <v>3830</v>
      </c>
      <c r="P1257" s="25">
        <v>1</v>
      </c>
      <c r="Q1257" s="25">
        <v>56400</v>
      </c>
      <c r="R1257" s="25" t="s">
        <v>26</v>
      </c>
      <c r="S1257" s="25" t="s">
        <v>26</v>
      </c>
      <c r="T1257" s="25">
        <f t="shared" si="19"/>
        <v>56400</v>
      </c>
    </row>
    <row r="1258" spans="1:20">
      <c r="A1258" t="s">
        <v>3349</v>
      </c>
      <c r="B1258">
        <v>45919</v>
      </c>
      <c r="C1258" t="s">
        <v>87</v>
      </c>
      <c r="D1258" t="s">
        <v>111</v>
      </c>
      <c r="E1258" t="s">
        <v>3</v>
      </c>
      <c r="F1258">
        <v>5020</v>
      </c>
      <c r="G1258" t="s">
        <v>39</v>
      </c>
      <c r="H1258" t="s">
        <v>2694</v>
      </c>
      <c r="I1258" t="s">
        <v>71</v>
      </c>
      <c r="J1258">
        <v>-68000</v>
      </c>
      <c r="K1258" t="s">
        <v>276</v>
      </c>
      <c r="L1258" t="s">
        <v>3350</v>
      </c>
      <c r="M1258" t="s">
        <v>3</v>
      </c>
      <c r="N1258" t="s">
        <v>75</v>
      </c>
      <c r="O1258" s="25" t="s">
        <v>3830</v>
      </c>
      <c r="P1258" s="25">
        <v>1</v>
      </c>
      <c r="Q1258" s="25">
        <v>-68000</v>
      </c>
      <c r="R1258" s="25" t="s">
        <v>35</v>
      </c>
      <c r="S1258" s="25" t="s">
        <v>35</v>
      </c>
      <c r="T1258" s="25">
        <f t="shared" si="19"/>
        <v>-68000</v>
      </c>
    </row>
    <row r="1259" spans="1:20">
      <c r="A1259" t="s">
        <v>3351</v>
      </c>
      <c r="B1259">
        <v>45919</v>
      </c>
      <c r="C1259" t="s">
        <v>87</v>
      </c>
      <c r="D1259" t="s">
        <v>88</v>
      </c>
      <c r="E1259" t="s">
        <v>3</v>
      </c>
      <c r="F1259">
        <v>5030</v>
      </c>
      <c r="G1259" t="s">
        <v>41</v>
      </c>
      <c r="H1259" t="s">
        <v>2656</v>
      </c>
      <c r="I1259" t="s">
        <v>71</v>
      </c>
      <c r="J1259">
        <v>-516000</v>
      </c>
      <c r="K1259" t="s">
        <v>90</v>
      </c>
      <c r="L1259" t="s">
        <v>3352</v>
      </c>
      <c r="M1259" t="s">
        <v>3</v>
      </c>
      <c r="N1259" t="s">
        <v>75</v>
      </c>
      <c r="O1259" s="25" t="s">
        <v>3830</v>
      </c>
      <c r="P1259" s="25">
        <v>1</v>
      </c>
      <c r="Q1259" s="25">
        <v>-516000</v>
      </c>
      <c r="R1259" s="25" t="s">
        <v>35</v>
      </c>
      <c r="S1259" s="25" t="s">
        <v>35</v>
      </c>
      <c r="T1259" s="25">
        <f t="shared" si="19"/>
        <v>-516000</v>
      </c>
    </row>
    <row r="1260" spans="1:20">
      <c r="A1260" t="s">
        <v>3353</v>
      </c>
      <c r="B1260">
        <v>45919</v>
      </c>
      <c r="C1260" t="s">
        <v>87</v>
      </c>
      <c r="D1260" t="s">
        <v>111</v>
      </c>
      <c r="E1260" t="s">
        <v>3</v>
      </c>
      <c r="F1260">
        <v>6030</v>
      </c>
      <c r="G1260" t="s">
        <v>54</v>
      </c>
      <c r="H1260" t="s">
        <v>3354</v>
      </c>
      <c r="I1260" t="s">
        <v>71</v>
      </c>
      <c r="J1260">
        <v>-797080</v>
      </c>
      <c r="K1260" t="s">
        <v>870</v>
      </c>
      <c r="L1260" t="s">
        <v>3355</v>
      </c>
      <c r="M1260" t="s">
        <v>3</v>
      </c>
      <c r="N1260" t="s">
        <v>75</v>
      </c>
      <c r="O1260" s="25" t="s">
        <v>3830</v>
      </c>
      <c r="P1260" s="25">
        <v>1</v>
      </c>
      <c r="Q1260" s="25">
        <v>-797080</v>
      </c>
      <c r="R1260" s="25" t="s">
        <v>48</v>
      </c>
      <c r="S1260" s="25" t="s">
        <v>48</v>
      </c>
      <c r="T1260" s="25">
        <f t="shared" si="19"/>
        <v>-797080</v>
      </c>
    </row>
    <row r="1261" spans="1:20">
      <c r="A1261" t="s">
        <v>3356</v>
      </c>
      <c r="B1261">
        <v>45920</v>
      </c>
      <c r="C1261" t="s">
        <v>93</v>
      </c>
      <c r="D1261" t="s">
        <v>94</v>
      </c>
      <c r="E1261" t="s">
        <v>95</v>
      </c>
      <c r="F1261">
        <v>4000</v>
      </c>
      <c r="G1261" t="s">
        <v>25</v>
      </c>
      <c r="H1261" t="s">
        <v>3357</v>
      </c>
      <c r="I1261" t="s">
        <v>71</v>
      </c>
      <c r="J1261">
        <v>41400</v>
      </c>
      <c r="K1261" t="s">
        <v>3</v>
      </c>
      <c r="L1261" t="s">
        <v>3358</v>
      </c>
      <c r="M1261" t="s">
        <v>3</v>
      </c>
      <c r="N1261" t="s">
        <v>75</v>
      </c>
      <c r="O1261" s="25" t="s">
        <v>3830</v>
      </c>
      <c r="P1261" s="25">
        <v>1</v>
      </c>
      <c r="Q1261" s="25">
        <v>41400</v>
      </c>
      <c r="R1261" s="25" t="s">
        <v>26</v>
      </c>
      <c r="S1261" s="25" t="s">
        <v>26</v>
      </c>
      <c r="T1261" s="25">
        <f t="shared" si="19"/>
        <v>41400</v>
      </c>
    </row>
    <row r="1262" spans="1:20">
      <c r="A1262" t="s">
        <v>3359</v>
      </c>
      <c r="B1262">
        <v>45920</v>
      </c>
      <c r="C1262" t="s">
        <v>93</v>
      </c>
      <c r="D1262" t="s">
        <v>94</v>
      </c>
      <c r="E1262" t="s">
        <v>99</v>
      </c>
      <c r="F1262">
        <v>4000</v>
      </c>
      <c r="G1262" t="s">
        <v>25</v>
      </c>
      <c r="H1262" t="s">
        <v>3360</v>
      </c>
      <c r="I1262" t="s">
        <v>71</v>
      </c>
      <c r="J1262">
        <v>42000</v>
      </c>
      <c r="K1262" t="s">
        <v>3</v>
      </c>
      <c r="L1262" t="s">
        <v>3361</v>
      </c>
      <c r="M1262" t="s">
        <v>3</v>
      </c>
      <c r="N1262" t="s">
        <v>75</v>
      </c>
      <c r="O1262" s="25" t="s">
        <v>3830</v>
      </c>
      <c r="P1262" s="25">
        <v>1</v>
      </c>
      <c r="Q1262" s="25">
        <v>42000</v>
      </c>
      <c r="R1262" s="25" t="s">
        <v>26</v>
      </c>
      <c r="S1262" s="25" t="s">
        <v>26</v>
      </c>
      <c r="T1262" s="25">
        <f t="shared" si="19"/>
        <v>42000</v>
      </c>
    </row>
    <row r="1263" spans="1:20">
      <c r="A1263" t="s">
        <v>3362</v>
      </c>
      <c r="B1263">
        <v>45920</v>
      </c>
      <c r="C1263" t="s">
        <v>93</v>
      </c>
      <c r="D1263" t="s">
        <v>94</v>
      </c>
      <c r="E1263" t="s">
        <v>160</v>
      </c>
      <c r="F1263">
        <v>4000</v>
      </c>
      <c r="G1263" t="s">
        <v>25</v>
      </c>
      <c r="H1263" t="s">
        <v>3363</v>
      </c>
      <c r="I1263" t="s">
        <v>71</v>
      </c>
      <c r="J1263">
        <v>39900</v>
      </c>
      <c r="K1263" t="s">
        <v>3</v>
      </c>
      <c r="L1263" t="s">
        <v>3364</v>
      </c>
      <c r="M1263" t="s">
        <v>3</v>
      </c>
      <c r="N1263" t="s">
        <v>75</v>
      </c>
      <c r="O1263" s="25" t="s">
        <v>3830</v>
      </c>
      <c r="P1263" s="25">
        <v>1</v>
      </c>
      <c r="Q1263" s="25">
        <v>39900</v>
      </c>
      <c r="R1263" s="25" t="s">
        <v>26</v>
      </c>
      <c r="S1263" s="25" t="s">
        <v>26</v>
      </c>
      <c r="T1263" s="25">
        <f t="shared" si="19"/>
        <v>39900</v>
      </c>
    </row>
    <row r="1264" spans="1:20">
      <c r="A1264" t="s">
        <v>3365</v>
      </c>
      <c r="B1264">
        <v>45920</v>
      </c>
      <c r="C1264" t="s">
        <v>93</v>
      </c>
      <c r="D1264" t="s">
        <v>94</v>
      </c>
      <c r="E1264" t="s">
        <v>107</v>
      </c>
      <c r="F1264">
        <v>4000</v>
      </c>
      <c r="G1264" t="s">
        <v>25</v>
      </c>
      <c r="H1264" t="s">
        <v>3366</v>
      </c>
      <c r="I1264" t="s">
        <v>71</v>
      </c>
      <c r="J1264">
        <v>36300</v>
      </c>
      <c r="K1264" t="s">
        <v>3</v>
      </c>
      <c r="L1264" t="s">
        <v>3367</v>
      </c>
      <c r="M1264" t="s">
        <v>3</v>
      </c>
      <c r="N1264" t="s">
        <v>75</v>
      </c>
      <c r="O1264" s="25" t="s">
        <v>3830</v>
      </c>
      <c r="P1264" s="25">
        <v>1</v>
      </c>
      <c r="Q1264" s="25">
        <v>36300</v>
      </c>
      <c r="R1264" s="25" t="s">
        <v>26</v>
      </c>
      <c r="S1264" s="25" t="s">
        <v>26</v>
      </c>
      <c r="T1264" s="25">
        <f t="shared" si="19"/>
        <v>36300</v>
      </c>
    </row>
    <row r="1265" spans="1:20">
      <c r="A1265" t="s">
        <v>3368</v>
      </c>
      <c r="B1265">
        <v>45920</v>
      </c>
      <c r="C1265" t="s">
        <v>93</v>
      </c>
      <c r="D1265" t="s">
        <v>111</v>
      </c>
      <c r="E1265" t="s">
        <v>112</v>
      </c>
      <c r="F1265">
        <v>4000</v>
      </c>
      <c r="G1265" t="s">
        <v>25</v>
      </c>
      <c r="H1265" t="s">
        <v>3369</v>
      </c>
      <c r="I1265" t="s">
        <v>71</v>
      </c>
      <c r="J1265">
        <v>64900</v>
      </c>
      <c r="K1265" t="s">
        <v>3</v>
      </c>
      <c r="L1265" t="s">
        <v>3370</v>
      </c>
      <c r="M1265" t="s">
        <v>3</v>
      </c>
      <c r="N1265" t="s">
        <v>75</v>
      </c>
      <c r="O1265" s="25" t="s">
        <v>3830</v>
      </c>
      <c r="P1265" s="25">
        <v>1</v>
      </c>
      <c r="Q1265" s="25">
        <v>64900</v>
      </c>
      <c r="R1265" s="25" t="s">
        <v>26</v>
      </c>
      <c r="S1265" s="25" t="s">
        <v>26</v>
      </c>
      <c r="T1265" s="25">
        <f t="shared" si="19"/>
        <v>64900</v>
      </c>
    </row>
    <row r="1266" spans="1:20">
      <c r="A1266" t="s">
        <v>3371</v>
      </c>
      <c r="B1266">
        <v>45920</v>
      </c>
      <c r="C1266" t="s">
        <v>93</v>
      </c>
      <c r="D1266" t="s">
        <v>111</v>
      </c>
      <c r="E1266" t="s">
        <v>116</v>
      </c>
      <c r="F1266">
        <v>4000</v>
      </c>
      <c r="G1266" t="s">
        <v>25</v>
      </c>
      <c r="H1266" t="s">
        <v>3372</v>
      </c>
      <c r="I1266" t="s">
        <v>71</v>
      </c>
      <c r="J1266">
        <v>66700</v>
      </c>
      <c r="K1266" t="s">
        <v>3</v>
      </c>
      <c r="L1266" t="s">
        <v>3370</v>
      </c>
      <c r="M1266" t="s">
        <v>3</v>
      </c>
      <c r="N1266" t="s">
        <v>75</v>
      </c>
      <c r="O1266" s="25" t="s">
        <v>3830</v>
      </c>
      <c r="P1266" s="25">
        <v>1</v>
      </c>
      <c r="Q1266" s="25">
        <v>66700</v>
      </c>
      <c r="R1266" s="25" t="s">
        <v>26</v>
      </c>
      <c r="S1266" s="25" t="s">
        <v>26</v>
      </c>
      <c r="T1266" s="25">
        <f t="shared" si="19"/>
        <v>66700</v>
      </c>
    </row>
    <row r="1267" spans="1:20">
      <c r="A1267" t="s">
        <v>3373</v>
      </c>
      <c r="B1267">
        <v>45920</v>
      </c>
      <c r="C1267" t="s">
        <v>93</v>
      </c>
      <c r="D1267" t="s">
        <v>111</v>
      </c>
      <c r="E1267" t="s">
        <v>119</v>
      </c>
      <c r="F1267">
        <v>4000</v>
      </c>
      <c r="G1267" t="s">
        <v>25</v>
      </c>
      <c r="H1267" t="s">
        <v>3374</v>
      </c>
      <c r="I1267" t="s">
        <v>71</v>
      </c>
      <c r="J1267">
        <v>65600</v>
      </c>
      <c r="K1267" t="s">
        <v>3</v>
      </c>
      <c r="L1267" t="s">
        <v>3370</v>
      </c>
      <c r="M1267" t="s">
        <v>3</v>
      </c>
      <c r="N1267" t="s">
        <v>75</v>
      </c>
      <c r="O1267" s="25" t="s">
        <v>3830</v>
      </c>
      <c r="P1267" s="25">
        <v>1</v>
      </c>
      <c r="Q1267" s="25">
        <v>65600</v>
      </c>
      <c r="R1267" s="25" t="s">
        <v>26</v>
      </c>
      <c r="S1267" s="25" t="s">
        <v>26</v>
      </c>
      <c r="T1267" s="25">
        <f t="shared" si="19"/>
        <v>65600</v>
      </c>
    </row>
    <row r="1268" spans="1:20">
      <c r="A1268" t="s">
        <v>3375</v>
      </c>
      <c r="B1268">
        <v>45920</v>
      </c>
      <c r="C1268" t="s">
        <v>93</v>
      </c>
      <c r="D1268" t="s">
        <v>111</v>
      </c>
      <c r="E1268" t="s">
        <v>170</v>
      </c>
      <c r="F1268">
        <v>4000</v>
      </c>
      <c r="G1268" t="s">
        <v>25</v>
      </c>
      <c r="H1268" t="s">
        <v>3376</v>
      </c>
      <c r="I1268" t="s">
        <v>71</v>
      </c>
      <c r="J1268">
        <v>63300</v>
      </c>
      <c r="K1268" t="s">
        <v>3</v>
      </c>
      <c r="L1268" t="s">
        <v>3370</v>
      </c>
      <c r="M1268" t="s">
        <v>3</v>
      </c>
      <c r="N1268" t="s">
        <v>75</v>
      </c>
      <c r="O1268" s="25" t="s">
        <v>3830</v>
      </c>
      <c r="P1268" s="25">
        <v>1</v>
      </c>
      <c r="Q1268" s="25">
        <v>63300</v>
      </c>
      <c r="R1268" s="25" t="s">
        <v>26</v>
      </c>
      <c r="S1268" s="25" t="s">
        <v>26</v>
      </c>
      <c r="T1268" s="25">
        <f t="shared" si="19"/>
        <v>63300</v>
      </c>
    </row>
    <row r="1269" spans="1:20">
      <c r="A1269" t="s">
        <v>3377</v>
      </c>
      <c r="B1269">
        <v>45920</v>
      </c>
      <c r="C1269" t="s">
        <v>126</v>
      </c>
      <c r="D1269" t="s">
        <v>88</v>
      </c>
      <c r="E1269" t="s">
        <v>127</v>
      </c>
      <c r="F1269">
        <v>4020</v>
      </c>
      <c r="G1269" t="s">
        <v>30</v>
      </c>
      <c r="H1269" t="s">
        <v>3378</v>
      </c>
      <c r="I1269" t="s">
        <v>71</v>
      </c>
      <c r="J1269">
        <v>54700</v>
      </c>
      <c r="K1269" t="s">
        <v>129</v>
      </c>
      <c r="L1269" t="s">
        <v>3379</v>
      </c>
      <c r="M1269" t="s">
        <v>3</v>
      </c>
      <c r="N1269" t="s">
        <v>75</v>
      </c>
      <c r="O1269" s="25" t="s">
        <v>3830</v>
      </c>
      <c r="P1269" s="25">
        <v>1</v>
      </c>
      <c r="Q1269" s="25">
        <v>54700</v>
      </c>
      <c r="R1269" s="25" t="s">
        <v>26</v>
      </c>
      <c r="S1269" s="25" t="s">
        <v>26</v>
      </c>
      <c r="T1269" s="25">
        <f t="shared" si="19"/>
        <v>54700</v>
      </c>
    </row>
    <row r="1270" spans="1:20">
      <c r="A1270" t="s">
        <v>3380</v>
      </c>
      <c r="B1270">
        <v>45920</v>
      </c>
      <c r="C1270" t="s">
        <v>126</v>
      </c>
      <c r="D1270" t="s">
        <v>88</v>
      </c>
      <c r="E1270" t="s">
        <v>132</v>
      </c>
      <c r="F1270">
        <v>4020</v>
      </c>
      <c r="G1270" t="s">
        <v>30</v>
      </c>
      <c r="H1270" t="s">
        <v>3381</v>
      </c>
      <c r="I1270" t="s">
        <v>72</v>
      </c>
      <c r="J1270">
        <v>34.39</v>
      </c>
      <c r="K1270" t="s">
        <v>134</v>
      </c>
      <c r="L1270" t="s">
        <v>3379</v>
      </c>
      <c r="M1270" t="s">
        <v>3</v>
      </c>
      <c r="N1270" t="s">
        <v>75</v>
      </c>
      <c r="O1270" s="25" t="s">
        <v>3831</v>
      </c>
      <c r="P1270" s="25">
        <v>1611</v>
      </c>
      <c r="Q1270" s="25">
        <v>55402.29</v>
      </c>
      <c r="R1270" s="25" t="s">
        <v>26</v>
      </c>
      <c r="S1270" s="25" t="s">
        <v>26</v>
      </c>
      <c r="T1270" s="25">
        <f t="shared" si="19"/>
        <v>55402.29</v>
      </c>
    </row>
    <row r="1271" spans="1:20">
      <c r="A1271" t="s">
        <v>3382</v>
      </c>
      <c r="B1271">
        <v>45920</v>
      </c>
      <c r="C1271" t="s">
        <v>126</v>
      </c>
      <c r="D1271" t="s">
        <v>88</v>
      </c>
      <c r="E1271" t="s">
        <v>136</v>
      </c>
      <c r="F1271">
        <v>4020</v>
      </c>
      <c r="G1271" t="s">
        <v>30</v>
      </c>
      <c r="H1271" t="s">
        <v>3383</v>
      </c>
      <c r="I1271" t="s">
        <v>72</v>
      </c>
      <c r="J1271">
        <v>29.92</v>
      </c>
      <c r="K1271" t="s">
        <v>138</v>
      </c>
      <c r="L1271" t="s">
        <v>3379</v>
      </c>
      <c r="M1271" t="s">
        <v>3</v>
      </c>
      <c r="N1271" t="s">
        <v>75</v>
      </c>
      <c r="O1271" s="25" t="s">
        <v>3831</v>
      </c>
      <c r="P1271" s="25">
        <v>1611</v>
      </c>
      <c r="Q1271" s="25">
        <v>48201.120000000003</v>
      </c>
      <c r="R1271" s="25" t="s">
        <v>26</v>
      </c>
      <c r="S1271" s="25" t="s">
        <v>26</v>
      </c>
      <c r="T1271" s="25">
        <f t="shared" si="19"/>
        <v>48201.120000000003</v>
      </c>
    </row>
    <row r="1272" spans="1:20">
      <c r="A1272" t="s">
        <v>3384</v>
      </c>
      <c r="B1272">
        <v>45920</v>
      </c>
      <c r="C1272" t="s">
        <v>87</v>
      </c>
      <c r="D1272" t="s">
        <v>111</v>
      </c>
      <c r="E1272" t="s">
        <v>3</v>
      </c>
      <c r="F1272">
        <v>5010</v>
      </c>
      <c r="G1272" t="s">
        <v>37</v>
      </c>
      <c r="H1272" t="s">
        <v>2732</v>
      </c>
      <c r="I1272" t="s">
        <v>71</v>
      </c>
      <c r="J1272">
        <v>-653000</v>
      </c>
      <c r="K1272" t="s">
        <v>195</v>
      </c>
      <c r="L1272" t="s">
        <v>3385</v>
      </c>
      <c r="M1272" t="s">
        <v>3</v>
      </c>
      <c r="N1272" t="s">
        <v>75</v>
      </c>
      <c r="O1272" s="25" t="s">
        <v>3830</v>
      </c>
      <c r="P1272" s="25">
        <v>1</v>
      </c>
      <c r="Q1272" s="25">
        <v>-653000</v>
      </c>
      <c r="R1272" s="25" t="s">
        <v>35</v>
      </c>
      <c r="S1272" s="25" t="s">
        <v>35</v>
      </c>
      <c r="T1272" s="25">
        <f t="shared" si="19"/>
        <v>-653000</v>
      </c>
    </row>
    <row r="1273" spans="1:20">
      <c r="A1273" t="s">
        <v>3386</v>
      </c>
      <c r="B1273">
        <v>45921</v>
      </c>
      <c r="C1273" t="s">
        <v>93</v>
      </c>
      <c r="D1273" t="s">
        <v>94</v>
      </c>
      <c r="E1273" t="s">
        <v>95</v>
      </c>
      <c r="F1273">
        <v>4000</v>
      </c>
      <c r="G1273" t="s">
        <v>25</v>
      </c>
      <c r="H1273" t="s">
        <v>3387</v>
      </c>
      <c r="I1273" t="s">
        <v>71</v>
      </c>
      <c r="J1273">
        <v>38200</v>
      </c>
      <c r="K1273" t="s">
        <v>3</v>
      </c>
      <c r="L1273" t="s">
        <v>3388</v>
      </c>
      <c r="M1273" t="s">
        <v>3</v>
      </c>
      <c r="N1273" t="s">
        <v>75</v>
      </c>
      <c r="O1273" s="25" t="s">
        <v>3830</v>
      </c>
      <c r="P1273" s="25">
        <v>1</v>
      </c>
      <c r="Q1273" s="25">
        <v>38200</v>
      </c>
      <c r="R1273" s="25" t="s">
        <v>26</v>
      </c>
      <c r="S1273" s="25" t="s">
        <v>26</v>
      </c>
      <c r="T1273" s="25">
        <f t="shared" si="19"/>
        <v>38200</v>
      </c>
    </row>
    <row r="1274" spans="1:20">
      <c r="A1274" t="s">
        <v>3389</v>
      </c>
      <c r="B1274">
        <v>45921</v>
      </c>
      <c r="C1274" t="s">
        <v>93</v>
      </c>
      <c r="D1274" t="s">
        <v>94</v>
      </c>
      <c r="E1274" t="s">
        <v>99</v>
      </c>
      <c r="F1274">
        <v>4000</v>
      </c>
      <c r="G1274" t="s">
        <v>25</v>
      </c>
      <c r="H1274" t="s">
        <v>3390</v>
      </c>
      <c r="I1274" t="s">
        <v>71</v>
      </c>
      <c r="J1274">
        <v>36100</v>
      </c>
      <c r="K1274" t="s">
        <v>3</v>
      </c>
      <c r="L1274" t="s">
        <v>3391</v>
      </c>
      <c r="M1274" t="s">
        <v>3</v>
      </c>
      <c r="N1274" t="s">
        <v>75</v>
      </c>
      <c r="O1274" s="25" t="s">
        <v>3830</v>
      </c>
      <c r="P1274" s="25">
        <v>1</v>
      </c>
      <c r="Q1274" s="25">
        <v>36100</v>
      </c>
      <c r="R1274" s="25" t="s">
        <v>26</v>
      </c>
      <c r="S1274" s="25" t="s">
        <v>26</v>
      </c>
      <c r="T1274" s="25">
        <f t="shared" si="19"/>
        <v>36100</v>
      </c>
    </row>
    <row r="1275" spans="1:20">
      <c r="A1275" t="s">
        <v>3392</v>
      </c>
      <c r="B1275">
        <v>45921</v>
      </c>
      <c r="C1275" t="s">
        <v>93</v>
      </c>
      <c r="D1275" t="s">
        <v>94</v>
      </c>
      <c r="E1275" t="s">
        <v>103</v>
      </c>
      <c r="F1275">
        <v>4000</v>
      </c>
      <c r="G1275" t="s">
        <v>25</v>
      </c>
      <c r="H1275" t="s">
        <v>3393</v>
      </c>
      <c r="I1275" t="s">
        <v>71</v>
      </c>
      <c r="J1275">
        <v>35600</v>
      </c>
      <c r="K1275" t="s">
        <v>3</v>
      </c>
      <c r="L1275" t="s">
        <v>3394</v>
      </c>
      <c r="M1275" t="s">
        <v>3</v>
      </c>
      <c r="N1275" t="s">
        <v>75</v>
      </c>
      <c r="O1275" s="25" t="s">
        <v>3830</v>
      </c>
      <c r="P1275" s="25">
        <v>1</v>
      </c>
      <c r="Q1275" s="25">
        <v>35600</v>
      </c>
      <c r="R1275" s="25" t="s">
        <v>26</v>
      </c>
      <c r="S1275" s="25" t="s">
        <v>26</v>
      </c>
      <c r="T1275" s="25">
        <f t="shared" si="19"/>
        <v>35600</v>
      </c>
    </row>
    <row r="1276" spans="1:20">
      <c r="A1276" t="s">
        <v>3395</v>
      </c>
      <c r="B1276">
        <v>45921</v>
      </c>
      <c r="C1276" t="s">
        <v>93</v>
      </c>
      <c r="D1276" t="s">
        <v>94</v>
      </c>
      <c r="E1276" t="s">
        <v>160</v>
      </c>
      <c r="F1276">
        <v>4000</v>
      </c>
      <c r="G1276" t="s">
        <v>25</v>
      </c>
      <c r="H1276" t="s">
        <v>3396</v>
      </c>
      <c r="I1276" t="s">
        <v>71</v>
      </c>
      <c r="J1276">
        <v>39200</v>
      </c>
      <c r="K1276" t="s">
        <v>3</v>
      </c>
      <c r="L1276" t="s">
        <v>3394</v>
      </c>
      <c r="M1276" t="s">
        <v>3</v>
      </c>
      <c r="N1276" t="s">
        <v>75</v>
      </c>
      <c r="O1276" s="25" t="s">
        <v>3830</v>
      </c>
      <c r="P1276" s="25">
        <v>1</v>
      </c>
      <c r="Q1276" s="25">
        <v>39200</v>
      </c>
      <c r="R1276" s="25" t="s">
        <v>26</v>
      </c>
      <c r="S1276" s="25" t="s">
        <v>26</v>
      </c>
      <c r="T1276" s="25">
        <f t="shared" si="19"/>
        <v>39200</v>
      </c>
    </row>
    <row r="1277" spans="1:20">
      <c r="A1277" t="s">
        <v>3397</v>
      </c>
      <c r="B1277">
        <v>45921</v>
      </c>
      <c r="C1277" t="s">
        <v>93</v>
      </c>
      <c r="D1277" t="s">
        <v>94</v>
      </c>
      <c r="E1277" t="s">
        <v>107</v>
      </c>
      <c r="F1277">
        <v>4000</v>
      </c>
      <c r="G1277" t="s">
        <v>25</v>
      </c>
      <c r="H1277" t="s">
        <v>3398</v>
      </c>
      <c r="I1277" t="s">
        <v>71</v>
      </c>
      <c r="J1277">
        <v>39800</v>
      </c>
      <c r="K1277" t="s">
        <v>3</v>
      </c>
      <c r="L1277" t="s">
        <v>3399</v>
      </c>
      <c r="M1277" t="s">
        <v>3</v>
      </c>
      <c r="N1277" t="s">
        <v>75</v>
      </c>
      <c r="O1277" s="25" t="s">
        <v>3830</v>
      </c>
      <c r="P1277" s="25">
        <v>1</v>
      </c>
      <c r="Q1277" s="25">
        <v>39800</v>
      </c>
      <c r="R1277" s="25" t="s">
        <v>26</v>
      </c>
      <c r="S1277" s="25" t="s">
        <v>26</v>
      </c>
      <c r="T1277" s="25">
        <f t="shared" si="19"/>
        <v>39800</v>
      </c>
    </row>
    <row r="1278" spans="1:20">
      <c r="A1278" t="s">
        <v>3400</v>
      </c>
      <c r="B1278">
        <v>45921</v>
      </c>
      <c r="C1278" t="s">
        <v>93</v>
      </c>
      <c r="D1278" t="s">
        <v>111</v>
      </c>
      <c r="E1278" t="s">
        <v>112</v>
      </c>
      <c r="F1278">
        <v>4000</v>
      </c>
      <c r="G1278" t="s">
        <v>25</v>
      </c>
      <c r="H1278" t="s">
        <v>3401</v>
      </c>
      <c r="I1278" t="s">
        <v>71</v>
      </c>
      <c r="J1278">
        <v>63600</v>
      </c>
      <c r="K1278" t="s">
        <v>3</v>
      </c>
      <c r="L1278" t="s">
        <v>3402</v>
      </c>
      <c r="M1278" t="s">
        <v>3</v>
      </c>
      <c r="N1278" t="s">
        <v>75</v>
      </c>
      <c r="O1278" s="25" t="s">
        <v>3830</v>
      </c>
      <c r="P1278" s="25">
        <v>1</v>
      </c>
      <c r="Q1278" s="25">
        <v>63600</v>
      </c>
      <c r="R1278" s="25" t="s">
        <v>26</v>
      </c>
      <c r="S1278" s="25" t="s">
        <v>26</v>
      </c>
      <c r="T1278" s="25">
        <f t="shared" si="19"/>
        <v>63600</v>
      </c>
    </row>
    <row r="1279" spans="1:20">
      <c r="A1279" t="s">
        <v>3403</v>
      </c>
      <c r="B1279">
        <v>45921</v>
      </c>
      <c r="C1279" t="s">
        <v>93</v>
      </c>
      <c r="D1279" t="s">
        <v>111</v>
      </c>
      <c r="E1279" t="s">
        <v>116</v>
      </c>
      <c r="F1279">
        <v>4000</v>
      </c>
      <c r="G1279" t="s">
        <v>25</v>
      </c>
      <c r="H1279" t="s">
        <v>3404</v>
      </c>
      <c r="I1279" t="s">
        <v>71</v>
      </c>
      <c r="J1279">
        <v>59700</v>
      </c>
      <c r="K1279" t="s">
        <v>3</v>
      </c>
      <c r="L1279" t="s">
        <v>3402</v>
      </c>
      <c r="M1279" t="s">
        <v>3</v>
      </c>
      <c r="N1279" t="s">
        <v>75</v>
      </c>
      <c r="O1279" s="25" t="s">
        <v>3830</v>
      </c>
      <c r="P1279" s="25">
        <v>1</v>
      </c>
      <c r="Q1279" s="25">
        <v>59700</v>
      </c>
      <c r="R1279" s="25" t="s">
        <v>26</v>
      </c>
      <c r="S1279" s="25" t="s">
        <v>26</v>
      </c>
      <c r="T1279" s="25">
        <f t="shared" si="19"/>
        <v>59700</v>
      </c>
    </row>
    <row r="1280" spans="1:20">
      <c r="A1280" t="s">
        <v>3405</v>
      </c>
      <c r="B1280">
        <v>45921</v>
      </c>
      <c r="C1280" t="s">
        <v>93</v>
      </c>
      <c r="D1280" t="s">
        <v>111</v>
      </c>
      <c r="E1280" t="s">
        <v>119</v>
      </c>
      <c r="F1280">
        <v>4000</v>
      </c>
      <c r="G1280" t="s">
        <v>25</v>
      </c>
      <c r="H1280" t="s">
        <v>3406</v>
      </c>
      <c r="I1280" t="s">
        <v>71</v>
      </c>
      <c r="J1280">
        <v>59300</v>
      </c>
      <c r="K1280" t="s">
        <v>3</v>
      </c>
      <c r="L1280" t="s">
        <v>3402</v>
      </c>
      <c r="M1280" t="s">
        <v>3</v>
      </c>
      <c r="N1280" t="s">
        <v>75</v>
      </c>
      <c r="O1280" s="25" t="s">
        <v>3830</v>
      </c>
      <c r="P1280" s="25">
        <v>1</v>
      </c>
      <c r="Q1280" s="25">
        <v>59300</v>
      </c>
      <c r="R1280" s="25" t="s">
        <v>26</v>
      </c>
      <c r="S1280" s="25" t="s">
        <v>26</v>
      </c>
      <c r="T1280" s="25">
        <f t="shared" si="19"/>
        <v>59300</v>
      </c>
    </row>
    <row r="1281" spans="1:20">
      <c r="A1281" t="s">
        <v>3407</v>
      </c>
      <c r="B1281">
        <v>45921</v>
      </c>
      <c r="C1281" t="s">
        <v>93</v>
      </c>
      <c r="D1281" t="s">
        <v>111</v>
      </c>
      <c r="E1281" t="s">
        <v>170</v>
      </c>
      <c r="F1281">
        <v>4000</v>
      </c>
      <c r="G1281" t="s">
        <v>25</v>
      </c>
      <c r="H1281" t="s">
        <v>3408</v>
      </c>
      <c r="I1281" t="s">
        <v>71</v>
      </c>
      <c r="J1281">
        <v>61500</v>
      </c>
      <c r="K1281" t="s">
        <v>3</v>
      </c>
      <c r="L1281" t="s">
        <v>3402</v>
      </c>
      <c r="M1281" t="s">
        <v>3</v>
      </c>
      <c r="N1281" t="s">
        <v>75</v>
      </c>
      <c r="O1281" s="25" t="s">
        <v>3830</v>
      </c>
      <c r="P1281" s="25">
        <v>1</v>
      </c>
      <c r="Q1281" s="25">
        <v>61500</v>
      </c>
      <c r="R1281" s="25" t="s">
        <v>26</v>
      </c>
      <c r="S1281" s="25" t="s">
        <v>26</v>
      </c>
      <c r="T1281" s="25">
        <f t="shared" si="19"/>
        <v>61500</v>
      </c>
    </row>
    <row r="1282" spans="1:20">
      <c r="A1282" t="s">
        <v>3409</v>
      </c>
      <c r="B1282">
        <v>45921</v>
      </c>
      <c r="C1282" t="s">
        <v>93</v>
      </c>
      <c r="D1282" t="s">
        <v>111</v>
      </c>
      <c r="E1282" t="s">
        <v>122</v>
      </c>
      <c r="F1282">
        <v>4000</v>
      </c>
      <c r="G1282" t="s">
        <v>25</v>
      </c>
      <c r="H1282" t="s">
        <v>3410</v>
      </c>
      <c r="I1282" t="s">
        <v>71</v>
      </c>
      <c r="J1282">
        <v>59800</v>
      </c>
      <c r="K1282" t="s">
        <v>3</v>
      </c>
      <c r="L1282" t="s">
        <v>3411</v>
      </c>
      <c r="M1282" t="s">
        <v>3</v>
      </c>
      <c r="N1282" t="s">
        <v>75</v>
      </c>
      <c r="O1282" s="25" t="s">
        <v>3830</v>
      </c>
      <c r="P1282" s="25">
        <v>1</v>
      </c>
      <c r="Q1282" s="25">
        <v>59800</v>
      </c>
      <c r="R1282" s="25" t="s">
        <v>26</v>
      </c>
      <c r="S1282" s="25" t="s">
        <v>26</v>
      </c>
      <c r="T1282" s="25">
        <f t="shared" ref="T1282:T1345" si="20">IF(AND(S1282="Revenue",G1282&lt;&gt;"Refunds &amp; Chargebacks"),ABS(Q1282),-ABS(Q1282))</f>
        <v>59800</v>
      </c>
    </row>
    <row r="1283" spans="1:20">
      <c r="A1283" t="s">
        <v>3412</v>
      </c>
      <c r="B1283">
        <v>45921</v>
      </c>
      <c r="C1283" t="s">
        <v>126</v>
      </c>
      <c r="D1283" t="s">
        <v>88</v>
      </c>
      <c r="E1283" t="s">
        <v>127</v>
      </c>
      <c r="F1283">
        <v>4020</v>
      </c>
      <c r="G1283" t="s">
        <v>30</v>
      </c>
      <c r="H1283" t="s">
        <v>3413</v>
      </c>
      <c r="I1283" t="s">
        <v>72</v>
      </c>
      <c r="J1283">
        <v>34.33</v>
      </c>
      <c r="K1283" t="s">
        <v>129</v>
      </c>
      <c r="L1283" t="s">
        <v>3414</v>
      </c>
      <c r="M1283" t="s">
        <v>3</v>
      </c>
      <c r="N1283" t="s">
        <v>75</v>
      </c>
      <c r="O1283" s="25" t="s">
        <v>3831</v>
      </c>
      <c r="P1283" s="25">
        <v>1611</v>
      </c>
      <c r="Q1283" s="25">
        <v>55305.63</v>
      </c>
      <c r="R1283" s="25" t="s">
        <v>26</v>
      </c>
      <c r="S1283" s="25" t="s">
        <v>26</v>
      </c>
      <c r="T1283" s="25">
        <f t="shared" si="20"/>
        <v>55305.63</v>
      </c>
    </row>
    <row r="1284" spans="1:20">
      <c r="A1284" t="s">
        <v>3415</v>
      </c>
      <c r="B1284">
        <v>45921</v>
      </c>
      <c r="C1284" t="s">
        <v>126</v>
      </c>
      <c r="D1284" t="s">
        <v>88</v>
      </c>
      <c r="E1284" t="s">
        <v>132</v>
      </c>
      <c r="F1284">
        <v>4020</v>
      </c>
      <c r="G1284" t="s">
        <v>30</v>
      </c>
      <c r="H1284" t="s">
        <v>3416</v>
      </c>
      <c r="I1284" t="s">
        <v>72</v>
      </c>
      <c r="J1284">
        <v>31.72</v>
      </c>
      <c r="K1284" t="s">
        <v>134</v>
      </c>
      <c r="L1284" t="s">
        <v>3414</v>
      </c>
      <c r="M1284" t="s">
        <v>3</v>
      </c>
      <c r="N1284" t="s">
        <v>75</v>
      </c>
      <c r="O1284" s="25" t="s">
        <v>3831</v>
      </c>
      <c r="P1284" s="25">
        <v>1611</v>
      </c>
      <c r="Q1284" s="25">
        <v>51100.92</v>
      </c>
      <c r="R1284" s="25" t="s">
        <v>26</v>
      </c>
      <c r="S1284" s="25" t="s">
        <v>26</v>
      </c>
      <c r="T1284" s="25">
        <f t="shared" si="20"/>
        <v>51100.92</v>
      </c>
    </row>
    <row r="1285" spans="1:20">
      <c r="A1285" t="s">
        <v>3417</v>
      </c>
      <c r="B1285">
        <v>45921</v>
      </c>
      <c r="C1285" t="s">
        <v>126</v>
      </c>
      <c r="D1285" t="s">
        <v>88</v>
      </c>
      <c r="E1285" t="s">
        <v>136</v>
      </c>
      <c r="F1285">
        <v>4020</v>
      </c>
      <c r="G1285" t="s">
        <v>30</v>
      </c>
      <c r="H1285" t="s">
        <v>3418</v>
      </c>
      <c r="I1285" t="s">
        <v>72</v>
      </c>
      <c r="J1285">
        <v>35.01</v>
      </c>
      <c r="K1285" t="s">
        <v>138</v>
      </c>
      <c r="L1285" t="s">
        <v>3414</v>
      </c>
      <c r="M1285" t="s">
        <v>3</v>
      </c>
      <c r="N1285" t="s">
        <v>75</v>
      </c>
      <c r="O1285" s="25" t="s">
        <v>3831</v>
      </c>
      <c r="P1285" s="25">
        <v>1611</v>
      </c>
      <c r="Q1285" s="25">
        <v>56401.109999999993</v>
      </c>
      <c r="R1285" s="25" t="s">
        <v>26</v>
      </c>
      <c r="S1285" s="25" t="s">
        <v>26</v>
      </c>
      <c r="T1285" s="25">
        <f t="shared" si="20"/>
        <v>56401.109999999993</v>
      </c>
    </row>
    <row r="1286" spans="1:20">
      <c r="A1286" t="s">
        <v>3419</v>
      </c>
      <c r="B1286">
        <v>45921</v>
      </c>
      <c r="C1286" t="s">
        <v>126</v>
      </c>
      <c r="D1286" t="s">
        <v>88</v>
      </c>
      <c r="E1286" t="s">
        <v>140</v>
      </c>
      <c r="F1286">
        <v>4020</v>
      </c>
      <c r="G1286" t="s">
        <v>30</v>
      </c>
      <c r="H1286" t="s">
        <v>3420</v>
      </c>
      <c r="I1286" t="s">
        <v>71</v>
      </c>
      <c r="J1286">
        <v>59600</v>
      </c>
      <c r="K1286" t="s">
        <v>3</v>
      </c>
      <c r="L1286" t="s">
        <v>3421</v>
      </c>
      <c r="M1286" t="s">
        <v>3</v>
      </c>
      <c r="N1286" t="s">
        <v>75</v>
      </c>
      <c r="O1286" s="25" t="s">
        <v>3830</v>
      </c>
      <c r="P1286" s="25">
        <v>1</v>
      </c>
      <c r="Q1286" s="25">
        <v>59600</v>
      </c>
      <c r="R1286" s="25" t="s">
        <v>26</v>
      </c>
      <c r="S1286" s="25" t="s">
        <v>26</v>
      </c>
      <c r="T1286" s="25">
        <f t="shared" si="20"/>
        <v>59600</v>
      </c>
    </row>
    <row r="1287" spans="1:20">
      <c r="A1287" t="s">
        <v>3422</v>
      </c>
      <c r="B1287">
        <v>45921</v>
      </c>
      <c r="C1287" t="s">
        <v>93</v>
      </c>
      <c r="D1287" t="s">
        <v>111</v>
      </c>
      <c r="E1287" t="s">
        <v>112</v>
      </c>
      <c r="F1287">
        <v>4900</v>
      </c>
      <c r="G1287" t="s">
        <v>32</v>
      </c>
      <c r="H1287" t="s">
        <v>3423</v>
      </c>
      <c r="I1287" t="s">
        <v>71</v>
      </c>
      <c r="J1287">
        <v>128143</v>
      </c>
      <c r="K1287" t="s">
        <v>3</v>
      </c>
      <c r="L1287" t="s">
        <v>3424</v>
      </c>
      <c r="M1287" t="s">
        <v>237</v>
      </c>
      <c r="N1287" t="s">
        <v>75</v>
      </c>
      <c r="O1287" s="25" t="s">
        <v>3830</v>
      </c>
      <c r="P1287" s="25">
        <v>1</v>
      </c>
      <c r="Q1287" s="25">
        <v>128143</v>
      </c>
      <c r="R1287" s="25" t="s">
        <v>26</v>
      </c>
      <c r="S1287" s="25" t="s">
        <v>26</v>
      </c>
      <c r="T1287" s="25">
        <f t="shared" si="20"/>
        <v>-128143</v>
      </c>
    </row>
    <row r="1288" spans="1:20">
      <c r="A1288" t="s">
        <v>3425</v>
      </c>
      <c r="B1288">
        <v>45921</v>
      </c>
      <c r="C1288" t="s">
        <v>93</v>
      </c>
      <c r="D1288" t="s">
        <v>111</v>
      </c>
      <c r="E1288" t="s">
        <v>112</v>
      </c>
      <c r="F1288">
        <v>4900</v>
      </c>
      <c r="G1288" t="s">
        <v>32</v>
      </c>
      <c r="H1288" t="s">
        <v>3426</v>
      </c>
      <c r="I1288" t="s">
        <v>71</v>
      </c>
      <c r="J1288">
        <v>74452</v>
      </c>
      <c r="K1288" t="s">
        <v>3</v>
      </c>
      <c r="L1288" t="s">
        <v>3427</v>
      </c>
      <c r="M1288" t="s">
        <v>237</v>
      </c>
      <c r="N1288" t="s">
        <v>75</v>
      </c>
      <c r="O1288" s="25" t="s">
        <v>3830</v>
      </c>
      <c r="P1288" s="25">
        <v>1</v>
      </c>
      <c r="Q1288" s="25">
        <v>74452</v>
      </c>
      <c r="R1288" s="25" t="s">
        <v>26</v>
      </c>
      <c r="S1288" s="25" t="s">
        <v>26</v>
      </c>
      <c r="T1288" s="25">
        <f t="shared" si="20"/>
        <v>-74452</v>
      </c>
    </row>
    <row r="1289" spans="1:20">
      <c r="A1289" t="s">
        <v>3428</v>
      </c>
      <c r="B1289">
        <v>45921</v>
      </c>
      <c r="C1289" t="s">
        <v>87</v>
      </c>
      <c r="D1289" t="s">
        <v>94</v>
      </c>
      <c r="E1289" t="s">
        <v>3</v>
      </c>
      <c r="F1289">
        <v>5000</v>
      </c>
      <c r="G1289" t="s">
        <v>34</v>
      </c>
      <c r="H1289" t="s">
        <v>2691</v>
      </c>
      <c r="I1289" t="s">
        <v>71</v>
      </c>
      <c r="J1289">
        <v>-697000</v>
      </c>
      <c r="K1289" t="s">
        <v>316</v>
      </c>
      <c r="L1289" t="s">
        <v>3429</v>
      </c>
      <c r="M1289" t="s">
        <v>3</v>
      </c>
      <c r="N1289" t="s">
        <v>75</v>
      </c>
      <c r="O1289" s="25" t="s">
        <v>3830</v>
      </c>
      <c r="P1289" s="25">
        <v>1</v>
      </c>
      <c r="Q1289" s="25">
        <v>-697000</v>
      </c>
      <c r="R1289" s="25" t="s">
        <v>35</v>
      </c>
      <c r="S1289" s="25" t="s">
        <v>35</v>
      </c>
      <c r="T1289" s="25">
        <f t="shared" si="20"/>
        <v>-697000</v>
      </c>
    </row>
    <row r="1290" spans="1:20">
      <c r="A1290" t="s">
        <v>3430</v>
      </c>
      <c r="B1290">
        <v>45922</v>
      </c>
      <c r="C1290" t="s">
        <v>93</v>
      </c>
      <c r="D1290" t="s">
        <v>94</v>
      </c>
      <c r="E1290" t="s">
        <v>95</v>
      </c>
      <c r="F1290">
        <v>4000</v>
      </c>
      <c r="G1290" t="s">
        <v>25</v>
      </c>
      <c r="H1290" t="s">
        <v>3431</v>
      </c>
      <c r="I1290" t="s">
        <v>71</v>
      </c>
      <c r="J1290">
        <v>32000</v>
      </c>
      <c r="K1290" t="s">
        <v>3</v>
      </c>
      <c r="L1290" t="s">
        <v>3432</v>
      </c>
      <c r="M1290" t="s">
        <v>3</v>
      </c>
      <c r="N1290" t="s">
        <v>75</v>
      </c>
      <c r="O1290" s="25" t="s">
        <v>3830</v>
      </c>
      <c r="P1290" s="25">
        <v>1</v>
      </c>
      <c r="Q1290" s="25">
        <v>32000</v>
      </c>
      <c r="R1290" s="25" t="s">
        <v>26</v>
      </c>
      <c r="S1290" s="25" t="s">
        <v>26</v>
      </c>
      <c r="T1290" s="25">
        <f t="shared" si="20"/>
        <v>32000</v>
      </c>
    </row>
    <row r="1291" spans="1:20">
      <c r="A1291" t="s">
        <v>3433</v>
      </c>
      <c r="B1291">
        <v>45922</v>
      </c>
      <c r="C1291" t="s">
        <v>93</v>
      </c>
      <c r="D1291" t="s">
        <v>94</v>
      </c>
      <c r="E1291" t="s">
        <v>99</v>
      </c>
      <c r="F1291">
        <v>4000</v>
      </c>
      <c r="G1291" t="s">
        <v>25</v>
      </c>
      <c r="H1291" t="s">
        <v>3434</v>
      </c>
      <c r="I1291" t="s">
        <v>71</v>
      </c>
      <c r="J1291">
        <v>29300</v>
      </c>
      <c r="K1291" t="s">
        <v>3</v>
      </c>
      <c r="L1291" t="s">
        <v>3435</v>
      </c>
      <c r="M1291" t="s">
        <v>3</v>
      </c>
      <c r="N1291" t="s">
        <v>75</v>
      </c>
      <c r="O1291" s="25" t="s">
        <v>3830</v>
      </c>
      <c r="P1291" s="25">
        <v>1</v>
      </c>
      <c r="Q1291" s="25">
        <v>29300</v>
      </c>
      <c r="R1291" s="25" t="s">
        <v>26</v>
      </c>
      <c r="S1291" s="25" t="s">
        <v>26</v>
      </c>
      <c r="T1291" s="25">
        <f t="shared" si="20"/>
        <v>29300</v>
      </c>
    </row>
    <row r="1292" spans="1:20">
      <c r="A1292" t="s">
        <v>3436</v>
      </c>
      <c r="B1292">
        <v>45922</v>
      </c>
      <c r="C1292" t="s">
        <v>93</v>
      </c>
      <c r="D1292" t="s">
        <v>94</v>
      </c>
      <c r="E1292" t="s">
        <v>103</v>
      </c>
      <c r="F1292">
        <v>4000</v>
      </c>
      <c r="G1292" t="s">
        <v>25</v>
      </c>
      <c r="H1292" t="s">
        <v>3437</v>
      </c>
      <c r="I1292" t="s">
        <v>71</v>
      </c>
      <c r="J1292">
        <v>33400</v>
      </c>
      <c r="K1292" t="s">
        <v>3</v>
      </c>
      <c r="L1292" t="s">
        <v>3438</v>
      </c>
      <c r="M1292" t="s">
        <v>3</v>
      </c>
      <c r="N1292" t="s">
        <v>75</v>
      </c>
      <c r="O1292" s="25" t="s">
        <v>3830</v>
      </c>
      <c r="P1292" s="25">
        <v>1</v>
      </c>
      <c r="Q1292" s="25">
        <v>33400</v>
      </c>
      <c r="R1292" s="25" t="s">
        <v>26</v>
      </c>
      <c r="S1292" s="25" t="s">
        <v>26</v>
      </c>
      <c r="T1292" s="25">
        <f t="shared" si="20"/>
        <v>33400</v>
      </c>
    </row>
    <row r="1293" spans="1:20">
      <c r="A1293" t="s">
        <v>3439</v>
      </c>
      <c r="B1293">
        <v>45922</v>
      </c>
      <c r="C1293" t="s">
        <v>93</v>
      </c>
      <c r="D1293" t="s">
        <v>94</v>
      </c>
      <c r="E1293" t="s">
        <v>160</v>
      </c>
      <c r="F1293">
        <v>4000</v>
      </c>
      <c r="G1293" t="s">
        <v>25</v>
      </c>
      <c r="H1293" t="s">
        <v>3440</v>
      </c>
      <c r="I1293" t="s">
        <v>71</v>
      </c>
      <c r="J1293">
        <v>28200</v>
      </c>
      <c r="K1293" t="s">
        <v>3</v>
      </c>
      <c r="L1293" t="s">
        <v>3438</v>
      </c>
      <c r="M1293" t="s">
        <v>3</v>
      </c>
      <c r="N1293" t="s">
        <v>75</v>
      </c>
      <c r="O1293" s="25" t="s">
        <v>3830</v>
      </c>
      <c r="P1293" s="25">
        <v>1</v>
      </c>
      <c r="Q1293" s="25">
        <v>28200</v>
      </c>
      <c r="R1293" s="25" t="s">
        <v>26</v>
      </c>
      <c r="S1293" s="25" t="s">
        <v>26</v>
      </c>
      <c r="T1293" s="25">
        <f t="shared" si="20"/>
        <v>28200</v>
      </c>
    </row>
    <row r="1294" spans="1:20">
      <c r="A1294" t="s">
        <v>3441</v>
      </c>
      <c r="B1294">
        <v>45922</v>
      </c>
      <c r="C1294" t="s">
        <v>93</v>
      </c>
      <c r="D1294" t="s">
        <v>94</v>
      </c>
      <c r="E1294" t="s">
        <v>107</v>
      </c>
      <c r="F1294">
        <v>4000</v>
      </c>
      <c r="G1294" t="s">
        <v>25</v>
      </c>
      <c r="H1294" t="s">
        <v>3442</v>
      </c>
      <c r="I1294" t="s">
        <v>71</v>
      </c>
      <c r="J1294">
        <v>33800</v>
      </c>
      <c r="K1294" t="s">
        <v>3</v>
      </c>
      <c r="L1294" t="s">
        <v>3443</v>
      </c>
      <c r="M1294" t="s">
        <v>3</v>
      </c>
      <c r="N1294" t="s">
        <v>75</v>
      </c>
      <c r="O1294" s="25" t="s">
        <v>3830</v>
      </c>
      <c r="P1294" s="25">
        <v>1</v>
      </c>
      <c r="Q1294" s="25">
        <v>33800</v>
      </c>
      <c r="R1294" s="25" t="s">
        <v>26</v>
      </c>
      <c r="S1294" s="25" t="s">
        <v>26</v>
      </c>
      <c r="T1294" s="25">
        <f t="shared" si="20"/>
        <v>33800</v>
      </c>
    </row>
    <row r="1295" spans="1:20">
      <c r="A1295" t="s">
        <v>3444</v>
      </c>
      <c r="B1295">
        <v>45922</v>
      </c>
      <c r="C1295" t="s">
        <v>93</v>
      </c>
      <c r="D1295" t="s">
        <v>111</v>
      </c>
      <c r="E1295" t="s">
        <v>112</v>
      </c>
      <c r="F1295">
        <v>4000</v>
      </c>
      <c r="G1295" t="s">
        <v>25</v>
      </c>
      <c r="H1295" t="s">
        <v>3445</v>
      </c>
      <c r="I1295" t="s">
        <v>71</v>
      </c>
      <c r="J1295">
        <v>49200</v>
      </c>
      <c r="K1295" t="s">
        <v>3</v>
      </c>
      <c r="L1295" t="s">
        <v>3446</v>
      </c>
      <c r="M1295" t="s">
        <v>3</v>
      </c>
      <c r="N1295" t="s">
        <v>75</v>
      </c>
      <c r="O1295" s="25" t="s">
        <v>3830</v>
      </c>
      <c r="P1295" s="25">
        <v>1</v>
      </c>
      <c r="Q1295" s="25">
        <v>49200</v>
      </c>
      <c r="R1295" s="25" t="s">
        <v>26</v>
      </c>
      <c r="S1295" s="25" t="s">
        <v>26</v>
      </c>
      <c r="T1295" s="25">
        <f t="shared" si="20"/>
        <v>49200</v>
      </c>
    </row>
    <row r="1296" spans="1:20">
      <c r="A1296" t="s">
        <v>3447</v>
      </c>
      <c r="B1296">
        <v>45922</v>
      </c>
      <c r="C1296" t="s">
        <v>93</v>
      </c>
      <c r="D1296" t="s">
        <v>111</v>
      </c>
      <c r="E1296" t="s">
        <v>116</v>
      </c>
      <c r="F1296">
        <v>4000</v>
      </c>
      <c r="G1296" t="s">
        <v>25</v>
      </c>
      <c r="H1296" t="s">
        <v>3448</v>
      </c>
      <c r="I1296" t="s">
        <v>71</v>
      </c>
      <c r="J1296">
        <v>53000</v>
      </c>
      <c r="K1296" t="s">
        <v>3</v>
      </c>
      <c r="L1296" t="s">
        <v>3446</v>
      </c>
      <c r="M1296" t="s">
        <v>3</v>
      </c>
      <c r="N1296" t="s">
        <v>75</v>
      </c>
      <c r="O1296" s="25" t="s">
        <v>3830</v>
      </c>
      <c r="P1296" s="25">
        <v>1</v>
      </c>
      <c r="Q1296" s="25">
        <v>53000</v>
      </c>
      <c r="R1296" s="25" t="s">
        <v>26</v>
      </c>
      <c r="S1296" s="25" t="s">
        <v>26</v>
      </c>
      <c r="T1296" s="25">
        <f t="shared" si="20"/>
        <v>53000</v>
      </c>
    </row>
    <row r="1297" spans="1:20">
      <c r="A1297" t="s">
        <v>3449</v>
      </c>
      <c r="B1297">
        <v>45922</v>
      </c>
      <c r="C1297" t="s">
        <v>93</v>
      </c>
      <c r="D1297" t="s">
        <v>111</v>
      </c>
      <c r="E1297" t="s">
        <v>119</v>
      </c>
      <c r="F1297">
        <v>4000</v>
      </c>
      <c r="G1297" t="s">
        <v>25</v>
      </c>
      <c r="H1297" t="s">
        <v>3450</v>
      </c>
      <c r="I1297" t="s">
        <v>71</v>
      </c>
      <c r="J1297">
        <v>52200</v>
      </c>
      <c r="K1297" t="s">
        <v>3</v>
      </c>
      <c r="L1297" t="s">
        <v>3446</v>
      </c>
      <c r="M1297" t="s">
        <v>3</v>
      </c>
      <c r="N1297" t="s">
        <v>75</v>
      </c>
      <c r="O1297" s="25" t="s">
        <v>3830</v>
      </c>
      <c r="P1297" s="25">
        <v>1</v>
      </c>
      <c r="Q1297" s="25">
        <v>52200</v>
      </c>
      <c r="R1297" s="25" t="s">
        <v>26</v>
      </c>
      <c r="S1297" s="25" t="s">
        <v>26</v>
      </c>
      <c r="T1297" s="25">
        <f t="shared" si="20"/>
        <v>52200</v>
      </c>
    </row>
    <row r="1298" spans="1:20">
      <c r="A1298" t="s">
        <v>3451</v>
      </c>
      <c r="B1298">
        <v>45922</v>
      </c>
      <c r="C1298" t="s">
        <v>93</v>
      </c>
      <c r="D1298" t="s">
        <v>111</v>
      </c>
      <c r="E1298" t="s">
        <v>170</v>
      </c>
      <c r="F1298">
        <v>4000</v>
      </c>
      <c r="G1298" t="s">
        <v>25</v>
      </c>
      <c r="H1298" t="s">
        <v>3452</v>
      </c>
      <c r="I1298" t="s">
        <v>71</v>
      </c>
      <c r="J1298">
        <v>51600</v>
      </c>
      <c r="K1298" t="s">
        <v>3</v>
      </c>
      <c r="L1298" t="s">
        <v>3446</v>
      </c>
      <c r="M1298" t="s">
        <v>3</v>
      </c>
      <c r="N1298" t="s">
        <v>75</v>
      </c>
      <c r="O1298" s="25" t="s">
        <v>3830</v>
      </c>
      <c r="P1298" s="25">
        <v>1</v>
      </c>
      <c r="Q1298" s="25">
        <v>51600</v>
      </c>
      <c r="R1298" s="25" t="s">
        <v>26</v>
      </c>
      <c r="S1298" s="25" t="s">
        <v>26</v>
      </c>
      <c r="T1298" s="25">
        <f t="shared" si="20"/>
        <v>51600</v>
      </c>
    </row>
    <row r="1299" spans="1:20">
      <c r="A1299" t="s">
        <v>3453</v>
      </c>
      <c r="B1299">
        <v>45922</v>
      </c>
      <c r="C1299" t="s">
        <v>93</v>
      </c>
      <c r="D1299" t="s">
        <v>111</v>
      </c>
      <c r="E1299" t="s">
        <v>122</v>
      </c>
      <c r="F1299">
        <v>4000</v>
      </c>
      <c r="G1299" t="s">
        <v>25</v>
      </c>
      <c r="H1299" t="s">
        <v>3454</v>
      </c>
      <c r="I1299" t="s">
        <v>71</v>
      </c>
      <c r="J1299">
        <v>49100</v>
      </c>
      <c r="K1299" t="s">
        <v>3</v>
      </c>
      <c r="L1299" t="s">
        <v>3455</v>
      </c>
      <c r="M1299" t="s">
        <v>3</v>
      </c>
      <c r="N1299" t="s">
        <v>75</v>
      </c>
      <c r="O1299" s="25" t="s">
        <v>3830</v>
      </c>
      <c r="P1299" s="25">
        <v>1</v>
      </c>
      <c r="Q1299" s="25">
        <v>49100</v>
      </c>
      <c r="R1299" s="25" t="s">
        <v>26</v>
      </c>
      <c r="S1299" s="25" t="s">
        <v>26</v>
      </c>
      <c r="T1299" s="25">
        <f t="shared" si="20"/>
        <v>49100</v>
      </c>
    </row>
    <row r="1300" spans="1:20">
      <c r="A1300" t="s">
        <v>3456</v>
      </c>
      <c r="B1300">
        <v>45922</v>
      </c>
      <c r="C1300" t="s">
        <v>126</v>
      </c>
      <c r="D1300" t="s">
        <v>88</v>
      </c>
      <c r="E1300" t="s">
        <v>127</v>
      </c>
      <c r="F1300">
        <v>4020</v>
      </c>
      <c r="G1300" t="s">
        <v>30</v>
      </c>
      <c r="H1300" t="s">
        <v>3457</v>
      </c>
      <c r="I1300" t="s">
        <v>71</v>
      </c>
      <c r="J1300">
        <v>55700</v>
      </c>
      <c r="K1300" t="s">
        <v>129</v>
      </c>
      <c r="L1300" t="s">
        <v>3458</v>
      </c>
      <c r="M1300" t="s">
        <v>3</v>
      </c>
      <c r="N1300" t="s">
        <v>75</v>
      </c>
      <c r="O1300" s="25" t="s">
        <v>3830</v>
      </c>
      <c r="P1300" s="25">
        <v>1</v>
      </c>
      <c r="Q1300" s="25">
        <v>55700</v>
      </c>
      <c r="R1300" s="25" t="s">
        <v>26</v>
      </c>
      <c r="S1300" s="25" t="s">
        <v>26</v>
      </c>
      <c r="T1300" s="25">
        <f t="shared" si="20"/>
        <v>55700</v>
      </c>
    </row>
    <row r="1301" spans="1:20">
      <c r="A1301" t="s">
        <v>3459</v>
      </c>
      <c r="B1301">
        <v>45922</v>
      </c>
      <c r="C1301" t="s">
        <v>126</v>
      </c>
      <c r="D1301" t="s">
        <v>88</v>
      </c>
      <c r="E1301" t="s">
        <v>132</v>
      </c>
      <c r="F1301">
        <v>4020</v>
      </c>
      <c r="G1301" t="s">
        <v>30</v>
      </c>
      <c r="H1301" t="s">
        <v>3460</v>
      </c>
      <c r="I1301" t="s">
        <v>71</v>
      </c>
      <c r="J1301">
        <v>54700</v>
      </c>
      <c r="K1301" t="s">
        <v>134</v>
      </c>
      <c r="L1301" t="s">
        <v>3458</v>
      </c>
      <c r="M1301" t="s">
        <v>3</v>
      </c>
      <c r="N1301" t="s">
        <v>75</v>
      </c>
      <c r="O1301" s="25" t="s">
        <v>3830</v>
      </c>
      <c r="P1301" s="25">
        <v>1</v>
      </c>
      <c r="Q1301" s="25">
        <v>54700</v>
      </c>
      <c r="R1301" s="25" t="s">
        <v>26</v>
      </c>
      <c r="S1301" s="25" t="s">
        <v>26</v>
      </c>
      <c r="T1301" s="25">
        <f t="shared" si="20"/>
        <v>54700</v>
      </c>
    </row>
    <row r="1302" spans="1:20">
      <c r="A1302" t="s">
        <v>3461</v>
      </c>
      <c r="B1302">
        <v>45922</v>
      </c>
      <c r="C1302" t="s">
        <v>126</v>
      </c>
      <c r="D1302" t="s">
        <v>88</v>
      </c>
      <c r="E1302" t="s">
        <v>136</v>
      </c>
      <c r="F1302">
        <v>4020</v>
      </c>
      <c r="G1302" t="s">
        <v>30</v>
      </c>
      <c r="H1302" t="s">
        <v>3462</v>
      </c>
      <c r="I1302" t="s">
        <v>72</v>
      </c>
      <c r="J1302">
        <v>32.340000000000003</v>
      </c>
      <c r="K1302" t="s">
        <v>138</v>
      </c>
      <c r="L1302" t="s">
        <v>3458</v>
      </c>
      <c r="M1302" t="s">
        <v>3</v>
      </c>
      <c r="N1302" t="s">
        <v>75</v>
      </c>
      <c r="O1302" s="25" t="s">
        <v>3831</v>
      </c>
      <c r="P1302" s="25">
        <v>1611</v>
      </c>
      <c r="Q1302" s="25">
        <v>52099.740000000005</v>
      </c>
      <c r="R1302" s="25" t="s">
        <v>26</v>
      </c>
      <c r="S1302" s="25" t="s">
        <v>26</v>
      </c>
      <c r="T1302" s="25">
        <f t="shared" si="20"/>
        <v>52099.740000000005</v>
      </c>
    </row>
    <row r="1303" spans="1:20">
      <c r="A1303" t="s">
        <v>3463</v>
      </c>
      <c r="B1303">
        <v>45922</v>
      </c>
      <c r="C1303" t="s">
        <v>126</v>
      </c>
      <c r="D1303" t="s">
        <v>88</v>
      </c>
      <c r="E1303" t="s">
        <v>140</v>
      </c>
      <c r="F1303">
        <v>4020</v>
      </c>
      <c r="G1303" t="s">
        <v>30</v>
      </c>
      <c r="H1303" t="s">
        <v>3464</v>
      </c>
      <c r="I1303" t="s">
        <v>71</v>
      </c>
      <c r="J1303">
        <v>57800</v>
      </c>
      <c r="K1303" t="s">
        <v>3</v>
      </c>
      <c r="L1303" t="s">
        <v>3465</v>
      </c>
      <c r="M1303" t="s">
        <v>3</v>
      </c>
      <c r="N1303" t="s">
        <v>75</v>
      </c>
      <c r="O1303" s="25" t="s">
        <v>3830</v>
      </c>
      <c r="P1303" s="25">
        <v>1</v>
      </c>
      <c r="Q1303" s="25">
        <v>57800</v>
      </c>
      <c r="R1303" s="25" t="s">
        <v>26</v>
      </c>
      <c r="S1303" s="25" t="s">
        <v>26</v>
      </c>
      <c r="T1303" s="25">
        <f t="shared" si="20"/>
        <v>57800</v>
      </c>
    </row>
    <row r="1304" spans="1:20">
      <c r="A1304" t="s">
        <v>3466</v>
      </c>
      <c r="B1304">
        <v>45922</v>
      </c>
      <c r="C1304" t="s">
        <v>87</v>
      </c>
      <c r="D1304" t="s">
        <v>94</v>
      </c>
      <c r="E1304" t="s">
        <v>3</v>
      </c>
      <c r="F1304">
        <v>5000</v>
      </c>
      <c r="G1304" t="s">
        <v>34</v>
      </c>
      <c r="H1304" t="s">
        <v>2691</v>
      </c>
      <c r="I1304" t="s">
        <v>71</v>
      </c>
      <c r="J1304">
        <v>-565000</v>
      </c>
      <c r="K1304" t="s">
        <v>316</v>
      </c>
      <c r="L1304" t="s">
        <v>3467</v>
      </c>
      <c r="M1304" t="s">
        <v>3</v>
      </c>
      <c r="N1304" t="s">
        <v>75</v>
      </c>
      <c r="O1304" s="25" t="s">
        <v>3830</v>
      </c>
      <c r="P1304" s="25">
        <v>1</v>
      </c>
      <c r="Q1304" s="25">
        <v>-565000</v>
      </c>
      <c r="R1304" s="25" t="s">
        <v>35</v>
      </c>
      <c r="S1304" s="25" t="s">
        <v>35</v>
      </c>
      <c r="T1304" s="25">
        <f t="shared" si="20"/>
        <v>-565000</v>
      </c>
    </row>
    <row r="1305" spans="1:20">
      <c r="A1305" t="s">
        <v>3468</v>
      </c>
      <c r="B1305">
        <v>45922</v>
      </c>
      <c r="C1305" t="s">
        <v>87</v>
      </c>
      <c r="D1305" t="s">
        <v>94</v>
      </c>
      <c r="E1305" t="s">
        <v>3</v>
      </c>
      <c r="F1305">
        <v>5020</v>
      </c>
      <c r="G1305" t="s">
        <v>39</v>
      </c>
      <c r="H1305" t="s">
        <v>2694</v>
      </c>
      <c r="I1305" t="s">
        <v>71</v>
      </c>
      <c r="J1305">
        <v>-159000</v>
      </c>
      <c r="K1305" t="s">
        <v>276</v>
      </c>
      <c r="L1305" t="s">
        <v>3469</v>
      </c>
      <c r="M1305" t="s">
        <v>3</v>
      </c>
      <c r="N1305" t="s">
        <v>75</v>
      </c>
      <c r="O1305" s="25" t="s">
        <v>3830</v>
      </c>
      <c r="P1305" s="25">
        <v>1</v>
      </c>
      <c r="Q1305" s="25">
        <v>-159000</v>
      </c>
      <c r="R1305" s="25" t="s">
        <v>35</v>
      </c>
      <c r="S1305" s="25" t="s">
        <v>35</v>
      </c>
      <c r="T1305" s="25">
        <f t="shared" si="20"/>
        <v>-159000</v>
      </c>
    </row>
    <row r="1306" spans="1:20">
      <c r="A1306" t="s">
        <v>3470</v>
      </c>
      <c r="B1306">
        <v>45922</v>
      </c>
      <c r="C1306" t="s">
        <v>87</v>
      </c>
      <c r="D1306" t="s">
        <v>94</v>
      </c>
      <c r="E1306" t="s">
        <v>3</v>
      </c>
      <c r="F1306">
        <v>5050</v>
      </c>
      <c r="G1306" t="s">
        <v>45</v>
      </c>
      <c r="H1306" t="s">
        <v>3073</v>
      </c>
      <c r="I1306" t="s">
        <v>71</v>
      </c>
      <c r="J1306">
        <v>-310000</v>
      </c>
      <c r="K1306" t="s">
        <v>668</v>
      </c>
      <c r="L1306" t="s">
        <v>3471</v>
      </c>
      <c r="M1306" t="s">
        <v>3</v>
      </c>
      <c r="N1306" t="s">
        <v>75</v>
      </c>
      <c r="O1306" s="25" t="s">
        <v>3830</v>
      </c>
      <c r="P1306" s="25">
        <v>1</v>
      </c>
      <c r="Q1306" s="25">
        <v>-310000</v>
      </c>
      <c r="R1306" s="25" t="s">
        <v>35</v>
      </c>
      <c r="S1306" s="25" t="s">
        <v>35</v>
      </c>
      <c r="T1306" s="25">
        <f t="shared" si="20"/>
        <v>-310000</v>
      </c>
    </row>
    <row r="1307" spans="1:20">
      <c r="A1307" t="s">
        <v>3476</v>
      </c>
      <c r="B1307">
        <v>45923</v>
      </c>
      <c r="C1307" t="s">
        <v>93</v>
      </c>
      <c r="D1307" t="s">
        <v>94</v>
      </c>
      <c r="E1307" t="s">
        <v>95</v>
      </c>
      <c r="F1307">
        <v>4000</v>
      </c>
      <c r="G1307" t="s">
        <v>25</v>
      </c>
      <c r="H1307" t="s">
        <v>3477</v>
      </c>
      <c r="I1307" t="s">
        <v>71</v>
      </c>
      <c r="J1307">
        <v>32300</v>
      </c>
      <c r="K1307" t="s">
        <v>3</v>
      </c>
      <c r="L1307" t="s">
        <v>3478</v>
      </c>
      <c r="M1307" t="s">
        <v>3</v>
      </c>
      <c r="N1307" t="s">
        <v>75</v>
      </c>
      <c r="O1307" s="25" t="s">
        <v>3830</v>
      </c>
      <c r="P1307" s="25">
        <v>1</v>
      </c>
      <c r="Q1307" s="25">
        <v>32300</v>
      </c>
      <c r="R1307" s="25" t="s">
        <v>26</v>
      </c>
      <c r="S1307" s="25" t="s">
        <v>26</v>
      </c>
      <c r="T1307" s="25">
        <f t="shared" si="20"/>
        <v>32300</v>
      </c>
    </row>
    <row r="1308" spans="1:20">
      <c r="A1308" t="s">
        <v>3479</v>
      </c>
      <c r="B1308">
        <v>45923</v>
      </c>
      <c r="C1308" t="s">
        <v>93</v>
      </c>
      <c r="D1308" t="s">
        <v>94</v>
      </c>
      <c r="E1308" t="s">
        <v>99</v>
      </c>
      <c r="F1308">
        <v>4000</v>
      </c>
      <c r="G1308" t="s">
        <v>25</v>
      </c>
      <c r="H1308" t="s">
        <v>3480</v>
      </c>
      <c r="I1308" t="s">
        <v>71</v>
      </c>
      <c r="J1308">
        <v>29600</v>
      </c>
      <c r="K1308" t="s">
        <v>3</v>
      </c>
      <c r="L1308" t="s">
        <v>3481</v>
      </c>
      <c r="M1308" t="s">
        <v>3</v>
      </c>
      <c r="N1308" t="s">
        <v>75</v>
      </c>
      <c r="O1308" s="25" t="s">
        <v>3830</v>
      </c>
      <c r="P1308" s="25">
        <v>1</v>
      </c>
      <c r="Q1308" s="25">
        <v>29600</v>
      </c>
      <c r="R1308" s="25" t="s">
        <v>26</v>
      </c>
      <c r="S1308" s="25" t="s">
        <v>26</v>
      </c>
      <c r="T1308" s="25">
        <f t="shared" si="20"/>
        <v>29600</v>
      </c>
    </row>
    <row r="1309" spans="1:20">
      <c r="A1309" t="s">
        <v>3482</v>
      </c>
      <c r="B1309">
        <v>45923</v>
      </c>
      <c r="C1309" t="s">
        <v>93</v>
      </c>
      <c r="D1309" t="s">
        <v>94</v>
      </c>
      <c r="E1309" t="s">
        <v>103</v>
      </c>
      <c r="F1309">
        <v>4000</v>
      </c>
      <c r="G1309" t="s">
        <v>25</v>
      </c>
      <c r="H1309" t="s">
        <v>3483</v>
      </c>
      <c r="I1309" t="s">
        <v>71</v>
      </c>
      <c r="J1309">
        <v>31300</v>
      </c>
      <c r="K1309" t="s">
        <v>3</v>
      </c>
      <c r="L1309" t="s">
        <v>3484</v>
      </c>
      <c r="M1309" t="s">
        <v>3</v>
      </c>
      <c r="N1309" t="s">
        <v>75</v>
      </c>
      <c r="O1309" s="25" t="s">
        <v>3830</v>
      </c>
      <c r="P1309" s="25">
        <v>1</v>
      </c>
      <c r="Q1309" s="25">
        <v>31300</v>
      </c>
      <c r="R1309" s="25" t="s">
        <v>26</v>
      </c>
      <c r="S1309" s="25" t="s">
        <v>26</v>
      </c>
      <c r="T1309" s="25">
        <f t="shared" si="20"/>
        <v>31300</v>
      </c>
    </row>
    <row r="1310" spans="1:20">
      <c r="A1310" t="s">
        <v>3485</v>
      </c>
      <c r="B1310">
        <v>45923</v>
      </c>
      <c r="C1310" t="s">
        <v>93</v>
      </c>
      <c r="D1310" t="s">
        <v>94</v>
      </c>
      <c r="E1310" t="s">
        <v>160</v>
      </c>
      <c r="F1310">
        <v>4000</v>
      </c>
      <c r="G1310" t="s">
        <v>25</v>
      </c>
      <c r="H1310" t="s">
        <v>3486</v>
      </c>
      <c r="I1310" t="s">
        <v>71</v>
      </c>
      <c r="J1310">
        <v>30600</v>
      </c>
      <c r="K1310" t="s">
        <v>3</v>
      </c>
      <c r="L1310" t="s">
        <v>3484</v>
      </c>
      <c r="M1310" t="s">
        <v>3</v>
      </c>
      <c r="N1310" t="s">
        <v>75</v>
      </c>
      <c r="O1310" s="25" t="s">
        <v>3830</v>
      </c>
      <c r="P1310" s="25">
        <v>1</v>
      </c>
      <c r="Q1310" s="25">
        <v>30600</v>
      </c>
      <c r="R1310" s="25" t="s">
        <v>26</v>
      </c>
      <c r="S1310" s="25" t="s">
        <v>26</v>
      </c>
      <c r="T1310" s="25">
        <f t="shared" si="20"/>
        <v>30600</v>
      </c>
    </row>
    <row r="1311" spans="1:20">
      <c r="A1311" t="s">
        <v>3487</v>
      </c>
      <c r="B1311">
        <v>45923</v>
      </c>
      <c r="C1311" t="s">
        <v>93</v>
      </c>
      <c r="D1311" t="s">
        <v>94</v>
      </c>
      <c r="E1311" t="s">
        <v>107</v>
      </c>
      <c r="F1311">
        <v>4000</v>
      </c>
      <c r="G1311" t="s">
        <v>25</v>
      </c>
      <c r="H1311" t="s">
        <v>3488</v>
      </c>
      <c r="I1311" t="s">
        <v>71</v>
      </c>
      <c r="J1311">
        <v>29600</v>
      </c>
      <c r="K1311" t="s">
        <v>3</v>
      </c>
      <c r="L1311" t="s">
        <v>3489</v>
      </c>
      <c r="M1311" t="s">
        <v>3</v>
      </c>
      <c r="N1311" t="s">
        <v>75</v>
      </c>
      <c r="O1311" s="25" t="s">
        <v>3830</v>
      </c>
      <c r="P1311" s="25">
        <v>1</v>
      </c>
      <c r="Q1311" s="25">
        <v>29600</v>
      </c>
      <c r="R1311" s="25" t="s">
        <v>26</v>
      </c>
      <c r="S1311" s="25" t="s">
        <v>26</v>
      </c>
      <c r="T1311" s="25">
        <f t="shared" si="20"/>
        <v>29600</v>
      </c>
    </row>
    <row r="1312" spans="1:20">
      <c r="A1312" t="s">
        <v>3490</v>
      </c>
      <c r="B1312">
        <v>45923</v>
      </c>
      <c r="C1312" t="s">
        <v>93</v>
      </c>
      <c r="D1312" t="s">
        <v>111</v>
      </c>
      <c r="E1312" t="s">
        <v>112</v>
      </c>
      <c r="F1312">
        <v>4000</v>
      </c>
      <c r="G1312" t="s">
        <v>25</v>
      </c>
      <c r="H1312" t="s">
        <v>3491</v>
      </c>
      <c r="I1312" t="s">
        <v>71</v>
      </c>
      <c r="J1312">
        <v>50000</v>
      </c>
      <c r="K1312" t="s">
        <v>3</v>
      </c>
      <c r="L1312" t="s">
        <v>3492</v>
      </c>
      <c r="M1312" t="s">
        <v>3</v>
      </c>
      <c r="N1312" t="s">
        <v>75</v>
      </c>
      <c r="O1312" s="25" t="s">
        <v>3830</v>
      </c>
      <c r="P1312" s="25">
        <v>1</v>
      </c>
      <c r="Q1312" s="25">
        <v>50000</v>
      </c>
      <c r="R1312" s="25" t="s">
        <v>26</v>
      </c>
      <c r="S1312" s="25" t="s">
        <v>26</v>
      </c>
      <c r="T1312" s="25">
        <f t="shared" si="20"/>
        <v>50000</v>
      </c>
    </row>
    <row r="1313" spans="1:20">
      <c r="A1313" t="s">
        <v>3493</v>
      </c>
      <c r="B1313">
        <v>45923</v>
      </c>
      <c r="C1313" t="s">
        <v>93</v>
      </c>
      <c r="D1313" t="s">
        <v>111</v>
      </c>
      <c r="E1313" t="s">
        <v>116</v>
      </c>
      <c r="F1313">
        <v>4000</v>
      </c>
      <c r="G1313" t="s">
        <v>25</v>
      </c>
      <c r="H1313" t="s">
        <v>3494</v>
      </c>
      <c r="I1313" t="s">
        <v>71</v>
      </c>
      <c r="J1313">
        <v>48100</v>
      </c>
      <c r="K1313" t="s">
        <v>3</v>
      </c>
      <c r="L1313" t="s">
        <v>3492</v>
      </c>
      <c r="M1313" t="s">
        <v>3</v>
      </c>
      <c r="N1313" t="s">
        <v>75</v>
      </c>
      <c r="O1313" s="25" t="s">
        <v>3830</v>
      </c>
      <c r="P1313" s="25">
        <v>1</v>
      </c>
      <c r="Q1313" s="25">
        <v>48100</v>
      </c>
      <c r="R1313" s="25" t="s">
        <v>26</v>
      </c>
      <c r="S1313" s="25" t="s">
        <v>26</v>
      </c>
      <c r="T1313" s="25">
        <f t="shared" si="20"/>
        <v>48100</v>
      </c>
    </row>
    <row r="1314" spans="1:20">
      <c r="A1314" t="s">
        <v>3495</v>
      </c>
      <c r="B1314">
        <v>45923</v>
      </c>
      <c r="C1314" t="s">
        <v>93</v>
      </c>
      <c r="D1314" t="s">
        <v>111</v>
      </c>
      <c r="E1314" t="s">
        <v>119</v>
      </c>
      <c r="F1314">
        <v>4000</v>
      </c>
      <c r="G1314" t="s">
        <v>25</v>
      </c>
      <c r="H1314" t="s">
        <v>3496</v>
      </c>
      <c r="I1314" t="s">
        <v>71</v>
      </c>
      <c r="J1314">
        <v>50100</v>
      </c>
      <c r="K1314" t="s">
        <v>3</v>
      </c>
      <c r="L1314" t="s">
        <v>3492</v>
      </c>
      <c r="M1314" t="s">
        <v>3</v>
      </c>
      <c r="N1314" t="s">
        <v>75</v>
      </c>
      <c r="O1314" s="25" t="s">
        <v>3830</v>
      </c>
      <c r="P1314" s="25">
        <v>1</v>
      </c>
      <c r="Q1314" s="25">
        <v>50100</v>
      </c>
      <c r="R1314" s="25" t="s">
        <v>26</v>
      </c>
      <c r="S1314" s="25" t="s">
        <v>26</v>
      </c>
      <c r="T1314" s="25">
        <f t="shared" si="20"/>
        <v>50100</v>
      </c>
    </row>
    <row r="1315" spans="1:20">
      <c r="A1315" t="s">
        <v>3497</v>
      </c>
      <c r="B1315">
        <v>45923</v>
      </c>
      <c r="C1315" t="s">
        <v>93</v>
      </c>
      <c r="D1315" t="s">
        <v>111</v>
      </c>
      <c r="E1315" t="s">
        <v>170</v>
      </c>
      <c r="F1315">
        <v>4000</v>
      </c>
      <c r="G1315" t="s">
        <v>25</v>
      </c>
      <c r="H1315" t="s">
        <v>3498</v>
      </c>
      <c r="I1315" t="s">
        <v>71</v>
      </c>
      <c r="J1315">
        <v>49200</v>
      </c>
      <c r="K1315" t="s">
        <v>3</v>
      </c>
      <c r="L1315" t="s">
        <v>3492</v>
      </c>
      <c r="M1315" t="s">
        <v>3</v>
      </c>
      <c r="N1315" t="s">
        <v>75</v>
      </c>
      <c r="O1315" s="25" t="s">
        <v>3830</v>
      </c>
      <c r="P1315" s="25">
        <v>1</v>
      </c>
      <c r="Q1315" s="25">
        <v>49200</v>
      </c>
      <c r="R1315" s="25" t="s">
        <v>26</v>
      </c>
      <c r="S1315" s="25" t="s">
        <v>26</v>
      </c>
      <c r="T1315" s="25">
        <f t="shared" si="20"/>
        <v>49200</v>
      </c>
    </row>
    <row r="1316" spans="1:20">
      <c r="A1316" t="s">
        <v>3499</v>
      </c>
      <c r="B1316">
        <v>45923</v>
      </c>
      <c r="C1316" t="s">
        <v>93</v>
      </c>
      <c r="D1316" t="s">
        <v>111</v>
      </c>
      <c r="E1316" t="s">
        <v>122</v>
      </c>
      <c r="F1316">
        <v>4000</v>
      </c>
      <c r="G1316" t="s">
        <v>25</v>
      </c>
      <c r="H1316" t="s">
        <v>3500</v>
      </c>
      <c r="I1316" t="s">
        <v>71</v>
      </c>
      <c r="J1316">
        <v>49200</v>
      </c>
      <c r="K1316" t="s">
        <v>3</v>
      </c>
      <c r="L1316" t="s">
        <v>3501</v>
      </c>
      <c r="M1316" t="s">
        <v>3</v>
      </c>
      <c r="N1316" t="s">
        <v>75</v>
      </c>
      <c r="O1316" s="25" t="s">
        <v>3830</v>
      </c>
      <c r="P1316" s="25">
        <v>1</v>
      </c>
      <c r="Q1316" s="25">
        <v>49200</v>
      </c>
      <c r="R1316" s="25" t="s">
        <v>26</v>
      </c>
      <c r="S1316" s="25" t="s">
        <v>26</v>
      </c>
      <c r="T1316" s="25">
        <f t="shared" si="20"/>
        <v>49200</v>
      </c>
    </row>
    <row r="1317" spans="1:20">
      <c r="A1317" t="s">
        <v>3502</v>
      </c>
      <c r="B1317">
        <v>45923</v>
      </c>
      <c r="C1317" t="s">
        <v>126</v>
      </c>
      <c r="D1317" t="s">
        <v>88</v>
      </c>
      <c r="E1317" t="s">
        <v>127</v>
      </c>
      <c r="F1317">
        <v>4020</v>
      </c>
      <c r="G1317" t="s">
        <v>30</v>
      </c>
      <c r="H1317" t="s">
        <v>3503</v>
      </c>
      <c r="I1317" t="s">
        <v>71</v>
      </c>
      <c r="J1317">
        <v>53100</v>
      </c>
      <c r="K1317" t="s">
        <v>129</v>
      </c>
      <c r="L1317" t="s">
        <v>3504</v>
      </c>
      <c r="M1317" t="s">
        <v>3</v>
      </c>
      <c r="N1317" t="s">
        <v>75</v>
      </c>
      <c r="O1317" s="25" t="s">
        <v>3830</v>
      </c>
      <c r="P1317" s="25">
        <v>1</v>
      </c>
      <c r="Q1317" s="25">
        <v>53100</v>
      </c>
      <c r="R1317" s="25" t="s">
        <v>26</v>
      </c>
      <c r="S1317" s="25" t="s">
        <v>26</v>
      </c>
      <c r="T1317" s="25">
        <f t="shared" si="20"/>
        <v>53100</v>
      </c>
    </row>
    <row r="1318" spans="1:20">
      <c r="A1318" t="s">
        <v>3505</v>
      </c>
      <c r="B1318">
        <v>45923</v>
      </c>
      <c r="C1318" t="s">
        <v>126</v>
      </c>
      <c r="D1318" t="s">
        <v>88</v>
      </c>
      <c r="E1318" t="s">
        <v>132</v>
      </c>
      <c r="F1318">
        <v>4020</v>
      </c>
      <c r="G1318" t="s">
        <v>30</v>
      </c>
      <c r="H1318" t="s">
        <v>3506</v>
      </c>
      <c r="I1318" t="s">
        <v>71</v>
      </c>
      <c r="J1318">
        <v>51600</v>
      </c>
      <c r="K1318" t="s">
        <v>134</v>
      </c>
      <c r="L1318" t="s">
        <v>3504</v>
      </c>
      <c r="M1318" t="s">
        <v>3</v>
      </c>
      <c r="N1318" t="s">
        <v>75</v>
      </c>
      <c r="O1318" s="25" t="s">
        <v>3830</v>
      </c>
      <c r="P1318" s="25">
        <v>1</v>
      </c>
      <c r="Q1318" s="25">
        <v>51600</v>
      </c>
      <c r="R1318" s="25" t="s">
        <v>26</v>
      </c>
      <c r="S1318" s="25" t="s">
        <v>26</v>
      </c>
      <c r="T1318" s="25">
        <f t="shared" si="20"/>
        <v>51600</v>
      </c>
    </row>
    <row r="1319" spans="1:20">
      <c r="A1319" t="s">
        <v>3507</v>
      </c>
      <c r="B1319">
        <v>45923</v>
      </c>
      <c r="C1319" t="s">
        <v>126</v>
      </c>
      <c r="D1319" t="s">
        <v>88</v>
      </c>
      <c r="E1319" t="s">
        <v>136</v>
      </c>
      <c r="F1319">
        <v>4020</v>
      </c>
      <c r="G1319" t="s">
        <v>30</v>
      </c>
      <c r="H1319" t="s">
        <v>3508</v>
      </c>
      <c r="I1319" t="s">
        <v>72</v>
      </c>
      <c r="J1319">
        <v>34.76</v>
      </c>
      <c r="K1319" t="s">
        <v>138</v>
      </c>
      <c r="L1319" t="s">
        <v>3504</v>
      </c>
      <c r="M1319" t="s">
        <v>3</v>
      </c>
      <c r="N1319" t="s">
        <v>75</v>
      </c>
      <c r="O1319" s="25" t="s">
        <v>3831</v>
      </c>
      <c r="P1319" s="25">
        <v>1611</v>
      </c>
      <c r="Q1319" s="25">
        <v>55998.359999999993</v>
      </c>
      <c r="R1319" s="25" t="s">
        <v>26</v>
      </c>
      <c r="S1319" s="25" t="s">
        <v>26</v>
      </c>
      <c r="T1319" s="25">
        <f t="shared" si="20"/>
        <v>55998.359999999993</v>
      </c>
    </row>
    <row r="1320" spans="1:20">
      <c r="A1320" t="s">
        <v>3509</v>
      </c>
      <c r="B1320">
        <v>45923</v>
      </c>
      <c r="C1320" t="s">
        <v>126</v>
      </c>
      <c r="D1320" t="s">
        <v>88</v>
      </c>
      <c r="E1320" t="s">
        <v>140</v>
      </c>
      <c r="F1320">
        <v>4020</v>
      </c>
      <c r="G1320" t="s">
        <v>30</v>
      </c>
      <c r="H1320" t="s">
        <v>3510</v>
      </c>
      <c r="I1320" t="s">
        <v>71</v>
      </c>
      <c r="J1320">
        <v>51000</v>
      </c>
      <c r="K1320" t="s">
        <v>3</v>
      </c>
      <c r="L1320" t="s">
        <v>3511</v>
      </c>
      <c r="M1320" t="s">
        <v>3</v>
      </c>
      <c r="N1320" t="s">
        <v>75</v>
      </c>
      <c r="O1320" s="25" t="s">
        <v>3830</v>
      </c>
      <c r="P1320" s="25">
        <v>1</v>
      </c>
      <c r="Q1320" s="25">
        <v>51000</v>
      </c>
      <c r="R1320" s="25" t="s">
        <v>26</v>
      </c>
      <c r="S1320" s="25" t="s">
        <v>26</v>
      </c>
      <c r="T1320" s="25">
        <f t="shared" si="20"/>
        <v>51000</v>
      </c>
    </row>
    <row r="1321" spans="1:20">
      <c r="A1321" t="s">
        <v>3512</v>
      </c>
      <c r="B1321">
        <v>45923</v>
      </c>
      <c r="C1321" t="s">
        <v>93</v>
      </c>
      <c r="D1321" t="s">
        <v>111</v>
      </c>
      <c r="E1321" t="s">
        <v>112</v>
      </c>
      <c r="F1321">
        <v>4900</v>
      </c>
      <c r="G1321" t="s">
        <v>32</v>
      </c>
      <c r="H1321" t="s">
        <v>3513</v>
      </c>
      <c r="I1321" t="s">
        <v>71</v>
      </c>
      <c r="J1321">
        <v>191694</v>
      </c>
      <c r="K1321" t="s">
        <v>3</v>
      </c>
      <c r="L1321" t="s">
        <v>3514</v>
      </c>
      <c r="M1321" t="s">
        <v>237</v>
      </c>
      <c r="N1321" t="s">
        <v>75</v>
      </c>
      <c r="O1321" s="25" t="s">
        <v>3830</v>
      </c>
      <c r="P1321" s="25">
        <v>1</v>
      </c>
      <c r="Q1321" s="25">
        <v>191694</v>
      </c>
      <c r="R1321" s="25" t="s">
        <v>26</v>
      </c>
      <c r="S1321" s="25" t="s">
        <v>26</v>
      </c>
      <c r="T1321" s="25">
        <f t="shared" si="20"/>
        <v>-191694</v>
      </c>
    </row>
    <row r="1322" spans="1:20">
      <c r="A1322" t="s">
        <v>3515</v>
      </c>
      <c r="B1322">
        <v>45923</v>
      </c>
      <c r="C1322" t="s">
        <v>87</v>
      </c>
      <c r="D1322" t="s">
        <v>88</v>
      </c>
      <c r="E1322" t="s">
        <v>3</v>
      </c>
      <c r="F1322">
        <v>5030</v>
      </c>
      <c r="G1322" t="s">
        <v>41</v>
      </c>
      <c r="H1322" t="s">
        <v>2656</v>
      </c>
      <c r="I1322" t="s">
        <v>71</v>
      </c>
      <c r="J1322">
        <v>-395000</v>
      </c>
      <c r="K1322" t="s">
        <v>90</v>
      </c>
      <c r="L1322" t="s">
        <v>3516</v>
      </c>
      <c r="M1322" t="s">
        <v>3</v>
      </c>
      <c r="N1322" t="s">
        <v>75</v>
      </c>
      <c r="O1322" s="25" t="s">
        <v>3830</v>
      </c>
      <c r="P1322" s="25">
        <v>1</v>
      </c>
      <c r="Q1322" s="25">
        <v>-395000</v>
      </c>
      <c r="R1322" s="25" t="s">
        <v>35</v>
      </c>
      <c r="S1322" s="25" t="s">
        <v>35</v>
      </c>
      <c r="T1322" s="25">
        <f t="shared" si="20"/>
        <v>-395000</v>
      </c>
    </row>
    <row r="1323" spans="1:20">
      <c r="A1323" t="s">
        <v>3517</v>
      </c>
      <c r="B1323">
        <v>45924</v>
      </c>
      <c r="C1323" t="s">
        <v>93</v>
      </c>
      <c r="D1323" t="s">
        <v>94</v>
      </c>
      <c r="E1323" t="s">
        <v>95</v>
      </c>
      <c r="F1323">
        <v>4000</v>
      </c>
      <c r="G1323" t="s">
        <v>25</v>
      </c>
      <c r="H1323" t="s">
        <v>3518</v>
      </c>
      <c r="I1323" t="s">
        <v>71</v>
      </c>
      <c r="J1323">
        <v>31100</v>
      </c>
      <c r="K1323" t="s">
        <v>3</v>
      </c>
      <c r="L1323" t="s">
        <v>3519</v>
      </c>
      <c r="M1323" t="s">
        <v>3</v>
      </c>
      <c r="N1323" t="s">
        <v>75</v>
      </c>
      <c r="O1323" s="25" t="s">
        <v>3830</v>
      </c>
      <c r="P1323" s="25">
        <v>1</v>
      </c>
      <c r="Q1323" s="25">
        <v>31100</v>
      </c>
      <c r="R1323" s="25" t="s">
        <v>26</v>
      </c>
      <c r="S1323" s="25" t="s">
        <v>26</v>
      </c>
      <c r="T1323" s="25">
        <f t="shared" si="20"/>
        <v>31100</v>
      </c>
    </row>
    <row r="1324" spans="1:20">
      <c r="A1324" t="s">
        <v>3520</v>
      </c>
      <c r="B1324">
        <v>45924</v>
      </c>
      <c r="C1324" t="s">
        <v>93</v>
      </c>
      <c r="D1324" t="s">
        <v>94</v>
      </c>
      <c r="E1324" t="s">
        <v>99</v>
      </c>
      <c r="F1324">
        <v>4000</v>
      </c>
      <c r="G1324" t="s">
        <v>25</v>
      </c>
      <c r="H1324" t="s">
        <v>3521</v>
      </c>
      <c r="I1324" t="s">
        <v>71</v>
      </c>
      <c r="J1324">
        <v>30100</v>
      </c>
      <c r="K1324" t="s">
        <v>3</v>
      </c>
      <c r="L1324" t="s">
        <v>3522</v>
      </c>
      <c r="M1324" t="s">
        <v>3</v>
      </c>
      <c r="N1324" t="s">
        <v>75</v>
      </c>
      <c r="O1324" s="25" t="s">
        <v>3830</v>
      </c>
      <c r="P1324" s="25">
        <v>1</v>
      </c>
      <c r="Q1324" s="25">
        <v>30100</v>
      </c>
      <c r="R1324" s="25" t="s">
        <v>26</v>
      </c>
      <c r="S1324" s="25" t="s">
        <v>26</v>
      </c>
      <c r="T1324" s="25">
        <f t="shared" si="20"/>
        <v>30100</v>
      </c>
    </row>
    <row r="1325" spans="1:20">
      <c r="A1325" t="s">
        <v>3523</v>
      </c>
      <c r="B1325">
        <v>45924</v>
      </c>
      <c r="C1325" t="s">
        <v>93</v>
      </c>
      <c r="D1325" t="s">
        <v>94</v>
      </c>
      <c r="E1325" t="s">
        <v>103</v>
      </c>
      <c r="F1325">
        <v>4000</v>
      </c>
      <c r="G1325" t="s">
        <v>25</v>
      </c>
      <c r="H1325" t="s">
        <v>3524</v>
      </c>
      <c r="I1325" t="s">
        <v>71</v>
      </c>
      <c r="J1325">
        <v>32200</v>
      </c>
      <c r="K1325" t="s">
        <v>3</v>
      </c>
      <c r="L1325" t="s">
        <v>3525</v>
      </c>
      <c r="M1325" t="s">
        <v>3</v>
      </c>
      <c r="N1325" t="s">
        <v>75</v>
      </c>
      <c r="O1325" s="25" t="s">
        <v>3830</v>
      </c>
      <c r="P1325" s="25">
        <v>1</v>
      </c>
      <c r="Q1325" s="25">
        <v>32200</v>
      </c>
      <c r="R1325" s="25" t="s">
        <v>26</v>
      </c>
      <c r="S1325" s="25" t="s">
        <v>26</v>
      </c>
      <c r="T1325" s="25">
        <f t="shared" si="20"/>
        <v>32200</v>
      </c>
    </row>
    <row r="1326" spans="1:20">
      <c r="A1326" t="s">
        <v>3526</v>
      </c>
      <c r="B1326">
        <v>45924</v>
      </c>
      <c r="C1326" t="s">
        <v>93</v>
      </c>
      <c r="D1326" t="s">
        <v>94</v>
      </c>
      <c r="E1326" t="s">
        <v>160</v>
      </c>
      <c r="F1326">
        <v>4000</v>
      </c>
      <c r="G1326" t="s">
        <v>25</v>
      </c>
      <c r="H1326" t="s">
        <v>3527</v>
      </c>
      <c r="I1326" t="s">
        <v>71</v>
      </c>
      <c r="J1326">
        <v>32800</v>
      </c>
      <c r="K1326" t="s">
        <v>3</v>
      </c>
      <c r="L1326" t="s">
        <v>3525</v>
      </c>
      <c r="M1326" t="s">
        <v>3</v>
      </c>
      <c r="N1326" t="s">
        <v>75</v>
      </c>
      <c r="O1326" s="25" t="s">
        <v>3830</v>
      </c>
      <c r="P1326" s="25">
        <v>1</v>
      </c>
      <c r="Q1326" s="25">
        <v>32800</v>
      </c>
      <c r="R1326" s="25" t="s">
        <v>26</v>
      </c>
      <c r="S1326" s="25" t="s">
        <v>26</v>
      </c>
      <c r="T1326" s="25">
        <f t="shared" si="20"/>
        <v>32800</v>
      </c>
    </row>
    <row r="1327" spans="1:20">
      <c r="A1327" t="s">
        <v>3528</v>
      </c>
      <c r="B1327">
        <v>45924</v>
      </c>
      <c r="C1327" t="s">
        <v>93</v>
      </c>
      <c r="D1327" t="s">
        <v>94</v>
      </c>
      <c r="E1327" t="s">
        <v>107</v>
      </c>
      <c r="F1327">
        <v>4000</v>
      </c>
      <c r="G1327" t="s">
        <v>25</v>
      </c>
      <c r="H1327" t="s">
        <v>3529</v>
      </c>
      <c r="I1327" t="s">
        <v>71</v>
      </c>
      <c r="J1327">
        <v>30100</v>
      </c>
      <c r="K1327" t="s">
        <v>3</v>
      </c>
      <c r="L1327" t="s">
        <v>3530</v>
      </c>
      <c r="M1327" t="s">
        <v>3</v>
      </c>
      <c r="N1327" t="s">
        <v>75</v>
      </c>
      <c r="O1327" s="25" t="s">
        <v>3830</v>
      </c>
      <c r="P1327" s="25">
        <v>1</v>
      </c>
      <c r="Q1327" s="25">
        <v>30100</v>
      </c>
      <c r="R1327" s="25" t="s">
        <v>26</v>
      </c>
      <c r="S1327" s="25" t="s">
        <v>26</v>
      </c>
      <c r="T1327" s="25">
        <f t="shared" si="20"/>
        <v>30100</v>
      </c>
    </row>
    <row r="1328" spans="1:20">
      <c r="A1328" t="s">
        <v>3531</v>
      </c>
      <c r="B1328">
        <v>45924</v>
      </c>
      <c r="C1328" t="s">
        <v>93</v>
      </c>
      <c r="D1328" t="s">
        <v>111</v>
      </c>
      <c r="E1328" t="s">
        <v>112</v>
      </c>
      <c r="F1328">
        <v>4000</v>
      </c>
      <c r="G1328" t="s">
        <v>25</v>
      </c>
      <c r="H1328" t="s">
        <v>3532</v>
      </c>
      <c r="I1328" t="s">
        <v>71</v>
      </c>
      <c r="J1328">
        <v>50300</v>
      </c>
      <c r="K1328" t="s">
        <v>3</v>
      </c>
      <c r="L1328" t="s">
        <v>3533</v>
      </c>
      <c r="M1328" t="s">
        <v>3</v>
      </c>
      <c r="N1328" t="s">
        <v>75</v>
      </c>
      <c r="O1328" s="25" t="s">
        <v>3830</v>
      </c>
      <c r="P1328" s="25">
        <v>1</v>
      </c>
      <c r="Q1328" s="25">
        <v>50300</v>
      </c>
      <c r="R1328" s="25" t="s">
        <v>26</v>
      </c>
      <c r="S1328" s="25" t="s">
        <v>26</v>
      </c>
      <c r="T1328" s="25">
        <f t="shared" si="20"/>
        <v>50300</v>
      </c>
    </row>
    <row r="1329" spans="1:20">
      <c r="A1329" t="s">
        <v>3534</v>
      </c>
      <c r="B1329">
        <v>45924</v>
      </c>
      <c r="C1329" t="s">
        <v>93</v>
      </c>
      <c r="D1329" t="s">
        <v>111</v>
      </c>
      <c r="E1329" t="s">
        <v>116</v>
      </c>
      <c r="F1329">
        <v>4000</v>
      </c>
      <c r="G1329" t="s">
        <v>25</v>
      </c>
      <c r="H1329" t="s">
        <v>3535</v>
      </c>
      <c r="I1329" t="s">
        <v>71</v>
      </c>
      <c r="J1329">
        <v>47500</v>
      </c>
      <c r="K1329" t="s">
        <v>3</v>
      </c>
      <c r="L1329" t="s">
        <v>3533</v>
      </c>
      <c r="M1329" t="s">
        <v>3</v>
      </c>
      <c r="N1329" t="s">
        <v>75</v>
      </c>
      <c r="O1329" s="25" t="s">
        <v>3830</v>
      </c>
      <c r="P1329" s="25">
        <v>1</v>
      </c>
      <c r="Q1329" s="25">
        <v>47500</v>
      </c>
      <c r="R1329" s="25" t="s">
        <v>26</v>
      </c>
      <c r="S1329" s="25" t="s">
        <v>26</v>
      </c>
      <c r="T1329" s="25">
        <f t="shared" si="20"/>
        <v>47500</v>
      </c>
    </row>
    <row r="1330" spans="1:20">
      <c r="A1330" t="s">
        <v>3536</v>
      </c>
      <c r="B1330">
        <v>45924</v>
      </c>
      <c r="C1330" t="s">
        <v>93</v>
      </c>
      <c r="D1330" t="s">
        <v>111</v>
      </c>
      <c r="E1330" t="s">
        <v>119</v>
      </c>
      <c r="F1330">
        <v>4000</v>
      </c>
      <c r="G1330" t="s">
        <v>25</v>
      </c>
      <c r="H1330" t="s">
        <v>3537</v>
      </c>
      <c r="I1330" t="s">
        <v>71</v>
      </c>
      <c r="J1330">
        <v>49800</v>
      </c>
      <c r="K1330" t="s">
        <v>3</v>
      </c>
      <c r="L1330" t="s">
        <v>3533</v>
      </c>
      <c r="M1330" t="s">
        <v>3</v>
      </c>
      <c r="N1330" t="s">
        <v>75</v>
      </c>
      <c r="O1330" s="25" t="s">
        <v>3830</v>
      </c>
      <c r="P1330" s="25">
        <v>1</v>
      </c>
      <c r="Q1330" s="25">
        <v>49800</v>
      </c>
      <c r="R1330" s="25" t="s">
        <v>26</v>
      </c>
      <c r="S1330" s="25" t="s">
        <v>26</v>
      </c>
      <c r="T1330" s="25">
        <f t="shared" si="20"/>
        <v>49800</v>
      </c>
    </row>
    <row r="1331" spans="1:20">
      <c r="A1331" t="s">
        <v>3538</v>
      </c>
      <c r="B1331">
        <v>45924</v>
      </c>
      <c r="C1331" t="s">
        <v>93</v>
      </c>
      <c r="D1331" t="s">
        <v>111</v>
      </c>
      <c r="E1331" t="s">
        <v>170</v>
      </c>
      <c r="F1331">
        <v>4000</v>
      </c>
      <c r="G1331" t="s">
        <v>25</v>
      </c>
      <c r="H1331" t="s">
        <v>3539</v>
      </c>
      <c r="I1331" t="s">
        <v>71</v>
      </c>
      <c r="J1331">
        <v>51800</v>
      </c>
      <c r="K1331" t="s">
        <v>3</v>
      </c>
      <c r="L1331" t="s">
        <v>3533</v>
      </c>
      <c r="M1331" t="s">
        <v>3</v>
      </c>
      <c r="N1331" t="s">
        <v>75</v>
      </c>
      <c r="O1331" s="25" t="s">
        <v>3830</v>
      </c>
      <c r="P1331" s="25">
        <v>1</v>
      </c>
      <c r="Q1331" s="25">
        <v>51800</v>
      </c>
      <c r="R1331" s="25" t="s">
        <v>26</v>
      </c>
      <c r="S1331" s="25" t="s">
        <v>26</v>
      </c>
      <c r="T1331" s="25">
        <f t="shared" si="20"/>
        <v>51800</v>
      </c>
    </row>
    <row r="1332" spans="1:20">
      <c r="A1332" t="s">
        <v>3540</v>
      </c>
      <c r="B1332">
        <v>45924</v>
      </c>
      <c r="C1332" t="s">
        <v>93</v>
      </c>
      <c r="D1332" t="s">
        <v>111</v>
      </c>
      <c r="E1332" t="s">
        <v>122</v>
      </c>
      <c r="F1332">
        <v>4000</v>
      </c>
      <c r="G1332" t="s">
        <v>25</v>
      </c>
      <c r="H1332" t="s">
        <v>3541</v>
      </c>
      <c r="I1332" t="s">
        <v>71</v>
      </c>
      <c r="J1332">
        <v>51200</v>
      </c>
      <c r="K1332" t="s">
        <v>3</v>
      </c>
      <c r="L1332" t="s">
        <v>3542</v>
      </c>
      <c r="M1332" t="s">
        <v>3</v>
      </c>
      <c r="N1332" t="s">
        <v>75</v>
      </c>
      <c r="O1332" s="25" t="s">
        <v>3830</v>
      </c>
      <c r="P1332" s="25">
        <v>1</v>
      </c>
      <c r="Q1332" s="25">
        <v>51200</v>
      </c>
      <c r="R1332" s="25" t="s">
        <v>26</v>
      </c>
      <c r="S1332" s="25" t="s">
        <v>26</v>
      </c>
      <c r="T1332" s="25">
        <f t="shared" si="20"/>
        <v>51200</v>
      </c>
    </row>
    <row r="1333" spans="1:20">
      <c r="A1333" t="s">
        <v>3543</v>
      </c>
      <c r="B1333">
        <v>45924</v>
      </c>
      <c r="C1333" t="s">
        <v>126</v>
      </c>
      <c r="D1333" t="s">
        <v>88</v>
      </c>
      <c r="E1333" t="s">
        <v>127</v>
      </c>
      <c r="F1333">
        <v>4020</v>
      </c>
      <c r="G1333" t="s">
        <v>30</v>
      </c>
      <c r="H1333" t="s">
        <v>3544</v>
      </c>
      <c r="I1333" t="s">
        <v>72</v>
      </c>
      <c r="J1333">
        <v>31.41</v>
      </c>
      <c r="K1333" t="s">
        <v>129</v>
      </c>
      <c r="L1333" t="s">
        <v>3545</v>
      </c>
      <c r="M1333" t="s">
        <v>3</v>
      </c>
      <c r="N1333" t="s">
        <v>75</v>
      </c>
      <c r="O1333" s="25" t="s">
        <v>3831</v>
      </c>
      <c r="P1333" s="25">
        <v>1611</v>
      </c>
      <c r="Q1333" s="25">
        <v>50601.51</v>
      </c>
      <c r="R1333" s="25" t="s">
        <v>26</v>
      </c>
      <c r="S1333" s="25" t="s">
        <v>26</v>
      </c>
      <c r="T1333" s="25">
        <f t="shared" si="20"/>
        <v>50601.51</v>
      </c>
    </row>
    <row r="1334" spans="1:20">
      <c r="A1334" t="s">
        <v>3546</v>
      </c>
      <c r="B1334">
        <v>45924</v>
      </c>
      <c r="C1334" t="s">
        <v>126</v>
      </c>
      <c r="D1334" t="s">
        <v>88</v>
      </c>
      <c r="E1334" t="s">
        <v>132</v>
      </c>
      <c r="F1334">
        <v>4020</v>
      </c>
      <c r="G1334" t="s">
        <v>30</v>
      </c>
      <c r="H1334" t="s">
        <v>3547</v>
      </c>
      <c r="I1334" t="s">
        <v>72</v>
      </c>
      <c r="J1334">
        <v>34.39</v>
      </c>
      <c r="K1334" t="s">
        <v>134</v>
      </c>
      <c r="L1334" t="s">
        <v>3545</v>
      </c>
      <c r="M1334" t="s">
        <v>3</v>
      </c>
      <c r="N1334" t="s">
        <v>75</v>
      </c>
      <c r="O1334" s="25" t="s">
        <v>3831</v>
      </c>
      <c r="P1334" s="25">
        <v>1611</v>
      </c>
      <c r="Q1334" s="25">
        <v>55402.29</v>
      </c>
      <c r="R1334" s="25" t="s">
        <v>26</v>
      </c>
      <c r="S1334" s="25" t="s">
        <v>26</v>
      </c>
      <c r="T1334" s="25">
        <f t="shared" si="20"/>
        <v>55402.29</v>
      </c>
    </row>
    <row r="1335" spans="1:20">
      <c r="A1335" t="s">
        <v>3548</v>
      </c>
      <c r="B1335">
        <v>45924</v>
      </c>
      <c r="C1335" t="s">
        <v>126</v>
      </c>
      <c r="D1335" t="s">
        <v>88</v>
      </c>
      <c r="E1335" t="s">
        <v>136</v>
      </c>
      <c r="F1335">
        <v>4020</v>
      </c>
      <c r="G1335" t="s">
        <v>30</v>
      </c>
      <c r="H1335" t="s">
        <v>3549</v>
      </c>
      <c r="I1335" t="s">
        <v>71</v>
      </c>
      <c r="J1335">
        <v>49200</v>
      </c>
      <c r="K1335" t="s">
        <v>138</v>
      </c>
      <c r="L1335" t="s">
        <v>3545</v>
      </c>
      <c r="M1335" t="s">
        <v>3</v>
      </c>
      <c r="N1335" t="s">
        <v>75</v>
      </c>
      <c r="O1335" s="25" t="s">
        <v>3830</v>
      </c>
      <c r="P1335" s="25">
        <v>1</v>
      </c>
      <c r="Q1335" s="25">
        <v>49200</v>
      </c>
      <c r="R1335" s="25" t="s">
        <v>26</v>
      </c>
      <c r="S1335" s="25" t="s">
        <v>26</v>
      </c>
      <c r="T1335" s="25">
        <f t="shared" si="20"/>
        <v>49200</v>
      </c>
    </row>
    <row r="1336" spans="1:20">
      <c r="A1336" t="s">
        <v>3550</v>
      </c>
      <c r="B1336">
        <v>45924</v>
      </c>
      <c r="C1336" t="s">
        <v>87</v>
      </c>
      <c r="D1336" t="s">
        <v>111</v>
      </c>
      <c r="E1336" t="s">
        <v>3</v>
      </c>
      <c r="F1336">
        <v>5010</v>
      </c>
      <c r="G1336" t="s">
        <v>37</v>
      </c>
      <c r="H1336" t="s">
        <v>2729</v>
      </c>
      <c r="I1336" t="s">
        <v>71</v>
      </c>
      <c r="J1336">
        <v>-2097000</v>
      </c>
      <c r="K1336" t="s">
        <v>145</v>
      </c>
      <c r="L1336" t="s">
        <v>3551</v>
      </c>
      <c r="M1336" t="s">
        <v>3</v>
      </c>
      <c r="N1336" t="s">
        <v>75</v>
      </c>
      <c r="O1336" s="25" t="s">
        <v>3830</v>
      </c>
      <c r="P1336" s="25">
        <v>1</v>
      </c>
      <c r="Q1336" s="25">
        <v>-2097000</v>
      </c>
      <c r="R1336" s="25" t="s">
        <v>35</v>
      </c>
      <c r="S1336" s="25" t="s">
        <v>35</v>
      </c>
      <c r="T1336" s="25">
        <f t="shared" si="20"/>
        <v>-2097000</v>
      </c>
    </row>
    <row r="1337" spans="1:20">
      <c r="A1337" t="s">
        <v>3552</v>
      </c>
      <c r="B1337">
        <v>45924</v>
      </c>
      <c r="C1337" t="s">
        <v>87</v>
      </c>
      <c r="D1337" t="s">
        <v>88</v>
      </c>
      <c r="E1337" t="s">
        <v>3</v>
      </c>
      <c r="F1337">
        <v>5030</v>
      </c>
      <c r="G1337" t="s">
        <v>41</v>
      </c>
      <c r="H1337" t="s">
        <v>2822</v>
      </c>
      <c r="I1337" t="s">
        <v>71</v>
      </c>
      <c r="J1337">
        <v>-200000</v>
      </c>
      <c r="K1337" t="s">
        <v>280</v>
      </c>
      <c r="L1337" t="s">
        <v>3553</v>
      </c>
      <c r="M1337" t="s">
        <v>3</v>
      </c>
      <c r="N1337" t="s">
        <v>75</v>
      </c>
      <c r="O1337" s="25" t="s">
        <v>3830</v>
      </c>
      <c r="P1337" s="25">
        <v>1</v>
      </c>
      <c r="Q1337" s="25">
        <v>-200000</v>
      </c>
      <c r="R1337" s="25" t="s">
        <v>35</v>
      </c>
      <c r="S1337" s="25" t="s">
        <v>35</v>
      </c>
      <c r="T1337" s="25">
        <f t="shared" si="20"/>
        <v>-200000</v>
      </c>
    </row>
    <row r="1338" spans="1:20">
      <c r="A1338" t="s">
        <v>3554</v>
      </c>
      <c r="B1338">
        <v>45925</v>
      </c>
      <c r="C1338" t="s">
        <v>93</v>
      </c>
      <c r="D1338" t="s">
        <v>94</v>
      </c>
      <c r="E1338" t="s">
        <v>95</v>
      </c>
      <c r="F1338">
        <v>4000</v>
      </c>
      <c r="G1338" t="s">
        <v>25</v>
      </c>
      <c r="H1338" t="s">
        <v>3555</v>
      </c>
      <c r="I1338" t="s">
        <v>71</v>
      </c>
      <c r="J1338">
        <v>29200</v>
      </c>
      <c r="K1338" t="s">
        <v>3</v>
      </c>
      <c r="L1338" t="s">
        <v>3556</v>
      </c>
      <c r="M1338" t="s">
        <v>3</v>
      </c>
      <c r="N1338" t="s">
        <v>75</v>
      </c>
      <c r="O1338" s="25" t="s">
        <v>3830</v>
      </c>
      <c r="P1338" s="25">
        <v>1</v>
      </c>
      <c r="Q1338" s="25">
        <v>29200</v>
      </c>
      <c r="R1338" s="25" t="s">
        <v>26</v>
      </c>
      <c r="S1338" s="25" t="s">
        <v>26</v>
      </c>
      <c r="T1338" s="25">
        <f t="shared" si="20"/>
        <v>29200</v>
      </c>
    </row>
    <row r="1339" spans="1:20">
      <c r="A1339" t="s">
        <v>3557</v>
      </c>
      <c r="B1339">
        <v>45925</v>
      </c>
      <c r="C1339" t="s">
        <v>93</v>
      </c>
      <c r="D1339" t="s">
        <v>94</v>
      </c>
      <c r="E1339" t="s">
        <v>99</v>
      </c>
      <c r="F1339">
        <v>4000</v>
      </c>
      <c r="G1339" t="s">
        <v>25</v>
      </c>
      <c r="H1339" t="s">
        <v>3558</v>
      </c>
      <c r="I1339" t="s">
        <v>71</v>
      </c>
      <c r="J1339">
        <v>33000</v>
      </c>
      <c r="K1339" t="s">
        <v>3</v>
      </c>
      <c r="L1339" t="s">
        <v>3559</v>
      </c>
      <c r="M1339" t="s">
        <v>3</v>
      </c>
      <c r="N1339" t="s">
        <v>75</v>
      </c>
      <c r="O1339" s="25" t="s">
        <v>3830</v>
      </c>
      <c r="P1339" s="25">
        <v>1</v>
      </c>
      <c r="Q1339" s="25">
        <v>33000</v>
      </c>
      <c r="R1339" s="25" t="s">
        <v>26</v>
      </c>
      <c r="S1339" s="25" t="s">
        <v>26</v>
      </c>
      <c r="T1339" s="25">
        <f t="shared" si="20"/>
        <v>33000</v>
      </c>
    </row>
    <row r="1340" spans="1:20">
      <c r="A1340" t="s">
        <v>3560</v>
      </c>
      <c r="B1340">
        <v>45925</v>
      </c>
      <c r="C1340" t="s">
        <v>93</v>
      </c>
      <c r="D1340" t="s">
        <v>94</v>
      </c>
      <c r="E1340" t="s">
        <v>103</v>
      </c>
      <c r="F1340">
        <v>4000</v>
      </c>
      <c r="G1340" t="s">
        <v>25</v>
      </c>
      <c r="H1340" t="s">
        <v>3561</v>
      </c>
      <c r="I1340" t="s">
        <v>71</v>
      </c>
      <c r="J1340">
        <v>29200</v>
      </c>
      <c r="K1340" t="s">
        <v>3</v>
      </c>
      <c r="L1340" t="s">
        <v>3562</v>
      </c>
      <c r="M1340" t="s">
        <v>3</v>
      </c>
      <c r="N1340" t="s">
        <v>75</v>
      </c>
      <c r="O1340" s="25" t="s">
        <v>3830</v>
      </c>
      <c r="P1340" s="25">
        <v>1</v>
      </c>
      <c r="Q1340" s="25">
        <v>29200</v>
      </c>
      <c r="R1340" s="25" t="s">
        <v>26</v>
      </c>
      <c r="S1340" s="25" t="s">
        <v>26</v>
      </c>
      <c r="T1340" s="25">
        <f t="shared" si="20"/>
        <v>29200</v>
      </c>
    </row>
    <row r="1341" spans="1:20">
      <c r="A1341" t="s">
        <v>3563</v>
      </c>
      <c r="B1341">
        <v>45925</v>
      </c>
      <c r="C1341" t="s">
        <v>93</v>
      </c>
      <c r="D1341" t="s">
        <v>94</v>
      </c>
      <c r="E1341" t="s">
        <v>160</v>
      </c>
      <c r="F1341">
        <v>4000</v>
      </c>
      <c r="G1341" t="s">
        <v>25</v>
      </c>
      <c r="H1341" t="s">
        <v>3564</v>
      </c>
      <c r="I1341" t="s">
        <v>71</v>
      </c>
      <c r="J1341">
        <v>31600</v>
      </c>
      <c r="K1341" t="s">
        <v>3</v>
      </c>
      <c r="L1341" t="s">
        <v>3562</v>
      </c>
      <c r="M1341" t="s">
        <v>3</v>
      </c>
      <c r="N1341" t="s">
        <v>75</v>
      </c>
      <c r="O1341" s="25" t="s">
        <v>3830</v>
      </c>
      <c r="P1341" s="25">
        <v>1</v>
      </c>
      <c r="Q1341" s="25">
        <v>31600</v>
      </c>
      <c r="R1341" s="25" t="s">
        <v>26</v>
      </c>
      <c r="S1341" s="25" t="s">
        <v>26</v>
      </c>
      <c r="T1341" s="25">
        <f t="shared" si="20"/>
        <v>31600</v>
      </c>
    </row>
    <row r="1342" spans="1:20">
      <c r="A1342" t="s">
        <v>3565</v>
      </c>
      <c r="B1342">
        <v>45925</v>
      </c>
      <c r="C1342" t="s">
        <v>93</v>
      </c>
      <c r="D1342" t="s">
        <v>94</v>
      </c>
      <c r="E1342" t="s">
        <v>107</v>
      </c>
      <c r="F1342">
        <v>4000</v>
      </c>
      <c r="G1342" t="s">
        <v>25</v>
      </c>
      <c r="H1342" t="s">
        <v>3566</v>
      </c>
      <c r="I1342" t="s">
        <v>71</v>
      </c>
      <c r="J1342">
        <v>32300</v>
      </c>
      <c r="K1342" t="s">
        <v>3</v>
      </c>
      <c r="L1342" t="s">
        <v>3567</v>
      </c>
      <c r="M1342" t="s">
        <v>3</v>
      </c>
      <c r="N1342" t="s">
        <v>75</v>
      </c>
      <c r="O1342" s="25" t="s">
        <v>3830</v>
      </c>
      <c r="P1342" s="25">
        <v>1</v>
      </c>
      <c r="Q1342" s="25">
        <v>32300</v>
      </c>
      <c r="R1342" s="25" t="s">
        <v>26</v>
      </c>
      <c r="S1342" s="25" t="s">
        <v>26</v>
      </c>
      <c r="T1342" s="25">
        <f t="shared" si="20"/>
        <v>32300</v>
      </c>
    </row>
    <row r="1343" spans="1:20">
      <c r="A1343" t="s">
        <v>3568</v>
      </c>
      <c r="B1343">
        <v>45925</v>
      </c>
      <c r="C1343" t="s">
        <v>93</v>
      </c>
      <c r="D1343" t="s">
        <v>111</v>
      </c>
      <c r="E1343" t="s">
        <v>112</v>
      </c>
      <c r="F1343">
        <v>4000</v>
      </c>
      <c r="G1343" t="s">
        <v>25</v>
      </c>
      <c r="H1343" t="s">
        <v>3569</v>
      </c>
      <c r="I1343" t="s">
        <v>71</v>
      </c>
      <c r="J1343">
        <v>47500</v>
      </c>
      <c r="K1343" t="s">
        <v>3</v>
      </c>
      <c r="L1343" t="s">
        <v>3570</v>
      </c>
      <c r="M1343" t="s">
        <v>3</v>
      </c>
      <c r="N1343" t="s">
        <v>75</v>
      </c>
      <c r="O1343" s="25" t="s">
        <v>3830</v>
      </c>
      <c r="P1343" s="25">
        <v>1</v>
      </c>
      <c r="Q1343" s="25">
        <v>47500</v>
      </c>
      <c r="R1343" s="25" t="s">
        <v>26</v>
      </c>
      <c r="S1343" s="25" t="s">
        <v>26</v>
      </c>
      <c r="T1343" s="25">
        <f t="shared" si="20"/>
        <v>47500</v>
      </c>
    </row>
    <row r="1344" spans="1:20">
      <c r="A1344" t="s">
        <v>3571</v>
      </c>
      <c r="B1344">
        <v>45925</v>
      </c>
      <c r="C1344" t="s">
        <v>93</v>
      </c>
      <c r="D1344" t="s">
        <v>111</v>
      </c>
      <c r="E1344" t="s">
        <v>116</v>
      </c>
      <c r="F1344">
        <v>4000</v>
      </c>
      <c r="G1344" t="s">
        <v>25</v>
      </c>
      <c r="H1344" t="s">
        <v>3572</v>
      </c>
      <c r="I1344" t="s">
        <v>71</v>
      </c>
      <c r="J1344">
        <v>52700</v>
      </c>
      <c r="K1344" t="s">
        <v>3</v>
      </c>
      <c r="L1344" t="s">
        <v>3570</v>
      </c>
      <c r="M1344" t="s">
        <v>3</v>
      </c>
      <c r="N1344" t="s">
        <v>75</v>
      </c>
      <c r="O1344" s="25" t="s">
        <v>3830</v>
      </c>
      <c r="P1344" s="25">
        <v>1</v>
      </c>
      <c r="Q1344" s="25">
        <v>52700</v>
      </c>
      <c r="R1344" s="25" t="s">
        <v>26</v>
      </c>
      <c r="S1344" s="25" t="s">
        <v>26</v>
      </c>
      <c r="T1344" s="25">
        <f t="shared" si="20"/>
        <v>52700</v>
      </c>
    </row>
    <row r="1345" spans="1:20">
      <c r="A1345" t="s">
        <v>3573</v>
      </c>
      <c r="B1345">
        <v>45925</v>
      </c>
      <c r="C1345" t="s">
        <v>93</v>
      </c>
      <c r="D1345" t="s">
        <v>111</v>
      </c>
      <c r="E1345" t="s">
        <v>119</v>
      </c>
      <c r="F1345">
        <v>4000</v>
      </c>
      <c r="G1345" t="s">
        <v>25</v>
      </c>
      <c r="H1345" t="s">
        <v>3574</v>
      </c>
      <c r="I1345" t="s">
        <v>71</v>
      </c>
      <c r="J1345">
        <v>51200</v>
      </c>
      <c r="K1345" t="s">
        <v>3</v>
      </c>
      <c r="L1345" t="s">
        <v>3570</v>
      </c>
      <c r="M1345" t="s">
        <v>3</v>
      </c>
      <c r="N1345" t="s">
        <v>75</v>
      </c>
      <c r="O1345" s="25" t="s">
        <v>3830</v>
      </c>
      <c r="P1345" s="25">
        <v>1</v>
      </c>
      <c r="Q1345" s="25">
        <v>51200</v>
      </c>
      <c r="R1345" s="25" t="s">
        <v>26</v>
      </c>
      <c r="S1345" s="25" t="s">
        <v>26</v>
      </c>
      <c r="T1345" s="25">
        <f t="shared" si="20"/>
        <v>51200</v>
      </c>
    </row>
    <row r="1346" spans="1:20">
      <c r="A1346" t="s">
        <v>3575</v>
      </c>
      <c r="B1346">
        <v>45925</v>
      </c>
      <c r="C1346" t="s">
        <v>93</v>
      </c>
      <c r="D1346" t="s">
        <v>111</v>
      </c>
      <c r="E1346" t="s">
        <v>170</v>
      </c>
      <c r="F1346">
        <v>4000</v>
      </c>
      <c r="G1346" t="s">
        <v>25</v>
      </c>
      <c r="H1346" t="s">
        <v>3576</v>
      </c>
      <c r="I1346" t="s">
        <v>71</v>
      </c>
      <c r="J1346">
        <v>50400</v>
      </c>
      <c r="K1346" t="s">
        <v>3</v>
      </c>
      <c r="L1346" t="s">
        <v>3570</v>
      </c>
      <c r="M1346" t="s">
        <v>3</v>
      </c>
      <c r="N1346" t="s">
        <v>75</v>
      </c>
      <c r="O1346" s="25" t="s">
        <v>3830</v>
      </c>
      <c r="P1346" s="25">
        <v>1</v>
      </c>
      <c r="Q1346" s="25">
        <v>50400</v>
      </c>
      <c r="R1346" s="25" t="s">
        <v>26</v>
      </c>
      <c r="S1346" s="25" t="s">
        <v>26</v>
      </c>
      <c r="T1346" s="25">
        <f t="shared" ref="T1346:T1409" si="21">IF(AND(S1346="Revenue",G1346&lt;&gt;"Refunds &amp; Chargebacks"),ABS(Q1346),-ABS(Q1346))</f>
        <v>50400</v>
      </c>
    </row>
    <row r="1347" spans="1:20">
      <c r="A1347" t="s">
        <v>3577</v>
      </c>
      <c r="B1347">
        <v>45925</v>
      </c>
      <c r="C1347" t="s">
        <v>93</v>
      </c>
      <c r="D1347" t="s">
        <v>111</v>
      </c>
      <c r="E1347" t="s">
        <v>122</v>
      </c>
      <c r="F1347">
        <v>4000</v>
      </c>
      <c r="G1347" t="s">
        <v>25</v>
      </c>
      <c r="H1347" t="s">
        <v>3578</v>
      </c>
      <c r="I1347" t="s">
        <v>71</v>
      </c>
      <c r="J1347">
        <v>49400</v>
      </c>
      <c r="K1347" t="s">
        <v>3</v>
      </c>
      <c r="L1347" t="s">
        <v>3579</v>
      </c>
      <c r="M1347" t="s">
        <v>3</v>
      </c>
      <c r="N1347" t="s">
        <v>75</v>
      </c>
      <c r="O1347" s="25" t="s">
        <v>3830</v>
      </c>
      <c r="P1347" s="25">
        <v>1</v>
      </c>
      <c r="Q1347" s="25">
        <v>49400</v>
      </c>
      <c r="R1347" s="25" t="s">
        <v>26</v>
      </c>
      <c r="S1347" s="25" t="s">
        <v>26</v>
      </c>
      <c r="T1347" s="25">
        <f t="shared" si="21"/>
        <v>49400</v>
      </c>
    </row>
    <row r="1348" spans="1:20">
      <c r="A1348" t="s">
        <v>3580</v>
      </c>
      <c r="B1348">
        <v>45925</v>
      </c>
      <c r="C1348" t="s">
        <v>126</v>
      </c>
      <c r="D1348" t="s">
        <v>88</v>
      </c>
      <c r="E1348" t="s">
        <v>127</v>
      </c>
      <c r="F1348">
        <v>4020</v>
      </c>
      <c r="G1348" t="s">
        <v>30</v>
      </c>
      <c r="H1348" t="s">
        <v>3581</v>
      </c>
      <c r="I1348" t="s">
        <v>71</v>
      </c>
      <c r="J1348">
        <v>52400</v>
      </c>
      <c r="K1348" t="s">
        <v>129</v>
      </c>
      <c r="L1348" t="s">
        <v>3582</v>
      </c>
      <c r="M1348" t="s">
        <v>3</v>
      </c>
      <c r="N1348" t="s">
        <v>75</v>
      </c>
      <c r="O1348" s="25" t="s">
        <v>3830</v>
      </c>
      <c r="P1348" s="25">
        <v>1</v>
      </c>
      <c r="Q1348" s="25">
        <v>52400</v>
      </c>
      <c r="R1348" s="25" t="s">
        <v>26</v>
      </c>
      <c r="S1348" s="25" t="s">
        <v>26</v>
      </c>
      <c r="T1348" s="25">
        <f t="shared" si="21"/>
        <v>52400</v>
      </c>
    </row>
    <row r="1349" spans="1:20">
      <c r="A1349" t="s">
        <v>3583</v>
      </c>
      <c r="B1349">
        <v>45925</v>
      </c>
      <c r="C1349" t="s">
        <v>126</v>
      </c>
      <c r="D1349" t="s">
        <v>88</v>
      </c>
      <c r="E1349" t="s">
        <v>132</v>
      </c>
      <c r="F1349">
        <v>4020</v>
      </c>
      <c r="G1349" t="s">
        <v>30</v>
      </c>
      <c r="H1349" t="s">
        <v>3584</v>
      </c>
      <c r="I1349" t="s">
        <v>72</v>
      </c>
      <c r="J1349">
        <v>28.86</v>
      </c>
      <c r="K1349" t="s">
        <v>134</v>
      </c>
      <c r="L1349" t="s">
        <v>3582</v>
      </c>
      <c r="M1349" t="s">
        <v>3</v>
      </c>
      <c r="N1349" t="s">
        <v>75</v>
      </c>
      <c r="O1349" s="25" t="s">
        <v>3831</v>
      </c>
      <c r="P1349" s="25">
        <v>1611</v>
      </c>
      <c r="Q1349" s="25">
        <v>46493.46</v>
      </c>
      <c r="R1349" s="25" t="s">
        <v>26</v>
      </c>
      <c r="S1349" s="25" t="s">
        <v>26</v>
      </c>
      <c r="T1349" s="25">
        <f t="shared" si="21"/>
        <v>46493.46</v>
      </c>
    </row>
    <row r="1350" spans="1:20">
      <c r="A1350" t="s">
        <v>3585</v>
      </c>
      <c r="B1350">
        <v>45925</v>
      </c>
      <c r="C1350" t="s">
        <v>126</v>
      </c>
      <c r="D1350" t="s">
        <v>88</v>
      </c>
      <c r="E1350" t="s">
        <v>136</v>
      </c>
      <c r="F1350">
        <v>4020</v>
      </c>
      <c r="G1350" t="s">
        <v>30</v>
      </c>
      <c r="H1350" t="s">
        <v>3586</v>
      </c>
      <c r="I1350" t="s">
        <v>71</v>
      </c>
      <c r="J1350">
        <v>53700</v>
      </c>
      <c r="K1350" t="s">
        <v>138</v>
      </c>
      <c r="L1350" t="s">
        <v>3582</v>
      </c>
      <c r="M1350" t="s">
        <v>3</v>
      </c>
      <c r="N1350" t="s">
        <v>75</v>
      </c>
      <c r="O1350" s="25" t="s">
        <v>3830</v>
      </c>
      <c r="P1350" s="25">
        <v>1</v>
      </c>
      <c r="Q1350" s="25">
        <v>53700</v>
      </c>
      <c r="R1350" s="25" t="s">
        <v>26</v>
      </c>
      <c r="S1350" s="25" t="s">
        <v>26</v>
      </c>
      <c r="T1350" s="25">
        <f t="shared" si="21"/>
        <v>53700</v>
      </c>
    </row>
    <row r="1351" spans="1:20">
      <c r="A1351" t="s">
        <v>3587</v>
      </c>
      <c r="B1351">
        <v>45925</v>
      </c>
      <c r="C1351" t="s">
        <v>126</v>
      </c>
      <c r="D1351" t="s">
        <v>88</v>
      </c>
      <c r="E1351" t="s">
        <v>140</v>
      </c>
      <c r="F1351">
        <v>4020</v>
      </c>
      <c r="G1351" t="s">
        <v>30</v>
      </c>
      <c r="H1351" t="s">
        <v>3588</v>
      </c>
      <c r="I1351" t="s">
        <v>71</v>
      </c>
      <c r="J1351">
        <v>50600</v>
      </c>
      <c r="K1351" t="s">
        <v>3</v>
      </c>
      <c r="L1351" t="s">
        <v>3589</v>
      </c>
      <c r="M1351" t="s">
        <v>3</v>
      </c>
      <c r="N1351" t="s">
        <v>75</v>
      </c>
      <c r="O1351" s="25" t="s">
        <v>3830</v>
      </c>
      <c r="P1351" s="25">
        <v>1</v>
      </c>
      <c r="Q1351" s="25">
        <v>50600</v>
      </c>
      <c r="R1351" s="25" t="s">
        <v>26</v>
      </c>
      <c r="S1351" s="25" t="s">
        <v>26</v>
      </c>
      <c r="T1351" s="25">
        <f t="shared" si="21"/>
        <v>50600</v>
      </c>
    </row>
    <row r="1352" spans="1:20">
      <c r="A1352" t="s">
        <v>3590</v>
      </c>
      <c r="B1352">
        <v>45925</v>
      </c>
      <c r="C1352" t="s">
        <v>87</v>
      </c>
      <c r="D1352" t="s">
        <v>94</v>
      </c>
      <c r="E1352" t="s">
        <v>3</v>
      </c>
      <c r="F1352">
        <v>5020</v>
      </c>
      <c r="G1352" t="s">
        <v>39</v>
      </c>
      <c r="H1352" t="s">
        <v>2694</v>
      </c>
      <c r="I1352" t="s">
        <v>71</v>
      </c>
      <c r="J1352">
        <v>-106000</v>
      </c>
      <c r="K1352" t="s">
        <v>276</v>
      </c>
      <c r="L1352" t="s">
        <v>3591</v>
      </c>
      <c r="M1352" t="s">
        <v>3</v>
      </c>
      <c r="N1352" t="s">
        <v>75</v>
      </c>
      <c r="O1352" s="25" t="s">
        <v>3830</v>
      </c>
      <c r="P1352" s="25">
        <v>1</v>
      </c>
      <c r="Q1352" s="25">
        <v>-106000</v>
      </c>
      <c r="R1352" s="25" t="s">
        <v>35</v>
      </c>
      <c r="S1352" s="25" t="s">
        <v>35</v>
      </c>
      <c r="T1352" s="25">
        <f t="shared" si="21"/>
        <v>-106000</v>
      </c>
    </row>
    <row r="1353" spans="1:20">
      <c r="A1353" t="s">
        <v>3592</v>
      </c>
      <c r="B1353">
        <v>45925</v>
      </c>
      <c r="C1353" t="s">
        <v>87</v>
      </c>
      <c r="D1353" t="s">
        <v>94</v>
      </c>
      <c r="E1353" t="s">
        <v>3</v>
      </c>
      <c r="F1353">
        <v>5050</v>
      </c>
      <c r="G1353" t="s">
        <v>45</v>
      </c>
      <c r="H1353" t="s">
        <v>3073</v>
      </c>
      <c r="I1353" t="s">
        <v>71</v>
      </c>
      <c r="J1353">
        <v>-309000</v>
      </c>
      <c r="K1353" t="s">
        <v>668</v>
      </c>
      <c r="L1353" t="s">
        <v>3593</v>
      </c>
      <c r="M1353" t="s">
        <v>3</v>
      </c>
      <c r="N1353" t="s">
        <v>75</v>
      </c>
      <c r="O1353" s="25" t="s">
        <v>3830</v>
      </c>
      <c r="P1353" s="25">
        <v>1</v>
      </c>
      <c r="Q1353" s="25">
        <v>-309000</v>
      </c>
      <c r="R1353" s="25" t="s">
        <v>35</v>
      </c>
      <c r="S1353" s="25" t="s">
        <v>35</v>
      </c>
      <c r="T1353" s="25">
        <f t="shared" si="21"/>
        <v>-309000</v>
      </c>
    </row>
    <row r="1354" spans="1:20">
      <c r="A1354" t="s">
        <v>3594</v>
      </c>
      <c r="B1354">
        <v>45925</v>
      </c>
      <c r="C1354" t="s">
        <v>1106</v>
      </c>
      <c r="D1354" t="s">
        <v>94</v>
      </c>
      <c r="E1354" t="s">
        <v>3</v>
      </c>
      <c r="F1354">
        <v>6000</v>
      </c>
      <c r="G1354" t="s">
        <v>47</v>
      </c>
      <c r="H1354" t="s">
        <v>3595</v>
      </c>
      <c r="I1354" t="s">
        <v>71</v>
      </c>
      <c r="J1354">
        <v>-3212768</v>
      </c>
      <c r="K1354" t="s">
        <v>1108</v>
      </c>
      <c r="L1354" t="s">
        <v>3596</v>
      </c>
      <c r="M1354" t="s">
        <v>3</v>
      </c>
      <c r="N1354" t="s">
        <v>75</v>
      </c>
      <c r="O1354" s="25" t="s">
        <v>3830</v>
      </c>
      <c r="P1354" s="25">
        <v>1</v>
      </c>
      <c r="Q1354" s="25">
        <v>-3212768</v>
      </c>
      <c r="R1354" s="25" t="s">
        <v>48</v>
      </c>
      <c r="S1354" s="25" t="s">
        <v>48</v>
      </c>
      <c r="T1354" s="25">
        <f t="shared" si="21"/>
        <v>-3212768</v>
      </c>
    </row>
    <row r="1355" spans="1:20">
      <c r="A1355" t="s">
        <v>3597</v>
      </c>
      <c r="B1355">
        <v>45925</v>
      </c>
      <c r="C1355" t="s">
        <v>1106</v>
      </c>
      <c r="D1355" t="s">
        <v>111</v>
      </c>
      <c r="E1355" t="s">
        <v>3</v>
      </c>
      <c r="F1355">
        <v>6000</v>
      </c>
      <c r="G1355" t="s">
        <v>47</v>
      </c>
      <c r="H1355" t="s">
        <v>3595</v>
      </c>
      <c r="I1355" t="s">
        <v>71</v>
      </c>
      <c r="J1355">
        <v>-4116359</v>
      </c>
      <c r="K1355" t="s">
        <v>1108</v>
      </c>
      <c r="L1355" t="s">
        <v>3596</v>
      </c>
      <c r="M1355" t="s">
        <v>3</v>
      </c>
      <c r="N1355" t="s">
        <v>75</v>
      </c>
      <c r="O1355" s="25" t="s">
        <v>3830</v>
      </c>
      <c r="P1355" s="25">
        <v>1</v>
      </c>
      <c r="Q1355" s="25">
        <v>-4116359</v>
      </c>
      <c r="R1355" s="25" t="s">
        <v>48</v>
      </c>
      <c r="S1355" s="25" t="s">
        <v>48</v>
      </c>
      <c r="T1355" s="25">
        <f t="shared" si="21"/>
        <v>-4116359</v>
      </c>
    </row>
    <row r="1356" spans="1:20">
      <c r="A1356" t="s">
        <v>3598</v>
      </c>
      <c r="B1356">
        <v>45925</v>
      </c>
      <c r="C1356" t="s">
        <v>1106</v>
      </c>
      <c r="D1356" t="s">
        <v>88</v>
      </c>
      <c r="E1356" t="s">
        <v>3</v>
      </c>
      <c r="F1356">
        <v>6000</v>
      </c>
      <c r="G1356" t="s">
        <v>47</v>
      </c>
      <c r="H1356" t="s">
        <v>3595</v>
      </c>
      <c r="I1356" t="s">
        <v>71</v>
      </c>
      <c r="J1356">
        <v>-2710773</v>
      </c>
      <c r="K1356" t="s">
        <v>1108</v>
      </c>
      <c r="L1356" t="s">
        <v>3596</v>
      </c>
      <c r="M1356" t="s">
        <v>3</v>
      </c>
      <c r="N1356" t="s">
        <v>75</v>
      </c>
      <c r="O1356" s="25" t="s">
        <v>3830</v>
      </c>
      <c r="P1356" s="25">
        <v>1</v>
      </c>
      <c r="Q1356" s="25">
        <v>-2710773</v>
      </c>
      <c r="R1356" s="25" t="s">
        <v>48</v>
      </c>
      <c r="S1356" s="25" t="s">
        <v>48</v>
      </c>
      <c r="T1356" s="25">
        <f t="shared" si="21"/>
        <v>-2710773</v>
      </c>
    </row>
    <row r="1357" spans="1:20">
      <c r="A1357" t="s">
        <v>3599</v>
      </c>
      <c r="B1357">
        <v>45925</v>
      </c>
      <c r="C1357" t="s">
        <v>1106</v>
      </c>
      <c r="D1357" t="s">
        <v>88</v>
      </c>
      <c r="E1357" t="s">
        <v>3</v>
      </c>
      <c r="F1357">
        <v>6000</v>
      </c>
      <c r="G1357" t="s">
        <v>47</v>
      </c>
      <c r="H1357" t="s">
        <v>3600</v>
      </c>
      <c r="I1357" t="s">
        <v>71</v>
      </c>
      <c r="J1357">
        <v>-540000</v>
      </c>
      <c r="K1357" t="s">
        <v>1108</v>
      </c>
      <c r="L1357" t="s">
        <v>3601</v>
      </c>
      <c r="M1357" t="s">
        <v>3</v>
      </c>
      <c r="N1357" t="s">
        <v>75</v>
      </c>
      <c r="O1357" s="25" t="s">
        <v>3830</v>
      </c>
      <c r="P1357" s="25">
        <v>1</v>
      </c>
      <c r="Q1357" s="25">
        <v>-540000</v>
      </c>
      <c r="R1357" s="25" t="s">
        <v>48</v>
      </c>
      <c r="S1357" s="25" t="s">
        <v>48</v>
      </c>
      <c r="T1357" s="25">
        <f t="shared" si="21"/>
        <v>-540000</v>
      </c>
    </row>
    <row r="1358" spans="1:20">
      <c r="A1358" t="s">
        <v>3602</v>
      </c>
      <c r="B1358">
        <v>45926</v>
      </c>
      <c r="C1358" t="s">
        <v>93</v>
      </c>
      <c r="D1358" t="s">
        <v>94</v>
      </c>
      <c r="E1358" t="s">
        <v>95</v>
      </c>
      <c r="F1358">
        <v>4000</v>
      </c>
      <c r="G1358" t="s">
        <v>25</v>
      </c>
      <c r="H1358" t="s">
        <v>3603</v>
      </c>
      <c r="I1358" t="s">
        <v>71</v>
      </c>
      <c r="J1358">
        <v>33100</v>
      </c>
      <c r="K1358" t="s">
        <v>3</v>
      </c>
      <c r="L1358" t="s">
        <v>3604</v>
      </c>
      <c r="M1358" t="s">
        <v>3</v>
      </c>
      <c r="N1358" t="s">
        <v>75</v>
      </c>
      <c r="O1358" s="25" t="s">
        <v>3830</v>
      </c>
      <c r="P1358" s="25">
        <v>1</v>
      </c>
      <c r="Q1358" s="25">
        <v>33100</v>
      </c>
      <c r="R1358" s="25" t="s">
        <v>26</v>
      </c>
      <c r="S1358" s="25" t="s">
        <v>26</v>
      </c>
      <c r="T1358" s="25">
        <f t="shared" si="21"/>
        <v>33100</v>
      </c>
    </row>
    <row r="1359" spans="1:20">
      <c r="A1359" t="s">
        <v>3605</v>
      </c>
      <c r="B1359">
        <v>45926</v>
      </c>
      <c r="C1359" t="s">
        <v>93</v>
      </c>
      <c r="D1359" t="s">
        <v>94</v>
      </c>
      <c r="E1359" t="s">
        <v>99</v>
      </c>
      <c r="F1359">
        <v>4000</v>
      </c>
      <c r="G1359" t="s">
        <v>25</v>
      </c>
      <c r="H1359" t="s">
        <v>3606</v>
      </c>
      <c r="I1359" t="s">
        <v>71</v>
      </c>
      <c r="J1359">
        <v>31900</v>
      </c>
      <c r="K1359" t="s">
        <v>3</v>
      </c>
      <c r="L1359" t="s">
        <v>3607</v>
      </c>
      <c r="M1359" t="s">
        <v>3</v>
      </c>
      <c r="N1359" t="s">
        <v>75</v>
      </c>
      <c r="O1359" s="25" t="s">
        <v>3830</v>
      </c>
      <c r="P1359" s="25">
        <v>1</v>
      </c>
      <c r="Q1359" s="25">
        <v>31900</v>
      </c>
      <c r="R1359" s="25" t="s">
        <v>26</v>
      </c>
      <c r="S1359" s="25" t="s">
        <v>26</v>
      </c>
      <c r="T1359" s="25">
        <f t="shared" si="21"/>
        <v>31900</v>
      </c>
    </row>
    <row r="1360" spans="1:20">
      <c r="A1360" t="s">
        <v>3608</v>
      </c>
      <c r="B1360">
        <v>45926</v>
      </c>
      <c r="C1360" t="s">
        <v>93</v>
      </c>
      <c r="D1360" t="s">
        <v>94</v>
      </c>
      <c r="E1360" t="s">
        <v>103</v>
      </c>
      <c r="F1360">
        <v>4000</v>
      </c>
      <c r="G1360" t="s">
        <v>25</v>
      </c>
      <c r="H1360" t="s">
        <v>3609</v>
      </c>
      <c r="I1360" t="s">
        <v>71</v>
      </c>
      <c r="J1360">
        <v>31400</v>
      </c>
      <c r="K1360" t="s">
        <v>3</v>
      </c>
      <c r="L1360" t="s">
        <v>3610</v>
      </c>
      <c r="M1360" t="s">
        <v>3</v>
      </c>
      <c r="N1360" t="s">
        <v>75</v>
      </c>
      <c r="O1360" s="25" t="s">
        <v>3830</v>
      </c>
      <c r="P1360" s="25">
        <v>1</v>
      </c>
      <c r="Q1360" s="25">
        <v>31400</v>
      </c>
      <c r="R1360" s="25" t="s">
        <v>26</v>
      </c>
      <c r="S1360" s="25" t="s">
        <v>26</v>
      </c>
      <c r="T1360" s="25">
        <f t="shared" si="21"/>
        <v>31400</v>
      </c>
    </row>
    <row r="1361" spans="1:20">
      <c r="A1361" t="s">
        <v>3611</v>
      </c>
      <c r="B1361">
        <v>45926</v>
      </c>
      <c r="C1361" t="s">
        <v>93</v>
      </c>
      <c r="D1361" t="s">
        <v>94</v>
      </c>
      <c r="E1361" t="s">
        <v>160</v>
      </c>
      <c r="F1361">
        <v>4000</v>
      </c>
      <c r="G1361" t="s">
        <v>25</v>
      </c>
      <c r="H1361" t="s">
        <v>3612</v>
      </c>
      <c r="I1361" t="s">
        <v>71</v>
      </c>
      <c r="J1361">
        <v>31500</v>
      </c>
      <c r="K1361" t="s">
        <v>3</v>
      </c>
      <c r="L1361" t="s">
        <v>3610</v>
      </c>
      <c r="M1361" t="s">
        <v>3</v>
      </c>
      <c r="N1361" t="s">
        <v>75</v>
      </c>
      <c r="O1361" s="25" t="s">
        <v>3830</v>
      </c>
      <c r="P1361" s="25">
        <v>1</v>
      </c>
      <c r="Q1361" s="25">
        <v>31500</v>
      </c>
      <c r="R1361" s="25" t="s">
        <v>26</v>
      </c>
      <c r="S1361" s="25" t="s">
        <v>26</v>
      </c>
      <c r="T1361" s="25">
        <f t="shared" si="21"/>
        <v>31500</v>
      </c>
    </row>
    <row r="1362" spans="1:20">
      <c r="A1362" t="s">
        <v>3613</v>
      </c>
      <c r="B1362">
        <v>45926</v>
      </c>
      <c r="C1362" t="s">
        <v>93</v>
      </c>
      <c r="D1362" t="s">
        <v>94</v>
      </c>
      <c r="E1362" t="s">
        <v>107</v>
      </c>
      <c r="F1362">
        <v>4000</v>
      </c>
      <c r="G1362" t="s">
        <v>25</v>
      </c>
      <c r="H1362" t="s">
        <v>3614</v>
      </c>
      <c r="I1362" t="s">
        <v>71</v>
      </c>
      <c r="J1362">
        <v>29400</v>
      </c>
      <c r="K1362" t="s">
        <v>3</v>
      </c>
      <c r="L1362" t="s">
        <v>3615</v>
      </c>
      <c r="M1362" t="s">
        <v>3</v>
      </c>
      <c r="N1362" t="s">
        <v>75</v>
      </c>
      <c r="O1362" s="25" t="s">
        <v>3830</v>
      </c>
      <c r="P1362" s="25">
        <v>1</v>
      </c>
      <c r="Q1362" s="25">
        <v>29400</v>
      </c>
      <c r="R1362" s="25" t="s">
        <v>26</v>
      </c>
      <c r="S1362" s="25" t="s">
        <v>26</v>
      </c>
      <c r="T1362" s="25">
        <f t="shared" si="21"/>
        <v>29400</v>
      </c>
    </row>
    <row r="1363" spans="1:20">
      <c r="A1363" t="s">
        <v>3616</v>
      </c>
      <c r="B1363">
        <v>45926</v>
      </c>
      <c r="C1363" t="s">
        <v>93</v>
      </c>
      <c r="D1363" t="s">
        <v>111</v>
      </c>
      <c r="E1363" t="s">
        <v>116</v>
      </c>
      <c r="F1363">
        <v>4000</v>
      </c>
      <c r="G1363" t="s">
        <v>25</v>
      </c>
      <c r="H1363" t="s">
        <v>3617</v>
      </c>
      <c r="I1363" t="s">
        <v>71</v>
      </c>
      <c r="J1363">
        <v>52000</v>
      </c>
      <c r="K1363" t="s">
        <v>3</v>
      </c>
      <c r="L1363" t="s">
        <v>3618</v>
      </c>
      <c r="M1363" t="s">
        <v>3</v>
      </c>
      <c r="N1363" t="s">
        <v>75</v>
      </c>
      <c r="O1363" s="25" t="s">
        <v>3830</v>
      </c>
      <c r="P1363" s="25">
        <v>1</v>
      </c>
      <c r="Q1363" s="25">
        <v>52000</v>
      </c>
      <c r="R1363" s="25" t="s">
        <v>26</v>
      </c>
      <c r="S1363" s="25" t="s">
        <v>26</v>
      </c>
      <c r="T1363" s="25">
        <f t="shared" si="21"/>
        <v>52000</v>
      </c>
    </row>
    <row r="1364" spans="1:20">
      <c r="A1364" t="s">
        <v>3619</v>
      </c>
      <c r="B1364">
        <v>45926</v>
      </c>
      <c r="C1364" t="s">
        <v>93</v>
      </c>
      <c r="D1364" t="s">
        <v>111</v>
      </c>
      <c r="E1364" t="s">
        <v>119</v>
      </c>
      <c r="F1364">
        <v>4000</v>
      </c>
      <c r="G1364" t="s">
        <v>25</v>
      </c>
      <c r="H1364" t="s">
        <v>3620</v>
      </c>
      <c r="I1364" t="s">
        <v>71</v>
      </c>
      <c r="J1364">
        <v>52800</v>
      </c>
      <c r="K1364" t="s">
        <v>3</v>
      </c>
      <c r="L1364" t="s">
        <v>3618</v>
      </c>
      <c r="M1364" t="s">
        <v>3</v>
      </c>
      <c r="N1364" t="s">
        <v>75</v>
      </c>
      <c r="O1364" s="25" t="s">
        <v>3830</v>
      </c>
      <c r="P1364" s="25">
        <v>1</v>
      </c>
      <c r="Q1364" s="25">
        <v>52800</v>
      </c>
      <c r="R1364" s="25" t="s">
        <v>26</v>
      </c>
      <c r="S1364" s="25" t="s">
        <v>26</v>
      </c>
      <c r="T1364" s="25">
        <f t="shared" si="21"/>
        <v>52800</v>
      </c>
    </row>
    <row r="1365" spans="1:20">
      <c r="A1365" t="s">
        <v>3621</v>
      </c>
      <c r="B1365">
        <v>45926</v>
      </c>
      <c r="C1365" t="s">
        <v>93</v>
      </c>
      <c r="D1365" t="s">
        <v>111</v>
      </c>
      <c r="E1365" t="s">
        <v>170</v>
      </c>
      <c r="F1365">
        <v>4000</v>
      </c>
      <c r="G1365" t="s">
        <v>25</v>
      </c>
      <c r="H1365" t="s">
        <v>3622</v>
      </c>
      <c r="I1365" t="s">
        <v>71</v>
      </c>
      <c r="J1365">
        <v>49900</v>
      </c>
      <c r="K1365" t="s">
        <v>3</v>
      </c>
      <c r="L1365" t="s">
        <v>3618</v>
      </c>
      <c r="M1365" t="s">
        <v>3</v>
      </c>
      <c r="N1365" t="s">
        <v>75</v>
      </c>
      <c r="O1365" s="25" t="s">
        <v>3830</v>
      </c>
      <c r="P1365" s="25">
        <v>1</v>
      </c>
      <c r="Q1365" s="25">
        <v>49900</v>
      </c>
      <c r="R1365" s="25" t="s">
        <v>26</v>
      </c>
      <c r="S1365" s="25" t="s">
        <v>26</v>
      </c>
      <c r="T1365" s="25">
        <f t="shared" si="21"/>
        <v>49900</v>
      </c>
    </row>
    <row r="1366" spans="1:20">
      <c r="A1366" t="s">
        <v>3623</v>
      </c>
      <c r="B1366">
        <v>45926</v>
      </c>
      <c r="C1366" t="s">
        <v>93</v>
      </c>
      <c r="D1366" t="s">
        <v>111</v>
      </c>
      <c r="E1366" t="s">
        <v>122</v>
      </c>
      <c r="F1366">
        <v>4000</v>
      </c>
      <c r="G1366" t="s">
        <v>25</v>
      </c>
      <c r="H1366" t="s">
        <v>3624</v>
      </c>
      <c r="I1366" t="s">
        <v>71</v>
      </c>
      <c r="J1366">
        <v>48000</v>
      </c>
      <c r="K1366" t="s">
        <v>3</v>
      </c>
      <c r="L1366" t="s">
        <v>3625</v>
      </c>
      <c r="M1366" t="s">
        <v>3</v>
      </c>
      <c r="N1366" t="s">
        <v>75</v>
      </c>
      <c r="O1366" s="25" t="s">
        <v>3830</v>
      </c>
      <c r="P1366" s="25">
        <v>1</v>
      </c>
      <c r="Q1366" s="25">
        <v>48000</v>
      </c>
      <c r="R1366" s="25" t="s">
        <v>26</v>
      </c>
      <c r="S1366" s="25" t="s">
        <v>26</v>
      </c>
      <c r="T1366" s="25">
        <f t="shared" si="21"/>
        <v>48000</v>
      </c>
    </row>
    <row r="1367" spans="1:20">
      <c r="A1367" t="s">
        <v>3626</v>
      </c>
      <c r="B1367">
        <v>45926</v>
      </c>
      <c r="C1367" t="s">
        <v>126</v>
      </c>
      <c r="D1367" t="s">
        <v>88</v>
      </c>
      <c r="E1367" t="s">
        <v>127</v>
      </c>
      <c r="F1367">
        <v>4020</v>
      </c>
      <c r="G1367" t="s">
        <v>30</v>
      </c>
      <c r="H1367" t="s">
        <v>3627</v>
      </c>
      <c r="I1367" t="s">
        <v>72</v>
      </c>
      <c r="J1367">
        <v>34.57</v>
      </c>
      <c r="K1367" t="s">
        <v>129</v>
      </c>
      <c r="L1367" t="s">
        <v>3628</v>
      </c>
      <c r="M1367" t="s">
        <v>3</v>
      </c>
      <c r="N1367" t="s">
        <v>75</v>
      </c>
      <c r="O1367" s="25" t="s">
        <v>3831</v>
      </c>
      <c r="P1367" s="25">
        <v>1611</v>
      </c>
      <c r="Q1367" s="25">
        <v>55692.270000000004</v>
      </c>
      <c r="R1367" s="25" t="s">
        <v>26</v>
      </c>
      <c r="S1367" s="25" t="s">
        <v>26</v>
      </c>
      <c r="T1367" s="25">
        <f t="shared" si="21"/>
        <v>55692.270000000004</v>
      </c>
    </row>
    <row r="1368" spans="1:20">
      <c r="A1368" t="s">
        <v>3629</v>
      </c>
      <c r="B1368">
        <v>45926</v>
      </c>
      <c r="C1368" t="s">
        <v>126</v>
      </c>
      <c r="D1368" t="s">
        <v>88</v>
      </c>
      <c r="E1368" t="s">
        <v>136</v>
      </c>
      <c r="F1368">
        <v>4020</v>
      </c>
      <c r="G1368" t="s">
        <v>30</v>
      </c>
      <c r="H1368" t="s">
        <v>3630</v>
      </c>
      <c r="I1368" t="s">
        <v>71</v>
      </c>
      <c r="J1368">
        <v>56400</v>
      </c>
      <c r="K1368" t="s">
        <v>138</v>
      </c>
      <c r="L1368" t="s">
        <v>3628</v>
      </c>
      <c r="M1368" t="s">
        <v>3</v>
      </c>
      <c r="N1368" t="s">
        <v>75</v>
      </c>
      <c r="O1368" s="25" t="s">
        <v>3830</v>
      </c>
      <c r="P1368" s="25">
        <v>1</v>
      </c>
      <c r="Q1368" s="25">
        <v>56400</v>
      </c>
      <c r="R1368" s="25" t="s">
        <v>26</v>
      </c>
      <c r="S1368" s="25" t="s">
        <v>26</v>
      </c>
      <c r="T1368" s="25">
        <f t="shared" si="21"/>
        <v>56400</v>
      </c>
    </row>
    <row r="1369" spans="1:20">
      <c r="A1369" t="s">
        <v>3631</v>
      </c>
      <c r="B1369">
        <v>45926</v>
      </c>
      <c r="C1369" t="s">
        <v>126</v>
      </c>
      <c r="D1369" t="s">
        <v>88</v>
      </c>
      <c r="E1369" t="s">
        <v>140</v>
      </c>
      <c r="F1369">
        <v>4020</v>
      </c>
      <c r="G1369" t="s">
        <v>30</v>
      </c>
      <c r="H1369" t="s">
        <v>3632</v>
      </c>
      <c r="I1369" t="s">
        <v>71</v>
      </c>
      <c r="J1369">
        <v>51800</v>
      </c>
      <c r="K1369" t="s">
        <v>3</v>
      </c>
      <c r="L1369" t="s">
        <v>3633</v>
      </c>
      <c r="M1369" t="s">
        <v>3</v>
      </c>
      <c r="N1369" t="s">
        <v>75</v>
      </c>
      <c r="O1369" s="25" t="s">
        <v>3830</v>
      </c>
      <c r="P1369" s="25">
        <v>1</v>
      </c>
      <c r="Q1369" s="25">
        <v>51800</v>
      </c>
      <c r="R1369" s="25" t="s">
        <v>26</v>
      </c>
      <c r="S1369" s="25" t="s">
        <v>26</v>
      </c>
      <c r="T1369" s="25">
        <f t="shared" si="21"/>
        <v>51800</v>
      </c>
    </row>
    <row r="1370" spans="1:20">
      <c r="A1370" t="s">
        <v>3634</v>
      </c>
      <c r="B1370">
        <v>45926</v>
      </c>
      <c r="C1370" t="s">
        <v>87</v>
      </c>
      <c r="D1370" t="s">
        <v>94</v>
      </c>
      <c r="E1370" t="s">
        <v>3</v>
      </c>
      <c r="F1370">
        <v>5040</v>
      </c>
      <c r="G1370" t="s">
        <v>43</v>
      </c>
      <c r="H1370" t="s">
        <v>2861</v>
      </c>
      <c r="I1370" t="s">
        <v>71</v>
      </c>
      <c r="J1370">
        <v>-496000</v>
      </c>
      <c r="K1370" t="s">
        <v>187</v>
      </c>
      <c r="L1370" t="s">
        <v>3635</v>
      </c>
      <c r="M1370" t="s">
        <v>3</v>
      </c>
      <c r="N1370" t="s">
        <v>75</v>
      </c>
      <c r="O1370" s="25" t="s">
        <v>3830</v>
      </c>
      <c r="P1370" s="25">
        <v>1</v>
      </c>
      <c r="Q1370" s="25">
        <v>-496000</v>
      </c>
      <c r="R1370" s="25" t="s">
        <v>35</v>
      </c>
      <c r="S1370" s="25" t="s">
        <v>35</v>
      </c>
      <c r="T1370" s="25">
        <f t="shared" si="21"/>
        <v>-496000</v>
      </c>
    </row>
    <row r="1371" spans="1:20">
      <c r="A1371" t="s">
        <v>3636</v>
      </c>
      <c r="B1371">
        <v>45926</v>
      </c>
      <c r="C1371" t="s">
        <v>87</v>
      </c>
      <c r="D1371" t="s">
        <v>111</v>
      </c>
      <c r="E1371" t="s">
        <v>3</v>
      </c>
      <c r="F1371">
        <v>5010</v>
      </c>
      <c r="G1371" t="s">
        <v>37</v>
      </c>
      <c r="H1371" t="s">
        <v>2732</v>
      </c>
      <c r="I1371" t="s">
        <v>71</v>
      </c>
      <c r="J1371">
        <v>-1091000</v>
      </c>
      <c r="K1371" t="s">
        <v>195</v>
      </c>
      <c r="L1371" t="s">
        <v>3637</v>
      </c>
      <c r="M1371" t="s">
        <v>3</v>
      </c>
      <c r="N1371" t="s">
        <v>75</v>
      </c>
      <c r="O1371" s="25" t="s">
        <v>3830</v>
      </c>
      <c r="P1371" s="25">
        <v>1</v>
      </c>
      <c r="Q1371" s="25">
        <v>-1091000</v>
      </c>
      <c r="R1371" s="25" t="s">
        <v>35</v>
      </c>
      <c r="S1371" s="25" t="s">
        <v>35</v>
      </c>
      <c r="T1371" s="25">
        <f t="shared" si="21"/>
        <v>-1091000</v>
      </c>
    </row>
    <row r="1372" spans="1:20">
      <c r="A1372" t="s">
        <v>3638</v>
      </c>
      <c r="B1372">
        <v>45927</v>
      </c>
      <c r="C1372" t="s">
        <v>93</v>
      </c>
      <c r="D1372" t="s">
        <v>94</v>
      </c>
      <c r="E1372" t="s">
        <v>95</v>
      </c>
      <c r="F1372">
        <v>4000</v>
      </c>
      <c r="G1372" t="s">
        <v>25</v>
      </c>
      <c r="H1372" t="s">
        <v>3639</v>
      </c>
      <c r="I1372" t="s">
        <v>71</v>
      </c>
      <c r="J1372">
        <v>37600</v>
      </c>
      <c r="K1372" t="s">
        <v>3</v>
      </c>
      <c r="L1372" t="s">
        <v>3640</v>
      </c>
      <c r="M1372" t="s">
        <v>3</v>
      </c>
      <c r="N1372" t="s">
        <v>75</v>
      </c>
      <c r="O1372" s="25" t="s">
        <v>3830</v>
      </c>
      <c r="P1372" s="25">
        <v>1</v>
      </c>
      <c r="Q1372" s="25">
        <v>37600</v>
      </c>
      <c r="R1372" s="25" t="s">
        <v>26</v>
      </c>
      <c r="S1372" s="25" t="s">
        <v>26</v>
      </c>
      <c r="T1372" s="25">
        <f t="shared" si="21"/>
        <v>37600</v>
      </c>
    </row>
    <row r="1373" spans="1:20">
      <c r="A1373" t="s">
        <v>3641</v>
      </c>
      <c r="B1373">
        <v>45927</v>
      </c>
      <c r="C1373" t="s">
        <v>93</v>
      </c>
      <c r="D1373" t="s">
        <v>94</v>
      </c>
      <c r="E1373" t="s">
        <v>99</v>
      </c>
      <c r="F1373">
        <v>4000</v>
      </c>
      <c r="G1373" t="s">
        <v>25</v>
      </c>
      <c r="H1373" t="s">
        <v>3642</v>
      </c>
      <c r="I1373" t="s">
        <v>71</v>
      </c>
      <c r="J1373">
        <v>39300</v>
      </c>
      <c r="K1373" t="s">
        <v>3</v>
      </c>
      <c r="L1373" t="s">
        <v>3643</v>
      </c>
      <c r="M1373" t="s">
        <v>3</v>
      </c>
      <c r="N1373" t="s">
        <v>75</v>
      </c>
      <c r="O1373" s="25" t="s">
        <v>3830</v>
      </c>
      <c r="P1373" s="25">
        <v>1</v>
      </c>
      <c r="Q1373" s="25">
        <v>39300</v>
      </c>
      <c r="R1373" s="25" t="s">
        <v>26</v>
      </c>
      <c r="S1373" s="25" t="s">
        <v>26</v>
      </c>
      <c r="T1373" s="25">
        <f t="shared" si="21"/>
        <v>39300</v>
      </c>
    </row>
    <row r="1374" spans="1:20">
      <c r="A1374" t="s">
        <v>3644</v>
      </c>
      <c r="B1374">
        <v>45927</v>
      </c>
      <c r="C1374" t="s">
        <v>93</v>
      </c>
      <c r="D1374" t="s">
        <v>94</v>
      </c>
      <c r="E1374" t="s">
        <v>103</v>
      </c>
      <c r="F1374">
        <v>4000</v>
      </c>
      <c r="G1374" t="s">
        <v>25</v>
      </c>
      <c r="H1374" t="s">
        <v>3645</v>
      </c>
      <c r="I1374" t="s">
        <v>71</v>
      </c>
      <c r="J1374">
        <v>35900</v>
      </c>
      <c r="K1374" t="s">
        <v>3</v>
      </c>
      <c r="L1374" t="s">
        <v>3646</v>
      </c>
      <c r="M1374" t="s">
        <v>3</v>
      </c>
      <c r="N1374" t="s">
        <v>75</v>
      </c>
      <c r="O1374" s="25" t="s">
        <v>3830</v>
      </c>
      <c r="P1374" s="25">
        <v>1</v>
      </c>
      <c r="Q1374" s="25">
        <v>35900</v>
      </c>
      <c r="R1374" s="25" t="s">
        <v>26</v>
      </c>
      <c r="S1374" s="25" t="s">
        <v>26</v>
      </c>
      <c r="T1374" s="25">
        <f t="shared" si="21"/>
        <v>35900</v>
      </c>
    </row>
    <row r="1375" spans="1:20">
      <c r="A1375" t="s">
        <v>3647</v>
      </c>
      <c r="B1375">
        <v>45927</v>
      </c>
      <c r="C1375" t="s">
        <v>93</v>
      </c>
      <c r="D1375" t="s">
        <v>94</v>
      </c>
      <c r="E1375" t="s">
        <v>160</v>
      </c>
      <c r="F1375">
        <v>4000</v>
      </c>
      <c r="G1375" t="s">
        <v>25</v>
      </c>
      <c r="H1375" t="s">
        <v>3648</v>
      </c>
      <c r="I1375" t="s">
        <v>71</v>
      </c>
      <c r="J1375">
        <v>39700</v>
      </c>
      <c r="K1375" t="s">
        <v>3</v>
      </c>
      <c r="L1375" t="s">
        <v>3646</v>
      </c>
      <c r="M1375" t="s">
        <v>3</v>
      </c>
      <c r="N1375" t="s">
        <v>75</v>
      </c>
      <c r="O1375" s="25" t="s">
        <v>3830</v>
      </c>
      <c r="P1375" s="25">
        <v>1</v>
      </c>
      <c r="Q1375" s="25">
        <v>39700</v>
      </c>
      <c r="R1375" s="25" t="s">
        <v>26</v>
      </c>
      <c r="S1375" s="25" t="s">
        <v>26</v>
      </c>
      <c r="T1375" s="25">
        <f t="shared" si="21"/>
        <v>39700</v>
      </c>
    </row>
    <row r="1376" spans="1:20">
      <c r="A1376" t="s">
        <v>3649</v>
      </c>
      <c r="B1376">
        <v>45927</v>
      </c>
      <c r="C1376" t="s">
        <v>93</v>
      </c>
      <c r="D1376" t="s">
        <v>94</v>
      </c>
      <c r="E1376" t="s">
        <v>107</v>
      </c>
      <c r="F1376">
        <v>4000</v>
      </c>
      <c r="G1376" t="s">
        <v>25</v>
      </c>
      <c r="H1376" t="s">
        <v>3650</v>
      </c>
      <c r="I1376" t="s">
        <v>71</v>
      </c>
      <c r="J1376">
        <v>39700</v>
      </c>
      <c r="K1376" t="s">
        <v>3</v>
      </c>
      <c r="L1376" t="s">
        <v>3651</v>
      </c>
      <c r="M1376" t="s">
        <v>3</v>
      </c>
      <c r="N1376" t="s">
        <v>75</v>
      </c>
      <c r="O1376" s="25" t="s">
        <v>3830</v>
      </c>
      <c r="P1376" s="25">
        <v>1</v>
      </c>
      <c r="Q1376" s="25">
        <v>39700</v>
      </c>
      <c r="R1376" s="25" t="s">
        <v>26</v>
      </c>
      <c r="S1376" s="25" t="s">
        <v>26</v>
      </c>
      <c r="T1376" s="25">
        <f t="shared" si="21"/>
        <v>39700</v>
      </c>
    </row>
    <row r="1377" spans="1:20">
      <c r="A1377" t="s">
        <v>3652</v>
      </c>
      <c r="B1377">
        <v>45927</v>
      </c>
      <c r="C1377" t="s">
        <v>93</v>
      </c>
      <c r="D1377" t="s">
        <v>111</v>
      </c>
      <c r="E1377" t="s">
        <v>112</v>
      </c>
      <c r="F1377">
        <v>4000</v>
      </c>
      <c r="G1377" t="s">
        <v>25</v>
      </c>
      <c r="H1377" t="s">
        <v>3653</v>
      </c>
      <c r="I1377" t="s">
        <v>71</v>
      </c>
      <c r="J1377">
        <v>64200</v>
      </c>
      <c r="K1377" t="s">
        <v>3</v>
      </c>
      <c r="L1377" t="s">
        <v>3654</v>
      </c>
      <c r="M1377" t="s">
        <v>3</v>
      </c>
      <c r="N1377" t="s">
        <v>75</v>
      </c>
      <c r="O1377" s="25" t="s">
        <v>3830</v>
      </c>
      <c r="P1377" s="25">
        <v>1</v>
      </c>
      <c r="Q1377" s="25">
        <v>64200</v>
      </c>
      <c r="R1377" s="25" t="s">
        <v>26</v>
      </c>
      <c r="S1377" s="25" t="s">
        <v>26</v>
      </c>
      <c r="T1377" s="25">
        <f t="shared" si="21"/>
        <v>64200</v>
      </c>
    </row>
    <row r="1378" spans="1:20">
      <c r="A1378" t="s">
        <v>3655</v>
      </c>
      <c r="B1378">
        <v>45927</v>
      </c>
      <c r="C1378" t="s">
        <v>93</v>
      </c>
      <c r="D1378" t="s">
        <v>111</v>
      </c>
      <c r="E1378" t="s">
        <v>116</v>
      </c>
      <c r="F1378">
        <v>4000</v>
      </c>
      <c r="G1378" t="s">
        <v>25</v>
      </c>
      <c r="H1378" t="s">
        <v>3656</v>
      </c>
      <c r="I1378" t="s">
        <v>71</v>
      </c>
      <c r="J1378">
        <v>62100</v>
      </c>
      <c r="K1378" t="s">
        <v>3</v>
      </c>
      <c r="L1378" t="s">
        <v>3654</v>
      </c>
      <c r="M1378" t="s">
        <v>3</v>
      </c>
      <c r="N1378" t="s">
        <v>75</v>
      </c>
      <c r="O1378" s="25" t="s">
        <v>3830</v>
      </c>
      <c r="P1378" s="25">
        <v>1</v>
      </c>
      <c r="Q1378" s="25">
        <v>62100</v>
      </c>
      <c r="R1378" s="25" t="s">
        <v>26</v>
      </c>
      <c r="S1378" s="25" t="s">
        <v>26</v>
      </c>
      <c r="T1378" s="25">
        <f t="shared" si="21"/>
        <v>62100</v>
      </c>
    </row>
    <row r="1379" spans="1:20">
      <c r="A1379" t="s">
        <v>3657</v>
      </c>
      <c r="B1379">
        <v>45927</v>
      </c>
      <c r="C1379" t="s">
        <v>93</v>
      </c>
      <c r="D1379" t="s">
        <v>111</v>
      </c>
      <c r="E1379" t="s">
        <v>119</v>
      </c>
      <c r="F1379">
        <v>4000</v>
      </c>
      <c r="G1379" t="s">
        <v>25</v>
      </c>
      <c r="H1379" t="s">
        <v>3658</v>
      </c>
      <c r="I1379" t="s">
        <v>71</v>
      </c>
      <c r="J1379">
        <v>65400</v>
      </c>
      <c r="K1379" t="s">
        <v>3</v>
      </c>
      <c r="L1379" t="s">
        <v>3654</v>
      </c>
      <c r="M1379" t="s">
        <v>3</v>
      </c>
      <c r="N1379" t="s">
        <v>75</v>
      </c>
      <c r="O1379" s="25" t="s">
        <v>3830</v>
      </c>
      <c r="P1379" s="25">
        <v>1</v>
      </c>
      <c r="Q1379" s="25">
        <v>65400</v>
      </c>
      <c r="R1379" s="25" t="s">
        <v>26</v>
      </c>
      <c r="S1379" s="25" t="s">
        <v>26</v>
      </c>
      <c r="T1379" s="25">
        <f t="shared" si="21"/>
        <v>65400</v>
      </c>
    </row>
    <row r="1380" spans="1:20">
      <c r="A1380" t="s">
        <v>3659</v>
      </c>
      <c r="B1380">
        <v>45927</v>
      </c>
      <c r="C1380" t="s">
        <v>93</v>
      </c>
      <c r="D1380" t="s">
        <v>111</v>
      </c>
      <c r="E1380" t="s">
        <v>170</v>
      </c>
      <c r="F1380">
        <v>4000</v>
      </c>
      <c r="G1380" t="s">
        <v>25</v>
      </c>
      <c r="H1380" t="s">
        <v>3660</v>
      </c>
      <c r="I1380" t="s">
        <v>71</v>
      </c>
      <c r="J1380">
        <v>66200</v>
      </c>
      <c r="K1380" t="s">
        <v>3</v>
      </c>
      <c r="L1380" t="s">
        <v>3654</v>
      </c>
      <c r="M1380" t="s">
        <v>3</v>
      </c>
      <c r="N1380" t="s">
        <v>75</v>
      </c>
      <c r="O1380" s="25" t="s">
        <v>3830</v>
      </c>
      <c r="P1380" s="25">
        <v>1</v>
      </c>
      <c r="Q1380" s="25">
        <v>66200</v>
      </c>
      <c r="R1380" s="25" t="s">
        <v>26</v>
      </c>
      <c r="S1380" s="25" t="s">
        <v>26</v>
      </c>
      <c r="T1380" s="25">
        <f t="shared" si="21"/>
        <v>66200</v>
      </c>
    </row>
    <row r="1381" spans="1:20">
      <c r="A1381" t="s">
        <v>3661</v>
      </c>
      <c r="B1381">
        <v>45927</v>
      </c>
      <c r="C1381" t="s">
        <v>93</v>
      </c>
      <c r="D1381" t="s">
        <v>111</v>
      </c>
      <c r="E1381" t="s">
        <v>122</v>
      </c>
      <c r="F1381">
        <v>4000</v>
      </c>
      <c r="G1381" t="s">
        <v>25</v>
      </c>
      <c r="H1381" t="s">
        <v>3662</v>
      </c>
      <c r="I1381" t="s">
        <v>71</v>
      </c>
      <c r="J1381">
        <v>59800</v>
      </c>
      <c r="K1381" t="s">
        <v>3</v>
      </c>
      <c r="L1381" t="s">
        <v>3663</v>
      </c>
      <c r="M1381" t="s">
        <v>3</v>
      </c>
      <c r="N1381" t="s">
        <v>75</v>
      </c>
      <c r="O1381" s="25" t="s">
        <v>3830</v>
      </c>
      <c r="P1381" s="25">
        <v>1</v>
      </c>
      <c r="Q1381" s="25">
        <v>59800</v>
      </c>
      <c r="R1381" s="25" t="s">
        <v>26</v>
      </c>
      <c r="S1381" s="25" t="s">
        <v>26</v>
      </c>
      <c r="T1381" s="25">
        <f t="shared" si="21"/>
        <v>59800</v>
      </c>
    </row>
    <row r="1382" spans="1:20">
      <c r="A1382" t="s">
        <v>3664</v>
      </c>
      <c r="B1382">
        <v>45927</v>
      </c>
      <c r="C1382" t="s">
        <v>126</v>
      </c>
      <c r="D1382" t="s">
        <v>88</v>
      </c>
      <c r="E1382" t="s">
        <v>127</v>
      </c>
      <c r="F1382">
        <v>4020</v>
      </c>
      <c r="G1382" t="s">
        <v>30</v>
      </c>
      <c r="H1382" t="s">
        <v>3665</v>
      </c>
      <c r="I1382" t="s">
        <v>71</v>
      </c>
      <c r="J1382">
        <v>56400</v>
      </c>
      <c r="K1382" t="s">
        <v>129</v>
      </c>
      <c r="L1382" t="s">
        <v>3666</v>
      </c>
      <c r="M1382" t="s">
        <v>3</v>
      </c>
      <c r="N1382" t="s">
        <v>75</v>
      </c>
      <c r="O1382" s="25" t="s">
        <v>3830</v>
      </c>
      <c r="P1382" s="25">
        <v>1</v>
      </c>
      <c r="Q1382" s="25">
        <v>56400</v>
      </c>
      <c r="R1382" s="25" t="s">
        <v>26</v>
      </c>
      <c r="S1382" s="25" t="s">
        <v>26</v>
      </c>
      <c r="T1382" s="25">
        <f t="shared" si="21"/>
        <v>56400</v>
      </c>
    </row>
    <row r="1383" spans="1:20">
      <c r="A1383" t="s">
        <v>3667</v>
      </c>
      <c r="B1383">
        <v>45927</v>
      </c>
      <c r="C1383" t="s">
        <v>126</v>
      </c>
      <c r="D1383" t="s">
        <v>88</v>
      </c>
      <c r="E1383" t="s">
        <v>132</v>
      </c>
      <c r="F1383">
        <v>4020</v>
      </c>
      <c r="G1383" t="s">
        <v>30</v>
      </c>
      <c r="H1383" t="s">
        <v>3668</v>
      </c>
      <c r="I1383" t="s">
        <v>71</v>
      </c>
      <c r="J1383">
        <v>58600</v>
      </c>
      <c r="K1383" t="s">
        <v>134</v>
      </c>
      <c r="L1383" t="s">
        <v>3666</v>
      </c>
      <c r="M1383" t="s">
        <v>3</v>
      </c>
      <c r="N1383" t="s">
        <v>75</v>
      </c>
      <c r="O1383" s="25" t="s">
        <v>3830</v>
      </c>
      <c r="P1383" s="25">
        <v>1</v>
      </c>
      <c r="Q1383" s="25">
        <v>58600</v>
      </c>
      <c r="R1383" s="25" t="s">
        <v>26</v>
      </c>
      <c r="S1383" s="25" t="s">
        <v>26</v>
      </c>
      <c r="T1383" s="25">
        <f t="shared" si="21"/>
        <v>58600</v>
      </c>
    </row>
    <row r="1384" spans="1:20">
      <c r="A1384" t="s">
        <v>3669</v>
      </c>
      <c r="B1384">
        <v>45927</v>
      </c>
      <c r="C1384" t="s">
        <v>126</v>
      </c>
      <c r="D1384" t="s">
        <v>88</v>
      </c>
      <c r="E1384" t="s">
        <v>136</v>
      </c>
      <c r="F1384">
        <v>4020</v>
      </c>
      <c r="G1384" t="s">
        <v>30</v>
      </c>
      <c r="H1384" t="s">
        <v>3670</v>
      </c>
      <c r="I1384" t="s">
        <v>72</v>
      </c>
      <c r="J1384">
        <v>30.35</v>
      </c>
      <c r="K1384" t="s">
        <v>138</v>
      </c>
      <c r="L1384" t="s">
        <v>3666</v>
      </c>
      <c r="M1384" t="s">
        <v>3</v>
      </c>
      <c r="N1384" t="s">
        <v>75</v>
      </c>
      <c r="O1384" s="25" t="s">
        <v>3831</v>
      </c>
      <c r="P1384" s="25">
        <v>1611</v>
      </c>
      <c r="Q1384" s="25">
        <v>48893.850000000006</v>
      </c>
      <c r="R1384" s="25" t="s">
        <v>26</v>
      </c>
      <c r="S1384" s="25" t="s">
        <v>26</v>
      </c>
      <c r="T1384" s="25">
        <f t="shared" si="21"/>
        <v>48893.850000000006</v>
      </c>
    </row>
    <row r="1385" spans="1:20">
      <c r="A1385" t="s">
        <v>3671</v>
      </c>
      <c r="B1385">
        <v>45927</v>
      </c>
      <c r="C1385" t="s">
        <v>126</v>
      </c>
      <c r="D1385" t="s">
        <v>88</v>
      </c>
      <c r="E1385" t="s">
        <v>140</v>
      </c>
      <c r="F1385">
        <v>4020</v>
      </c>
      <c r="G1385" t="s">
        <v>30</v>
      </c>
      <c r="H1385" t="s">
        <v>3672</v>
      </c>
      <c r="I1385" t="s">
        <v>71</v>
      </c>
      <c r="J1385">
        <v>49300</v>
      </c>
      <c r="K1385" t="s">
        <v>3</v>
      </c>
      <c r="L1385" t="s">
        <v>3673</v>
      </c>
      <c r="M1385" t="s">
        <v>3</v>
      </c>
      <c r="N1385" t="s">
        <v>75</v>
      </c>
      <c r="O1385" s="25" t="s">
        <v>3830</v>
      </c>
      <c r="P1385" s="25">
        <v>1</v>
      </c>
      <c r="Q1385" s="25">
        <v>49300</v>
      </c>
      <c r="R1385" s="25" t="s">
        <v>26</v>
      </c>
      <c r="S1385" s="25" t="s">
        <v>26</v>
      </c>
      <c r="T1385" s="25">
        <f t="shared" si="21"/>
        <v>49300</v>
      </c>
    </row>
    <row r="1386" spans="1:20">
      <c r="A1386" t="s">
        <v>3674</v>
      </c>
      <c r="B1386">
        <v>45928</v>
      </c>
      <c r="C1386" t="s">
        <v>93</v>
      </c>
      <c r="D1386" t="s">
        <v>94</v>
      </c>
      <c r="E1386" t="s">
        <v>95</v>
      </c>
      <c r="F1386">
        <v>4000</v>
      </c>
      <c r="G1386" t="s">
        <v>25</v>
      </c>
      <c r="H1386" t="s">
        <v>3675</v>
      </c>
      <c r="I1386" t="s">
        <v>71</v>
      </c>
      <c r="J1386">
        <v>37300</v>
      </c>
      <c r="K1386" t="s">
        <v>3</v>
      </c>
      <c r="L1386" t="s">
        <v>3676</v>
      </c>
      <c r="M1386" t="s">
        <v>3</v>
      </c>
      <c r="N1386" t="s">
        <v>75</v>
      </c>
      <c r="O1386" s="25" t="s">
        <v>3830</v>
      </c>
      <c r="P1386" s="25">
        <v>1</v>
      </c>
      <c r="Q1386" s="25">
        <v>37300</v>
      </c>
      <c r="R1386" s="25" t="s">
        <v>26</v>
      </c>
      <c r="S1386" s="25" t="s">
        <v>26</v>
      </c>
      <c r="T1386" s="25">
        <f t="shared" si="21"/>
        <v>37300</v>
      </c>
    </row>
    <row r="1387" spans="1:20">
      <c r="A1387" t="s">
        <v>3677</v>
      </c>
      <c r="B1387">
        <v>45928</v>
      </c>
      <c r="C1387" t="s">
        <v>93</v>
      </c>
      <c r="D1387" t="s">
        <v>94</v>
      </c>
      <c r="E1387" t="s">
        <v>103</v>
      </c>
      <c r="F1387">
        <v>4000</v>
      </c>
      <c r="G1387" t="s">
        <v>25</v>
      </c>
      <c r="H1387" t="s">
        <v>3678</v>
      </c>
      <c r="I1387" t="s">
        <v>71</v>
      </c>
      <c r="J1387">
        <v>41000</v>
      </c>
      <c r="K1387" t="s">
        <v>3</v>
      </c>
      <c r="L1387" t="s">
        <v>3679</v>
      </c>
      <c r="M1387" t="s">
        <v>3</v>
      </c>
      <c r="N1387" t="s">
        <v>75</v>
      </c>
      <c r="O1387" s="25" t="s">
        <v>3830</v>
      </c>
      <c r="P1387" s="25">
        <v>1</v>
      </c>
      <c r="Q1387" s="25">
        <v>41000</v>
      </c>
      <c r="R1387" s="25" t="s">
        <v>26</v>
      </c>
      <c r="S1387" s="25" t="s">
        <v>26</v>
      </c>
      <c r="T1387" s="25">
        <f t="shared" si="21"/>
        <v>41000</v>
      </c>
    </row>
    <row r="1388" spans="1:20">
      <c r="A1388" t="s">
        <v>3680</v>
      </c>
      <c r="B1388">
        <v>45928</v>
      </c>
      <c r="C1388" t="s">
        <v>93</v>
      </c>
      <c r="D1388" t="s">
        <v>94</v>
      </c>
      <c r="E1388" t="s">
        <v>160</v>
      </c>
      <c r="F1388">
        <v>4000</v>
      </c>
      <c r="G1388" t="s">
        <v>25</v>
      </c>
      <c r="H1388" t="s">
        <v>3681</v>
      </c>
      <c r="I1388" t="s">
        <v>71</v>
      </c>
      <c r="J1388">
        <v>40400</v>
      </c>
      <c r="K1388" t="s">
        <v>3</v>
      </c>
      <c r="L1388" t="s">
        <v>3679</v>
      </c>
      <c r="M1388" t="s">
        <v>3</v>
      </c>
      <c r="N1388" t="s">
        <v>75</v>
      </c>
      <c r="O1388" s="25" t="s">
        <v>3830</v>
      </c>
      <c r="P1388" s="25">
        <v>1</v>
      </c>
      <c r="Q1388" s="25">
        <v>40400</v>
      </c>
      <c r="R1388" s="25" t="s">
        <v>26</v>
      </c>
      <c r="S1388" s="25" t="s">
        <v>26</v>
      </c>
      <c r="T1388" s="25">
        <f t="shared" si="21"/>
        <v>40400</v>
      </c>
    </row>
    <row r="1389" spans="1:20">
      <c r="A1389" t="s">
        <v>3682</v>
      </c>
      <c r="B1389">
        <v>45928</v>
      </c>
      <c r="C1389" t="s">
        <v>93</v>
      </c>
      <c r="D1389" t="s">
        <v>94</v>
      </c>
      <c r="E1389" t="s">
        <v>107</v>
      </c>
      <c r="F1389">
        <v>4000</v>
      </c>
      <c r="G1389" t="s">
        <v>25</v>
      </c>
      <c r="H1389" t="s">
        <v>3683</v>
      </c>
      <c r="I1389" t="s">
        <v>71</v>
      </c>
      <c r="J1389">
        <v>40800</v>
      </c>
      <c r="K1389" t="s">
        <v>3</v>
      </c>
      <c r="L1389" t="s">
        <v>3684</v>
      </c>
      <c r="M1389" t="s">
        <v>3</v>
      </c>
      <c r="N1389" t="s">
        <v>75</v>
      </c>
      <c r="O1389" s="25" t="s">
        <v>3830</v>
      </c>
      <c r="P1389" s="25">
        <v>1</v>
      </c>
      <c r="Q1389" s="25">
        <v>40800</v>
      </c>
      <c r="R1389" s="25" t="s">
        <v>26</v>
      </c>
      <c r="S1389" s="25" t="s">
        <v>26</v>
      </c>
      <c r="T1389" s="25">
        <f t="shared" si="21"/>
        <v>40800</v>
      </c>
    </row>
    <row r="1390" spans="1:20">
      <c r="A1390" t="s">
        <v>3685</v>
      </c>
      <c r="B1390">
        <v>45928</v>
      </c>
      <c r="C1390" t="s">
        <v>93</v>
      </c>
      <c r="D1390" t="s">
        <v>111</v>
      </c>
      <c r="E1390" t="s">
        <v>112</v>
      </c>
      <c r="F1390">
        <v>4000</v>
      </c>
      <c r="G1390" t="s">
        <v>25</v>
      </c>
      <c r="H1390" t="s">
        <v>3686</v>
      </c>
      <c r="I1390" t="s">
        <v>71</v>
      </c>
      <c r="J1390">
        <v>66200</v>
      </c>
      <c r="K1390" t="s">
        <v>3</v>
      </c>
      <c r="L1390" t="s">
        <v>3687</v>
      </c>
      <c r="M1390" t="s">
        <v>3</v>
      </c>
      <c r="N1390" t="s">
        <v>75</v>
      </c>
      <c r="O1390" s="25" t="s">
        <v>3830</v>
      </c>
      <c r="P1390" s="25">
        <v>1</v>
      </c>
      <c r="Q1390" s="25">
        <v>66200</v>
      </c>
      <c r="R1390" s="25" t="s">
        <v>26</v>
      </c>
      <c r="S1390" s="25" t="s">
        <v>26</v>
      </c>
      <c r="T1390" s="25">
        <f t="shared" si="21"/>
        <v>66200</v>
      </c>
    </row>
    <row r="1391" spans="1:20">
      <c r="A1391" t="s">
        <v>3688</v>
      </c>
      <c r="B1391">
        <v>45928</v>
      </c>
      <c r="C1391" t="s">
        <v>93</v>
      </c>
      <c r="D1391" t="s">
        <v>111</v>
      </c>
      <c r="E1391" t="s">
        <v>119</v>
      </c>
      <c r="F1391">
        <v>4000</v>
      </c>
      <c r="G1391" t="s">
        <v>25</v>
      </c>
      <c r="H1391" t="s">
        <v>3689</v>
      </c>
      <c r="I1391" t="s">
        <v>71</v>
      </c>
      <c r="J1391">
        <v>62600</v>
      </c>
      <c r="K1391" t="s">
        <v>3</v>
      </c>
      <c r="L1391" t="s">
        <v>3687</v>
      </c>
      <c r="M1391" t="s">
        <v>3</v>
      </c>
      <c r="N1391" t="s">
        <v>75</v>
      </c>
      <c r="O1391" s="25" t="s">
        <v>3830</v>
      </c>
      <c r="P1391" s="25">
        <v>1</v>
      </c>
      <c r="Q1391" s="25">
        <v>62600</v>
      </c>
      <c r="R1391" s="25" t="s">
        <v>26</v>
      </c>
      <c r="S1391" s="25" t="s">
        <v>26</v>
      </c>
      <c r="T1391" s="25">
        <f t="shared" si="21"/>
        <v>62600</v>
      </c>
    </row>
    <row r="1392" spans="1:20">
      <c r="A1392" t="s">
        <v>3690</v>
      </c>
      <c r="B1392">
        <v>45928</v>
      </c>
      <c r="C1392" t="s">
        <v>93</v>
      </c>
      <c r="D1392" t="s">
        <v>111</v>
      </c>
      <c r="E1392" t="s">
        <v>170</v>
      </c>
      <c r="F1392">
        <v>4000</v>
      </c>
      <c r="G1392" t="s">
        <v>25</v>
      </c>
      <c r="H1392" t="s">
        <v>3691</v>
      </c>
      <c r="I1392" t="s">
        <v>71</v>
      </c>
      <c r="J1392">
        <v>65500</v>
      </c>
      <c r="K1392" t="s">
        <v>3</v>
      </c>
      <c r="L1392" t="s">
        <v>3687</v>
      </c>
      <c r="M1392" t="s">
        <v>3</v>
      </c>
      <c r="N1392" t="s">
        <v>75</v>
      </c>
      <c r="O1392" s="25" t="s">
        <v>3830</v>
      </c>
      <c r="P1392" s="25">
        <v>1</v>
      </c>
      <c r="Q1392" s="25">
        <v>65500</v>
      </c>
      <c r="R1392" s="25" t="s">
        <v>26</v>
      </c>
      <c r="S1392" s="25" t="s">
        <v>26</v>
      </c>
      <c r="T1392" s="25">
        <f t="shared" si="21"/>
        <v>65500</v>
      </c>
    </row>
    <row r="1393" spans="1:20">
      <c r="A1393" t="s">
        <v>3692</v>
      </c>
      <c r="B1393">
        <v>45928</v>
      </c>
      <c r="C1393" t="s">
        <v>93</v>
      </c>
      <c r="D1393" t="s">
        <v>111</v>
      </c>
      <c r="E1393" t="s">
        <v>122</v>
      </c>
      <c r="F1393">
        <v>4000</v>
      </c>
      <c r="G1393" t="s">
        <v>25</v>
      </c>
      <c r="H1393" t="s">
        <v>3693</v>
      </c>
      <c r="I1393" t="s">
        <v>71</v>
      </c>
      <c r="J1393">
        <v>62900</v>
      </c>
      <c r="K1393" t="s">
        <v>3</v>
      </c>
      <c r="L1393" t="s">
        <v>3694</v>
      </c>
      <c r="M1393" t="s">
        <v>3</v>
      </c>
      <c r="N1393" t="s">
        <v>75</v>
      </c>
      <c r="O1393" s="25" t="s">
        <v>3830</v>
      </c>
      <c r="P1393" s="25">
        <v>1</v>
      </c>
      <c r="Q1393" s="25">
        <v>62900</v>
      </c>
      <c r="R1393" s="25" t="s">
        <v>26</v>
      </c>
      <c r="S1393" s="25" t="s">
        <v>26</v>
      </c>
      <c r="T1393" s="25">
        <f t="shared" si="21"/>
        <v>62900</v>
      </c>
    </row>
    <row r="1394" spans="1:20">
      <c r="A1394" t="s">
        <v>3695</v>
      </c>
      <c r="B1394">
        <v>45928</v>
      </c>
      <c r="C1394" t="s">
        <v>126</v>
      </c>
      <c r="D1394" t="s">
        <v>88</v>
      </c>
      <c r="E1394" t="s">
        <v>127</v>
      </c>
      <c r="F1394">
        <v>4020</v>
      </c>
      <c r="G1394" t="s">
        <v>30</v>
      </c>
      <c r="H1394" t="s">
        <v>3696</v>
      </c>
      <c r="I1394" t="s">
        <v>71</v>
      </c>
      <c r="J1394">
        <v>50300</v>
      </c>
      <c r="K1394" t="s">
        <v>129</v>
      </c>
      <c r="L1394" t="s">
        <v>3697</v>
      </c>
      <c r="M1394" t="s">
        <v>3</v>
      </c>
      <c r="N1394" t="s">
        <v>75</v>
      </c>
      <c r="O1394" s="25" t="s">
        <v>3830</v>
      </c>
      <c r="P1394" s="25">
        <v>1</v>
      </c>
      <c r="Q1394" s="25">
        <v>50300</v>
      </c>
      <c r="R1394" s="25" t="s">
        <v>26</v>
      </c>
      <c r="S1394" s="25" t="s">
        <v>26</v>
      </c>
      <c r="T1394" s="25">
        <f t="shared" si="21"/>
        <v>50300</v>
      </c>
    </row>
    <row r="1395" spans="1:20">
      <c r="A1395" t="s">
        <v>3698</v>
      </c>
      <c r="B1395">
        <v>45928</v>
      </c>
      <c r="C1395" t="s">
        <v>126</v>
      </c>
      <c r="D1395" t="s">
        <v>88</v>
      </c>
      <c r="E1395" t="s">
        <v>132</v>
      </c>
      <c r="F1395">
        <v>4020</v>
      </c>
      <c r="G1395" t="s">
        <v>30</v>
      </c>
      <c r="H1395" t="s">
        <v>3699</v>
      </c>
      <c r="I1395" t="s">
        <v>71</v>
      </c>
      <c r="J1395">
        <v>49600</v>
      </c>
      <c r="K1395" t="s">
        <v>134</v>
      </c>
      <c r="L1395" t="s">
        <v>3697</v>
      </c>
      <c r="M1395" t="s">
        <v>3</v>
      </c>
      <c r="N1395" t="s">
        <v>75</v>
      </c>
      <c r="O1395" s="25" t="s">
        <v>3830</v>
      </c>
      <c r="P1395" s="25">
        <v>1</v>
      </c>
      <c r="Q1395" s="25">
        <v>49600</v>
      </c>
      <c r="R1395" s="25" t="s">
        <v>26</v>
      </c>
      <c r="S1395" s="25" t="s">
        <v>26</v>
      </c>
      <c r="T1395" s="25">
        <f t="shared" si="21"/>
        <v>49600</v>
      </c>
    </row>
    <row r="1396" spans="1:20">
      <c r="A1396" t="s">
        <v>3700</v>
      </c>
      <c r="B1396">
        <v>45928</v>
      </c>
      <c r="C1396" t="s">
        <v>126</v>
      </c>
      <c r="D1396" t="s">
        <v>88</v>
      </c>
      <c r="E1396" t="s">
        <v>136</v>
      </c>
      <c r="F1396">
        <v>4020</v>
      </c>
      <c r="G1396" t="s">
        <v>30</v>
      </c>
      <c r="H1396" t="s">
        <v>3701</v>
      </c>
      <c r="I1396" t="s">
        <v>71</v>
      </c>
      <c r="J1396">
        <v>50800</v>
      </c>
      <c r="K1396" t="s">
        <v>138</v>
      </c>
      <c r="L1396" t="s">
        <v>3697</v>
      </c>
      <c r="M1396" t="s">
        <v>3</v>
      </c>
      <c r="N1396" t="s">
        <v>75</v>
      </c>
      <c r="O1396" s="25" t="s">
        <v>3830</v>
      </c>
      <c r="P1396" s="25">
        <v>1</v>
      </c>
      <c r="Q1396" s="25">
        <v>50800</v>
      </c>
      <c r="R1396" s="25" t="s">
        <v>26</v>
      </c>
      <c r="S1396" s="25" t="s">
        <v>26</v>
      </c>
      <c r="T1396" s="25">
        <f t="shared" si="21"/>
        <v>50800</v>
      </c>
    </row>
    <row r="1397" spans="1:20">
      <c r="A1397" t="s">
        <v>3702</v>
      </c>
      <c r="B1397">
        <v>45928</v>
      </c>
      <c r="C1397" t="s">
        <v>126</v>
      </c>
      <c r="D1397" t="s">
        <v>88</v>
      </c>
      <c r="E1397" t="s">
        <v>140</v>
      </c>
      <c r="F1397">
        <v>4020</v>
      </c>
      <c r="G1397" t="s">
        <v>30</v>
      </c>
      <c r="H1397" t="s">
        <v>3703</v>
      </c>
      <c r="I1397" t="s">
        <v>71</v>
      </c>
      <c r="J1397">
        <v>58200</v>
      </c>
      <c r="K1397" t="s">
        <v>3</v>
      </c>
      <c r="L1397" t="s">
        <v>3704</v>
      </c>
      <c r="M1397" t="s">
        <v>3</v>
      </c>
      <c r="N1397" t="s">
        <v>75</v>
      </c>
      <c r="O1397" s="25" t="s">
        <v>3830</v>
      </c>
      <c r="P1397" s="25">
        <v>1</v>
      </c>
      <c r="Q1397" s="25">
        <v>58200</v>
      </c>
      <c r="R1397" s="25" t="s">
        <v>26</v>
      </c>
      <c r="S1397" s="25" t="s">
        <v>26</v>
      </c>
      <c r="T1397" s="25">
        <f t="shared" si="21"/>
        <v>58200</v>
      </c>
    </row>
    <row r="1398" spans="1:20">
      <c r="A1398" t="s">
        <v>3705</v>
      </c>
      <c r="B1398">
        <v>45928</v>
      </c>
      <c r="C1398" t="s">
        <v>87</v>
      </c>
      <c r="D1398" t="s">
        <v>94</v>
      </c>
      <c r="E1398" t="s">
        <v>3</v>
      </c>
      <c r="F1398">
        <v>5000</v>
      </c>
      <c r="G1398" t="s">
        <v>34</v>
      </c>
      <c r="H1398" t="s">
        <v>2691</v>
      </c>
      <c r="I1398" t="s">
        <v>71</v>
      </c>
      <c r="J1398">
        <v>-431000</v>
      </c>
      <c r="K1398" t="s">
        <v>316</v>
      </c>
      <c r="L1398" t="s">
        <v>3706</v>
      </c>
      <c r="M1398" t="s">
        <v>3</v>
      </c>
      <c r="N1398" t="s">
        <v>75</v>
      </c>
      <c r="O1398" s="25" t="s">
        <v>3830</v>
      </c>
      <c r="P1398" s="25">
        <v>1</v>
      </c>
      <c r="Q1398" s="25">
        <v>-431000</v>
      </c>
      <c r="R1398" s="25" t="s">
        <v>35</v>
      </c>
      <c r="S1398" s="25" t="s">
        <v>35</v>
      </c>
      <c r="T1398" s="25">
        <f t="shared" si="21"/>
        <v>-431000</v>
      </c>
    </row>
    <row r="1399" spans="1:20">
      <c r="A1399" t="s">
        <v>3707</v>
      </c>
      <c r="B1399">
        <v>45928</v>
      </c>
      <c r="C1399" t="s">
        <v>87</v>
      </c>
      <c r="D1399" t="s">
        <v>94</v>
      </c>
      <c r="E1399" t="s">
        <v>3</v>
      </c>
      <c r="F1399">
        <v>5050</v>
      </c>
      <c r="G1399" t="s">
        <v>45</v>
      </c>
      <c r="H1399" t="s">
        <v>2726</v>
      </c>
      <c r="I1399" t="s">
        <v>71</v>
      </c>
      <c r="J1399">
        <v>-196000</v>
      </c>
      <c r="K1399" t="s">
        <v>191</v>
      </c>
      <c r="L1399" t="s">
        <v>3708</v>
      </c>
      <c r="M1399" t="s">
        <v>3</v>
      </c>
      <c r="N1399" t="s">
        <v>75</v>
      </c>
      <c r="O1399" s="25" t="s">
        <v>3830</v>
      </c>
      <c r="P1399" s="25">
        <v>1</v>
      </c>
      <c r="Q1399" s="25">
        <v>-196000</v>
      </c>
      <c r="R1399" s="25" t="s">
        <v>35</v>
      </c>
      <c r="S1399" s="25" t="s">
        <v>35</v>
      </c>
      <c r="T1399" s="25">
        <f t="shared" si="21"/>
        <v>-196000</v>
      </c>
    </row>
    <row r="1400" spans="1:20">
      <c r="A1400" t="s">
        <v>3709</v>
      </c>
      <c r="B1400">
        <v>45928</v>
      </c>
      <c r="C1400" t="s">
        <v>87</v>
      </c>
      <c r="D1400" t="s">
        <v>88</v>
      </c>
      <c r="E1400" t="s">
        <v>3</v>
      </c>
      <c r="F1400">
        <v>5040</v>
      </c>
      <c r="G1400" t="s">
        <v>43</v>
      </c>
      <c r="H1400" t="s">
        <v>2864</v>
      </c>
      <c r="I1400" t="s">
        <v>71</v>
      </c>
      <c r="J1400">
        <v>-570000</v>
      </c>
      <c r="K1400" t="s">
        <v>398</v>
      </c>
      <c r="L1400" t="s">
        <v>3710</v>
      </c>
      <c r="M1400" t="s">
        <v>3</v>
      </c>
      <c r="N1400" t="s">
        <v>75</v>
      </c>
      <c r="O1400" s="25" t="s">
        <v>3830</v>
      </c>
      <c r="P1400" s="25">
        <v>1</v>
      </c>
      <c r="Q1400" s="25">
        <v>-570000</v>
      </c>
      <c r="R1400" s="25" t="s">
        <v>35</v>
      </c>
      <c r="S1400" s="25" t="s">
        <v>35</v>
      </c>
      <c r="T1400" s="25">
        <f t="shared" si="21"/>
        <v>-570000</v>
      </c>
    </row>
    <row r="1401" spans="1:20">
      <c r="A1401" t="s">
        <v>3711</v>
      </c>
      <c r="B1401">
        <v>45929</v>
      </c>
      <c r="C1401" t="s">
        <v>93</v>
      </c>
      <c r="D1401" t="s">
        <v>94</v>
      </c>
      <c r="E1401" t="s">
        <v>95</v>
      </c>
      <c r="F1401">
        <v>4000</v>
      </c>
      <c r="G1401" t="s">
        <v>25</v>
      </c>
      <c r="H1401" t="s">
        <v>3712</v>
      </c>
      <c r="I1401" t="s">
        <v>71</v>
      </c>
      <c r="J1401">
        <v>31100</v>
      </c>
      <c r="K1401" t="s">
        <v>3</v>
      </c>
      <c r="L1401" t="s">
        <v>3713</v>
      </c>
      <c r="M1401" t="s">
        <v>3</v>
      </c>
      <c r="N1401" t="s">
        <v>75</v>
      </c>
      <c r="O1401" s="25" t="s">
        <v>3830</v>
      </c>
      <c r="P1401" s="25">
        <v>1</v>
      </c>
      <c r="Q1401" s="25">
        <v>31100</v>
      </c>
      <c r="R1401" s="25" t="s">
        <v>26</v>
      </c>
      <c r="S1401" s="25" t="s">
        <v>26</v>
      </c>
      <c r="T1401" s="25">
        <f t="shared" si="21"/>
        <v>31100</v>
      </c>
    </row>
    <row r="1402" spans="1:20">
      <c r="A1402" t="s">
        <v>3714</v>
      </c>
      <c r="B1402">
        <v>45929</v>
      </c>
      <c r="C1402" t="s">
        <v>93</v>
      </c>
      <c r="D1402" t="s">
        <v>94</v>
      </c>
      <c r="E1402" t="s">
        <v>99</v>
      </c>
      <c r="F1402">
        <v>4000</v>
      </c>
      <c r="G1402" t="s">
        <v>25</v>
      </c>
      <c r="H1402" t="s">
        <v>3715</v>
      </c>
      <c r="I1402" t="s">
        <v>71</v>
      </c>
      <c r="J1402">
        <v>29000</v>
      </c>
      <c r="K1402" t="s">
        <v>3</v>
      </c>
      <c r="L1402" t="s">
        <v>3716</v>
      </c>
      <c r="M1402" t="s">
        <v>3</v>
      </c>
      <c r="N1402" t="s">
        <v>75</v>
      </c>
      <c r="O1402" s="25" t="s">
        <v>3830</v>
      </c>
      <c r="P1402" s="25">
        <v>1</v>
      </c>
      <c r="Q1402" s="25">
        <v>29000</v>
      </c>
      <c r="R1402" s="25" t="s">
        <v>26</v>
      </c>
      <c r="S1402" s="25" t="s">
        <v>26</v>
      </c>
      <c r="T1402" s="25">
        <f t="shared" si="21"/>
        <v>29000</v>
      </c>
    </row>
    <row r="1403" spans="1:20">
      <c r="A1403" t="s">
        <v>3717</v>
      </c>
      <c r="B1403">
        <v>45929</v>
      </c>
      <c r="C1403" t="s">
        <v>93</v>
      </c>
      <c r="D1403" t="s">
        <v>94</v>
      </c>
      <c r="E1403" t="s">
        <v>103</v>
      </c>
      <c r="F1403">
        <v>4000</v>
      </c>
      <c r="G1403" t="s">
        <v>25</v>
      </c>
      <c r="H1403" t="s">
        <v>3718</v>
      </c>
      <c r="I1403" t="s">
        <v>71</v>
      </c>
      <c r="J1403">
        <v>30800</v>
      </c>
      <c r="K1403" t="s">
        <v>3</v>
      </c>
      <c r="L1403" t="s">
        <v>3719</v>
      </c>
      <c r="M1403" t="s">
        <v>3</v>
      </c>
      <c r="N1403" t="s">
        <v>75</v>
      </c>
      <c r="O1403" s="25" t="s">
        <v>3830</v>
      </c>
      <c r="P1403" s="25">
        <v>1</v>
      </c>
      <c r="Q1403" s="25">
        <v>30800</v>
      </c>
      <c r="R1403" s="25" t="s">
        <v>26</v>
      </c>
      <c r="S1403" s="25" t="s">
        <v>26</v>
      </c>
      <c r="T1403" s="25">
        <f t="shared" si="21"/>
        <v>30800</v>
      </c>
    </row>
    <row r="1404" spans="1:20">
      <c r="A1404" t="s">
        <v>3720</v>
      </c>
      <c r="B1404">
        <v>45929</v>
      </c>
      <c r="C1404" t="s">
        <v>93</v>
      </c>
      <c r="D1404" t="s">
        <v>94</v>
      </c>
      <c r="E1404" t="s">
        <v>160</v>
      </c>
      <c r="F1404">
        <v>4000</v>
      </c>
      <c r="G1404" t="s">
        <v>25</v>
      </c>
      <c r="H1404" t="s">
        <v>3721</v>
      </c>
      <c r="I1404" t="s">
        <v>71</v>
      </c>
      <c r="J1404">
        <v>32900</v>
      </c>
      <c r="K1404" t="s">
        <v>3</v>
      </c>
      <c r="L1404" t="s">
        <v>3719</v>
      </c>
      <c r="M1404" t="s">
        <v>3</v>
      </c>
      <c r="N1404" t="s">
        <v>75</v>
      </c>
      <c r="O1404" s="25" t="s">
        <v>3830</v>
      </c>
      <c r="P1404" s="25">
        <v>1</v>
      </c>
      <c r="Q1404" s="25">
        <v>32900</v>
      </c>
      <c r="R1404" s="25" t="s">
        <v>26</v>
      </c>
      <c r="S1404" s="25" t="s">
        <v>26</v>
      </c>
      <c r="T1404" s="25">
        <f t="shared" si="21"/>
        <v>32900</v>
      </c>
    </row>
    <row r="1405" spans="1:20">
      <c r="A1405" t="s">
        <v>3722</v>
      </c>
      <c r="B1405">
        <v>45929</v>
      </c>
      <c r="C1405" t="s">
        <v>93</v>
      </c>
      <c r="D1405" t="s">
        <v>94</v>
      </c>
      <c r="E1405" t="s">
        <v>107</v>
      </c>
      <c r="F1405">
        <v>4000</v>
      </c>
      <c r="G1405" t="s">
        <v>25</v>
      </c>
      <c r="H1405" t="s">
        <v>3723</v>
      </c>
      <c r="I1405" t="s">
        <v>71</v>
      </c>
      <c r="J1405">
        <v>29100</v>
      </c>
      <c r="K1405" t="s">
        <v>3</v>
      </c>
      <c r="L1405" t="s">
        <v>3724</v>
      </c>
      <c r="M1405" t="s">
        <v>3</v>
      </c>
      <c r="N1405" t="s">
        <v>75</v>
      </c>
      <c r="O1405" s="25" t="s">
        <v>3830</v>
      </c>
      <c r="P1405" s="25">
        <v>1</v>
      </c>
      <c r="Q1405" s="25">
        <v>29100</v>
      </c>
      <c r="R1405" s="25" t="s">
        <v>26</v>
      </c>
      <c r="S1405" s="25" t="s">
        <v>26</v>
      </c>
      <c r="T1405" s="25">
        <f t="shared" si="21"/>
        <v>29100</v>
      </c>
    </row>
    <row r="1406" spans="1:20">
      <c r="A1406" t="s">
        <v>3725</v>
      </c>
      <c r="B1406">
        <v>45929</v>
      </c>
      <c r="C1406" t="s">
        <v>93</v>
      </c>
      <c r="D1406" t="s">
        <v>111</v>
      </c>
      <c r="E1406" t="s">
        <v>112</v>
      </c>
      <c r="F1406">
        <v>4000</v>
      </c>
      <c r="G1406" t="s">
        <v>25</v>
      </c>
      <c r="H1406" t="s">
        <v>3726</v>
      </c>
      <c r="I1406" t="s">
        <v>71</v>
      </c>
      <c r="J1406">
        <v>52900</v>
      </c>
      <c r="K1406" t="s">
        <v>3</v>
      </c>
      <c r="L1406" t="s">
        <v>3727</v>
      </c>
      <c r="M1406" t="s">
        <v>3</v>
      </c>
      <c r="N1406" t="s">
        <v>75</v>
      </c>
      <c r="O1406" s="25" t="s">
        <v>3830</v>
      </c>
      <c r="P1406" s="25">
        <v>1</v>
      </c>
      <c r="Q1406" s="25">
        <v>52900</v>
      </c>
      <c r="R1406" s="25" t="s">
        <v>26</v>
      </c>
      <c r="S1406" s="25" t="s">
        <v>26</v>
      </c>
      <c r="T1406" s="25">
        <f t="shared" si="21"/>
        <v>52900</v>
      </c>
    </row>
    <row r="1407" spans="1:20">
      <c r="A1407" t="s">
        <v>3728</v>
      </c>
      <c r="B1407">
        <v>45929</v>
      </c>
      <c r="C1407" t="s">
        <v>93</v>
      </c>
      <c r="D1407" t="s">
        <v>111</v>
      </c>
      <c r="E1407" t="s">
        <v>119</v>
      </c>
      <c r="F1407">
        <v>4000</v>
      </c>
      <c r="G1407" t="s">
        <v>25</v>
      </c>
      <c r="H1407" t="s">
        <v>3729</v>
      </c>
      <c r="I1407" t="s">
        <v>71</v>
      </c>
      <c r="J1407">
        <v>50000</v>
      </c>
      <c r="K1407" t="s">
        <v>3</v>
      </c>
      <c r="L1407" t="s">
        <v>3727</v>
      </c>
      <c r="M1407" t="s">
        <v>3</v>
      </c>
      <c r="N1407" t="s">
        <v>75</v>
      </c>
      <c r="O1407" s="25" t="s">
        <v>3830</v>
      </c>
      <c r="P1407" s="25">
        <v>1</v>
      </c>
      <c r="Q1407" s="25">
        <v>50000</v>
      </c>
      <c r="R1407" s="25" t="s">
        <v>26</v>
      </c>
      <c r="S1407" s="25" t="s">
        <v>26</v>
      </c>
      <c r="T1407" s="25">
        <f t="shared" si="21"/>
        <v>50000</v>
      </c>
    </row>
    <row r="1408" spans="1:20">
      <c r="A1408" t="s">
        <v>3730</v>
      </c>
      <c r="B1408">
        <v>45929</v>
      </c>
      <c r="C1408" t="s">
        <v>93</v>
      </c>
      <c r="D1408" t="s">
        <v>111</v>
      </c>
      <c r="E1408" t="s">
        <v>170</v>
      </c>
      <c r="F1408">
        <v>4000</v>
      </c>
      <c r="G1408" t="s">
        <v>25</v>
      </c>
      <c r="H1408" t="s">
        <v>3731</v>
      </c>
      <c r="I1408" t="s">
        <v>71</v>
      </c>
      <c r="J1408">
        <v>49800</v>
      </c>
      <c r="K1408" t="s">
        <v>3</v>
      </c>
      <c r="L1408" t="s">
        <v>3727</v>
      </c>
      <c r="M1408" t="s">
        <v>3</v>
      </c>
      <c r="N1408" t="s">
        <v>75</v>
      </c>
      <c r="O1408" s="25" t="s">
        <v>3830</v>
      </c>
      <c r="P1408" s="25">
        <v>1</v>
      </c>
      <c r="Q1408" s="25">
        <v>49800</v>
      </c>
      <c r="R1408" s="25" t="s">
        <v>26</v>
      </c>
      <c r="S1408" s="25" t="s">
        <v>26</v>
      </c>
      <c r="T1408" s="25">
        <f t="shared" si="21"/>
        <v>49800</v>
      </c>
    </row>
    <row r="1409" spans="1:20">
      <c r="A1409" t="s">
        <v>3732</v>
      </c>
      <c r="B1409">
        <v>45929</v>
      </c>
      <c r="C1409" t="s">
        <v>93</v>
      </c>
      <c r="D1409" t="s">
        <v>111</v>
      </c>
      <c r="E1409" t="s">
        <v>122</v>
      </c>
      <c r="F1409">
        <v>4000</v>
      </c>
      <c r="G1409" t="s">
        <v>25</v>
      </c>
      <c r="H1409" t="s">
        <v>3733</v>
      </c>
      <c r="I1409" t="s">
        <v>71</v>
      </c>
      <c r="J1409">
        <v>51300</v>
      </c>
      <c r="K1409" t="s">
        <v>3</v>
      </c>
      <c r="L1409" t="s">
        <v>3734</v>
      </c>
      <c r="M1409" t="s">
        <v>3</v>
      </c>
      <c r="N1409" t="s">
        <v>75</v>
      </c>
      <c r="O1409" s="25" t="s">
        <v>3830</v>
      </c>
      <c r="P1409" s="25">
        <v>1</v>
      </c>
      <c r="Q1409" s="25">
        <v>51300</v>
      </c>
      <c r="R1409" s="25" t="s">
        <v>26</v>
      </c>
      <c r="S1409" s="25" t="s">
        <v>26</v>
      </c>
      <c r="T1409" s="25">
        <f t="shared" si="21"/>
        <v>51300</v>
      </c>
    </row>
    <row r="1410" spans="1:20">
      <c r="A1410" t="s">
        <v>3735</v>
      </c>
      <c r="B1410">
        <v>45929</v>
      </c>
      <c r="C1410" t="s">
        <v>126</v>
      </c>
      <c r="D1410" t="s">
        <v>88</v>
      </c>
      <c r="E1410" t="s">
        <v>127</v>
      </c>
      <c r="F1410">
        <v>4020</v>
      </c>
      <c r="G1410" t="s">
        <v>30</v>
      </c>
      <c r="H1410" t="s">
        <v>3736</v>
      </c>
      <c r="I1410" t="s">
        <v>71</v>
      </c>
      <c r="J1410">
        <v>50800</v>
      </c>
      <c r="K1410" t="s">
        <v>129</v>
      </c>
      <c r="L1410" t="s">
        <v>3737</v>
      </c>
      <c r="M1410" t="s">
        <v>3</v>
      </c>
      <c r="N1410" t="s">
        <v>75</v>
      </c>
      <c r="O1410" s="25" t="s">
        <v>3830</v>
      </c>
      <c r="P1410" s="25">
        <v>1</v>
      </c>
      <c r="Q1410" s="25">
        <v>50800</v>
      </c>
      <c r="R1410" s="25" t="s">
        <v>26</v>
      </c>
      <c r="S1410" s="25" t="s">
        <v>26</v>
      </c>
      <c r="T1410" s="25">
        <f t="shared" ref="T1410:T1432" si="22">IF(AND(S1410="Revenue",G1410&lt;&gt;"Refunds &amp; Chargebacks"),ABS(Q1410),-ABS(Q1410))</f>
        <v>50800</v>
      </c>
    </row>
    <row r="1411" spans="1:20">
      <c r="A1411" t="s">
        <v>3738</v>
      </c>
      <c r="B1411">
        <v>45929</v>
      </c>
      <c r="C1411" t="s">
        <v>126</v>
      </c>
      <c r="D1411" t="s">
        <v>88</v>
      </c>
      <c r="E1411" t="s">
        <v>132</v>
      </c>
      <c r="F1411">
        <v>4020</v>
      </c>
      <c r="G1411" t="s">
        <v>30</v>
      </c>
      <c r="H1411" t="s">
        <v>3739</v>
      </c>
      <c r="I1411" t="s">
        <v>71</v>
      </c>
      <c r="J1411">
        <v>57800</v>
      </c>
      <c r="K1411" t="s">
        <v>134</v>
      </c>
      <c r="L1411" t="s">
        <v>3737</v>
      </c>
      <c r="M1411" t="s">
        <v>3</v>
      </c>
      <c r="N1411" t="s">
        <v>75</v>
      </c>
      <c r="O1411" s="25" t="s">
        <v>3830</v>
      </c>
      <c r="P1411" s="25">
        <v>1</v>
      </c>
      <c r="Q1411" s="25">
        <v>57800</v>
      </c>
      <c r="R1411" s="25" t="s">
        <v>26</v>
      </c>
      <c r="S1411" s="25" t="s">
        <v>26</v>
      </c>
      <c r="T1411" s="25">
        <f t="shared" si="22"/>
        <v>57800</v>
      </c>
    </row>
    <row r="1412" spans="1:20">
      <c r="A1412" t="s">
        <v>3740</v>
      </c>
      <c r="B1412">
        <v>45929</v>
      </c>
      <c r="C1412" t="s">
        <v>126</v>
      </c>
      <c r="D1412" t="s">
        <v>88</v>
      </c>
      <c r="E1412" t="s">
        <v>136</v>
      </c>
      <c r="F1412">
        <v>4020</v>
      </c>
      <c r="G1412" t="s">
        <v>30</v>
      </c>
      <c r="H1412" t="s">
        <v>3741</v>
      </c>
      <c r="I1412" t="s">
        <v>72</v>
      </c>
      <c r="J1412">
        <v>33.21</v>
      </c>
      <c r="K1412" t="s">
        <v>138</v>
      </c>
      <c r="L1412" t="s">
        <v>3737</v>
      </c>
      <c r="M1412" t="s">
        <v>3</v>
      </c>
      <c r="N1412" t="s">
        <v>75</v>
      </c>
      <c r="O1412" s="25" t="s">
        <v>3831</v>
      </c>
      <c r="P1412" s="25">
        <v>1611</v>
      </c>
      <c r="Q1412" s="25">
        <v>53501.310000000005</v>
      </c>
      <c r="R1412" s="25" t="s">
        <v>26</v>
      </c>
      <c r="S1412" s="25" t="s">
        <v>26</v>
      </c>
      <c r="T1412" s="25">
        <f t="shared" si="22"/>
        <v>53501.310000000005</v>
      </c>
    </row>
    <row r="1413" spans="1:20">
      <c r="A1413" t="s">
        <v>3742</v>
      </c>
      <c r="B1413">
        <v>45929</v>
      </c>
      <c r="C1413" t="s">
        <v>126</v>
      </c>
      <c r="D1413" t="s">
        <v>88</v>
      </c>
      <c r="E1413" t="s">
        <v>140</v>
      </c>
      <c r="F1413">
        <v>4020</v>
      </c>
      <c r="G1413" t="s">
        <v>30</v>
      </c>
      <c r="H1413" t="s">
        <v>3743</v>
      </c>
      <c r="I1413" t="s">
        <v>71</v>
      </c>
      <c r="J1413">
        <v>49500</v>
      </c>
      <c r="K1413" t="s">
        <v>3</v>
      </c>
      <c r="L1413" t="s">
        <v>3744</v>
      </c>
      <c r="M1413" t="s">
        <v>3</v>
      </c>
      <c r="N1413" t="s">
        <v>75</v>
      </c>
      <c r="O1413" s="25" t="s">
        <v>3830</v>
      </c>
      <c r="P1413" s="25">
        <v>1</v>
      </c>
      <c r="Q1413" s="25">
        <v>49500</v>
      </c>
      <c r="R1413" s="25" t="s">
        <v>26</v>
      </c>
      <c r="S1413" s="25" t="s">
        <v>26</v>
      </c>
      <c r="T1413" s="25">
        <f t="shared" si="22"/>
        <v>49500</v>
      </c>
    </row>
    <row r="1414" spans="1:20">
      <c r="A1414" t="s">
        <v>3745</v>
      </c>
      <c r="B1414">
        <v>45929</v>
      </c>
      <c r="C1414" t="s">
        <v>87</v>
      </c>
      <c r="D1414" t="s">
        <v>88</v>
      </c>
      <c r="E1414" t="s">
        <v>3</v>
      </c>
      <c r="F1414">
        <v>5040</v>
      </c>
      <c r="G1414" t="s">
        <v>43</v>
      </c>
      <c r="H1414" t="s">
        <v>2864</v>
      </c>
      <c r="I1414" t="s">
        <v>71</v>
      </c>
      <c r="J1414">
        <v>-670000</v>
      </c>
      <c r="K1414" t="s">
        <v>398</v>
      </c>
      <c r="L1414" t="s">
        <v>3746</v>
      </c>
      <c r="M1414" t="s">
        <v>3</v>
      </c>
      <c r="N1414" t="s">
        <v>75</v>
      </c>
      <c r="O1414" s="25" t="s">
        <v>3830</v>
      </c>
      <c r="P1414" s="25">
        <v>1</v>
      </c>
      <c r="Q1414" s="25">
        <v>-670000</v>
      </c>
      <c r="R1414" s="25" t="s">
        <v>35</v>
      </c>
      <c r="S1414" s="25" t="s">
        <v>35</v>
      </c>
      <c r="T1414" s="25">
        <f t="shared" si="22"/>
        <v>-670000</v>
      </c>
    </row>
    <row r="1415" spans="1:20">
      <c r="A1415" t="s">
        <v>3747</v>
      </c>
      <c r="B1415">
        <v>45929</v>
      </c>
      <c r="C1415" t="s">
        <v>1274</v>
      </c>
      <c r="D1415" t="s">
        <v>94</v>
      </c>
      <c r="E1415" t="s">
        <v>3</v>
      </c>
      <c r="F1415">
        <v>6060</v>
      </c>
      <c r="G1415" t="s">
        <v>60</v>
      </c>
      <c r="H1415" t="s">
        <v>3748</v>
      </c>
      <c r="I1415" t="s">
        <v>71</v>
      </c>
      <c r="J1415">
        <v>-95021</v>
      </c>
      <c r="K1415" t="s">
        <v>1276</v>
      </c>
      <c r="L1415" t="s">
        <v>3749</v>
      </c>
      <c r="M1415" t="s">
        <v>3</v>
      </c>
      <c r="N1415" t="s">
        <v>75</v>
      </c>
      <c r="O1415" s="25" t="s">
        <v>3830</v>
      </c>
      <c r="P1415" s="25">
        <v>1</v>
      </c>
      <c r="Q1415" s="25">
        <v>-95021</v>
      </c>
      <c r="R1415" s="25" t="s">
        <v>48</v>
      </c>
      <c r="S1415" s="25" t="s">
        <v>48</v>
      </c>
      <c r="T1415" s="25">
        <f t="shared" si="22"/>
        <v>-95021</v>
      </c>
    </row>
    <row r="1416" spans="1:20">
      <c r="A1416" t="s">
        <v>3750</v>
      </c>
      <c r="B1416">
        <v>45929</v>
      </c>
      <c r="C1416" t="s">
        <v>1274</v>
      </c>
      <c r="D1416" t="s">
        <v>111</v>
      </c>
      <c r="E1416" t="s">
        <v>3</v>
      </c>
      <c r="F1416">
        <v>6060</v>
      </c>
      <c r="G1416" t="s">
        <v>60</v>
      </c>
      <c r="H1416" t="s">
        <v>3748</v>
      </c>
      <c r="I1416" t="s">
        <v>71</v>
      </c>
      <c r="J1416">
        <v>-168490</v>
      </c>
      <c r="K1416" t="s">
        <v>1276</v>
      </c>
      <c r="L1416" t="s">
        <v>3751</v>
      </c>
      <c r="N1416" t="s">
        <v>75</v>
      </c>
      <c r="O1416" s="25" t="s">
        <v>3830</v>
      </c>
      <c r="P1416" s="25">
        <v>1</v>
      </c>
      <c r="Q1416" s="25">
        <v>-168490</v>
      </c>
      <c r="R1416" s="25" t="s">
        <v>48</v>
      </c>
      <c r="S1416" s="25" t="s">
        <v>48</v>
      </c>
      <c r="T1416" s="25">
        <f t="shared" si="22"/>
        <v>-168490</v>
      </c>
    </row>
    <row r="1417" spans="1:20">
      <c r="A1417" t="s">
        <v>3752</v>
      </c>
      <c r="B1417">
        <v>45929</v>
      </c>
      <c r="C1417" t="s">
        <v>1274</v>
      </c>
      <c r="D1417" t="s">
        <v>88</v>
      </c>
      <c r="E1417" t="s">
        <v>3</v>
      </c>
      <c r="F1417">
        <v>6060</v>
      </c>
      <c r="G1417" t="s">
        <v>60</v>
      </c>
      <c r="H1417" t="s">
        <v>3748</v>
      </c>
      <c r="I1417" t="s">
        <v>71</v>
      </c>
      <c r="J1417">
        <v>-81294</v>
      </c>
      <c r="K1417" t="s">
        <v>1276</v>
      </c>
      <c r="L1417" t="s">
        <v>3753</v>
      </c>
      <c r="M1417" t="s">
        <v>3</v>
      </c>
      <c r="N1417" t="s">
        <v>75</v>
      </c>
      <c r="O1417" s="25" t="s">
        <v>3830</v>
      </c>
      <c r="P1417" s="25">
        <v>1</v>
      </c>
      <c r="Q1417" s="25">
        <v>-81294</v>
      </c>
      <c r="R1417" s="25" t="s">
        <v>48</v>
      </c>
      <c r="S1417" s="25" t="s">
        <v>48</v>
      </c>
      <c r="T1417" s="25">
        <f t="shared" si="22"/>
        <v>-81294</v>
      </c>
    </row>
    <row r="1418" spans="1:20">
      <c r="A1418" t="s">
        <v>3754</v>
      </c>
      <c r="B1418">
        <v>45930</v>
      </c>
      <c r="C1418" t="s">
        <v>93</v>
      </c>
      <c r="D1418" t="s">
        <v>94</v>
      </c>
      <c r="E1418" t="s">
        <v>99</v>
      </c>
      <c r="F1418">
        <v>4000</v>
      </c>
      <c r="G1418" t="s">
        <v>25</v>
      </c>
      <c r="H1418" t="s">
        <v>3755</v>
      </c>
      <c r="I1418" t="s">
        <v>71</v>
      </c>
      <c r="J1418">
        <v>28500</v>
      </c>
      <c r="K1418" t="s">
        <v>3</v>
      </c>
      <c r="L1418" t="s">
        <v>3756</v>
      </c>
      <c r="M1418" t="s">
        <v>3</v>
      </c>
      <c r="N1418" t="s">
        <v>75</v>
      </c>
      <c r="O1418" s="25" t="s">
        <v>3830</v>
      </c>
      <c r="P1418" s="25">
        <v>1</v>
      </c>
      <c r="Q1418" s="25">
        <v>28500</v>
      </c>
      <c r="R1418" s="25" t="s">
        <v>26</v>
      </c>
      <c r="S1418" s="25" t="s">
        <v>26</v>
      </c>
      <c r="T1418" s="25">
        <f t="shared" si="22"/>
        <v>28500</v>
      </c>
    </row>
    <row r="1419" spans="1:20">
      <c r="A1419" t="s">
        <v>3757</v>
      </c>
      <c r="B1419">
        <v>45930</v>
      </c>
      <c r="C1419" t="s">
        <v>93</v>
      </c>
      <c r="D1419" t="s">
        <v>94</v>
      </c>
      <c r="E1419" t="s">
        <v>103</v>
      </c>
      <c r="F1419">
        <v>4000</v>
      </c>
      <c r="G1419" t="s">
        <v>25</v>
      </c>
      <c r="H1419" t="s">
        <v>3758</v>
      </c>
      <c r="I1419" t="s">
        <v>71</v>
      </c>
      <c r="J1419">
        <v>32800</v>
      </c>
      <c r="K1419" t="s">
        <v>3</v>
      </c>
      <c r="L1419" t="s">
        <v>3759</v>
      </c>
      <c r="M1419" t="s">
        <v>3</v>
      </c>
      <c r="N1419" t="s">
        <v>75</v>
      </c>
      <c r="O1419" s="25" t="s">
        <v>3830</v>
      </c>
      <c r="P1419" s="25">
        <v>1</v>
      </c>
      <c r="Q1419" s="25">
        <v>32800</v>
      </c>
      <c r="R1419" s="25" t="s">
        <v>26</v>
      </c>
      <c r="S1419" s="25" t="s">
        <v>26</v>
      </c>
      <c r="T1419" s="25">
        <f t="shared" si="22"/>
        <v>32800</v>
      </c>
    </row>
    <row r="1420" spans="1:20">
      <c r="A1420" t="s">
        <v>3760</v>
      </c>
      <c r="B1420">
        <v>45930</v>
      </c>
      <c r="C1420" t="s">
        <v>93</v>
      </c>
      <c r="D1420" t="s">
        <v>94</v>
      </c>
      <c r="E1420" t="s">
        <v>160</v>
      </c>
      <c r="F1420">
        <v>4000</v>
      </c>
      <c r="G1420" t="s">
        <v>25</v>
      </c>
      <c r="H1420" t="s">
        <v>3761</v>
      </c>
      <c r="I1420" t="s">
        <v>71</v>
      </c>
      <c r="J1420">
        <v>30100</v>
      </c>
      <c r="K1420" t="s">
        <v>3</v>
      </c>
      <c r="L1420" t="s">
        <v>3759</v>
      </c>
      <c r="M1420" t="s">
        <v>3</v>
      </c>
      <c r="N1420" t="s">
        <v>75</v>
      </c>
      <c r="O1420" s="25" t="s">
        <v>3830</v>
      </c>
      <c r="P1420" s="25">
        <v>1</v>
      </c>
      <c r="Q1420" s="25">
        <v>30100</v>
      </c>
      <c r="R1420" s="25" t="s">
        <v>26</v>
      </c>
      <c r="S1420" s="25" t="s">
        <v>26</v>
      </c>
      <c r="T1420" s="25">
        <f t="shared" si="22"/>
        <v>30100</v>
      </c>
    </row>
    <row r="1421" spans="1:20">
      <c r="A1421" t="s">
        <v>3762</v>
      </c>
      <c r="B1421">
        <v>45930</v>
      </c>
      <c r="C1421" t="s">
        <v>93</v>
      </c>
      <c r="D1421" t="s">
        <v>94</v>
      </c>
      <c r="E1421" t="s">
        <v>107</v>
      </c>
      <c r="F1421">
        <v>4000</v>
      </c>
      <c r="G1421" t="s">
        <v>25</v>
      </c>
      <c r="H1421" t="s">
        <v>3763</v>
      </c>
      <c r="I1421" t="s">
        <v>71</v>
      </c>
      <c r="J1421">
        <v>31800</v>
      </c>
      <c r="K1421" t="s">
        <v>3</v>
      </c>
      <c r="L1421" t="s">
        <v>3764</v>
      </c>
      <c r="M1421" t="s">
        <v>3</v>
      </c>
      <c r="N1421" t="s">
        <v>75</v>
      </c>
      <c r="O1421" s="25" t="s">
        <v>3830</v>
      </c>
      <c r="P1421" s="25">
        <v>1</v>
      </c>
      <c r="Q1421" s="25">
        <v>31800</v>
      </c>
      <c r="R1421" s="25" t="s">
        <v>26</v>
      </c>
      <c r="S1421" s="25" t="s">
        <v>26</v>
      </c>
      <c r="T1421" s="25">
        <f t="shared" si="22"/>
        <v>31800</v>
      </c>
    </row>
    <row r="1422" spans="1:20">
      <c r="A1422" t="s">
        <v>3765</v>
      </c>
      <c r="B1422">
        <v>45930</v>
      </c>
      <c r="C1422" t="s">
        <v>93</v>
      </c>
      <c r="D1422" t="s">
        <v>111</v>
      </c>
      <c r="E1422" t="s">
        <v>112</v>
      </c>
      <c r="F1422">
        <v>4000</v>
      </c>
      <c r="G1422" t="s">
        <v>25</v>
      </c>
      <c r="H1422" t="s">
        <v>3766</v>
      </c>
      <c r="I1422" t="s">
        <v>71</v>
      </c>
      <c r="J1422">
        <v>52500</v>
      </c>
      <c r="K1422" t="s">
        <v>3</v>
      </c>
      <c r="L1422" t="s">
        <v>3767</v>
      </c>
      <c r="M1422" t="s">
        <v>3</v>
      </c>
      <c r="N1422" t="s">
        <v>75</v>
      </c>
      <c r="O1422" s="25" t="s">
        <v>3830</v>
      </c>
      <c r="P1422" s="25">
        <v>1</v>
      </c>
      <c r="Q1422" s="25">
        <v>52500</v>
      </c>
      <c r="R1422" s="25" t="s">
        <v>26</v>
      </c>
      <c r="S1422" s="25" t="s">
        <v>26</v>
      </c>
      <c r="T1422" s="25">
        <f t="shared" si="22"/>
        <v>52500</v>
      </c>
    </row>
    <row r="1423" spans="1:20">
      <c r="A1423" t="s">
        <v>3768</v>
      </c>
      <c r="B1423">
        <v>45930</v>
      </c>
      <c r="C1423" t="s">
        <v>93</v>
      </c>
      <c r="D1423" t="s">
        <v>111</v>
      </c>
      <c r="E1423" t="s">
        <v>116</v>
      </c>
      <c r="F1423">
        <v>4000</v>
      </c>
      <c r="G1423" t="s">
        <v>25</v>
      </c>
      <c r="H1423" t="s">
        <v>3769</v>
      </c>
      <c r="I1423" t="s">
        <v>71</v>
      </c>
      <c r="J1423">
        <v>52100</v>
      </c>
      <c r="K1423" t="s">
        <v>3</v>
      </c>
      <c r="L1423" t="s">
        <v>3767</v>
      </c>
      <c r="M1423" t="s">
        <v>3</v>
      </c>
      <c r="N1423" t="s">
        <v>75</v>
      </c>
      <c r="O1423" s="25" t="s">
        <v>3830</v>
      </c>
      <c r="P1423" s="25">
        <v>1</v>
      </c>
      <c r="Q1423" s="25">
        <v>52100</v>
      </c>
      <c r="R1423" s="25" t="s">
        <v>26</v>
      </c>
      <c r="S1423" s="25" t="s">
        <v>26</v>
      </c>
      <c r="T1423" s="25">
        <f t="shared" si="22"/>
        <v>52100</v>
      </c>
    </row>
    <row r="1424" spans="1:20">
      <c r="A1424" t="s">
        <v>3770</v>
      </c>
      <c r="B1424">
        <v>45930</v>
      </c>
      <c r="C1424" t="s">
        <v>93</v>
      </c>
      <c r="D1424" t="s">
        <v>111</v>
      </c>
      <c r="E1424" t="s">
        <v>119</v>
      </c>
      <c r="F1424">
        <v>4000</v>
      </c>
      <c r="G1424" t="s">
        <v>25</v>
      </c>
      <c r="H1424" t="s">
        <v>3771</v>
      </c>
      <c r="I1424" t="s">
        <v>71</v>
      </c>
      <c r="J1424">
        <v>51800</v>
      </c>
      <c r="K1424" t="s">
        <v>3</v>
      </c>
      <c r="L1424" t="s">
        <v>3767</v>
      </c>
      <c r="M1424" t="s">
        <v>3</v>
      </c>
      <c r="N1424" t="s">
        <v>75</v>
      </c>
      <c r="O1424" s="25" t="s">
        <v>3830</v>
      </c>
      <c r="P1424" s="25">
        <v>1</v>
      </c>
      <c r="Q1424" s="25">
        <v>51800</v>
      </c>
      <c r="R1424" s="25" t="s">
        <v>26</v>
      </c>
      <c r="S1424" s="25" t="s">
        <v>26</v>
      </c>
      <c r="T1424" s="25">
        <f t="shared" si="22"/>
        <v>51800</v>
      </c>
    </row>
    <row r="1425" spans="1:20">
      <c r="A1425" t="s">
        <v>3772</v>
      </c>
      <c r="B1425">
        <v>45930</v>
      </c>
      <c r="C1425" t="s">
        <v>93</v>
      </c>
      <c r="D1425" t="s">
        <v>111</v>
      </c>
      <c r="E1425" t="s">
        <v>170</v>
      </c>
      <c r="F1425">
        <v>4000</v>
      </c>
      <c r="G1425" t="s">
        <v>25</v>
      </c>
      <c r="H1425" t="s">
        <v>3773</v>
      </c>
      <c r="I1425" t="s">
        <v>71</v>
      </c>
      <c r="J1425">
        <v>53300</v>
      </c>
      <c r="K1425" t="s">
        <v>3</v>
      </c>
      <c r="L1425" t="s">
        <v>3767</v>
      </c>
      <c r="M1425" t="s">
        <v>3</v>
      </c>
      <c r="N1425" t="s">
        <v>75</v>
      </c>
      <c r="O1425" s="25" t="s">
        <v>3830</v>
      </c>
      <c r="P1425" s="25">
        <v>1</v>
      </c>
      <c r="Q1425" s="25">
        <v>53300</v>
      </c>
      <c r="R1425" s="25" t="s">
        <v>26</v>
      </c>
      <c r="S1425" s="25" t="s">
        <v>26</v>
      </c>
      <c r="T1425" s="25">
        <f t="shared" si="22"/>
        <v>53300</v>
      </c>
    </row>
    <row r="1426" spans="1:20">
      <c r="A1426" t="s">
        <v>3774</v>
      </c>
      <c r="B1426">
        <v>45930</v>
      </c>
      <c r="C1426" t="s">
        <v>93</v>
      </c>
      <c r="D1426" t="s">
        <v>111</v>
      </c>
      <c r="E1426" t="s">
        <v>122</v>
      </c>
      <c r="F1426">
        <v>4000</v>
      </c>
      <c r="G1426" t="s">
        <v>25</v>
      </c>
      <c r="H1426" t="s">
        <v>3775</v>
      </c>
      <c r="I1426" t="s">
        <v>71</v>
      </c>
      <c r="J1426">
        <v>49700</v>
      </c>
      <c r="K1426" t="s">
        <v>3</v>
      </c>
      <c r="L1426" t="s">
        <v>3776</v>
      </c>
      <c r="M1426" t="s">
        <v>3</v>
      </c>
      <c r="N1426" t="s">
        <v>75</v>
      </c>
      <c r="O1426" s="25" t="s">
        <v>3830</v>
      </c>
      <c r="P1426" s="25">
        <v>1</v>
      </c>
      <c r="Q1426" s="25">
        <v>49700</v>
      </c>
      <c r="R1426" s="25" t="s">
        <v>26</v>
      </c>
      <c r="S1426" s="25" t="s">
        <v>26</v>
      </c>
      <c r="T1426" s="25">
        <f t="shared" si="22"/>
        <v>49700</v>
      </c>
    </row>
    <row r="1427" spans="1:20">
      <c r="A1427" t="s">
        <v>3777</v>
      </c>
      <c r="B1427">
        <v>45930</v>
      </c>
      <c r="C1427" t="s">
        <v>126</v>
      </c>
      <c r="D1427" t="s">
        <v>88</v>
      </c>
      <c r="E1427" t="s">
        <v>127</v>
      </c>
      <c r="F1427">
        <v>4020</v>
      </c>
      <c r="G1427" t="s">
        <v>30</v>
      </c>
      <c r="H1427" t="s">
        <v>3778</v>
      </c>
      <c r="I1427" t="s">
        <v>71</v>
      </c>
      <c r="J1427">
        <v>53100</v>
      </c>
      <c r="K1427" t="s">
        <v>129</v>
      </c>
      <c r="L1427" t="s">
        <v>3779</v>
      </c>
      <c r="M1427" t="s">
        <v>3</v>
      </c>
      <c r="N1427" t="s">
        <v>75</v>
      </c>
      <c r="O1427" s="25" t="s">
        <v>3830</v>
      </c>
      <c r="P1427" s="25">
        <v>1</v>
      </c>
      <c r="Q1427" s="25">
        <v>53100</v>
      </c>
      <c r="R1427" s="25" t="s">
        <v>26</v>
      </c>
      <c r="S1427" s="25" t="s">
        <v>26</v>
      </c>
      <c r="T1427" s="25">
        <f t="shared" si="22"/>
        <v>53100</v>
      </c>
    </row>
    <row r="1428" spans="1:20">
      <c r="A1428" t="s">
        <v>3780</v>
      </c>
      <c r="B1428">
        <v>45930</v>
      </c>
      <c r="C1428" t="s">
        <v>126</v>
      </c>
      <c r="D1428" t="s">
        <v>88</v>
      </c>
      <c r="E1428" t="s">
        <v>132</v>
      </c>
      <c r="F1428">
        <v>4020</v>
      </c>
      <c r="G1428" t="s">
        <v>30</v>
      </c>
      <c r="H1428" t="s">
        <v>3781</v>
      </c>
      <c r="I1428" t="s">
        <v>71</v>
      </c>
      <c r="J1428">
        <v>48300</v>
      </c>
      <c r="K1428" t="s">
        <v>134</v>
      </c>
      <c r="L1428" t="s">
        <v>3779</v>
      </c>
      <c r="M1428" t="s">
        <v>3</v>
      </c>
      <c r="N1428" t="s">
        <v>75</v>
      </c>
      <c r="O1428" s="25" t="s">
        <v>3830</v>
      </c>
      <c r="P1428" s="25">
        <v>1</v>
      </c>
      <c r="Q1428" s="25">
        <v>48300</v>
      </c>
      <c r="R1428" s="25" t="s">
        <v>26</v>
      </c>
      <c r="S1428" s="25" t="s">
        <v>26</v>
      </c>
      <c r="T1428" s="25">
        <f t="shared" si="22"/>
        <v>48300</v>
      </c>
    </row>
    <row r="1429" spans="1:20">
      <c r="A1429" t="s">
        <v>3782</v>
      </c>
      <c r="B1429">
        <v>45930</v>
      </c>
      <c r="C1429" t="s">
        <v>126</v>
      </c>
      <c r="D1429" t="s">
        <v>88</v>
      </c>
      <c r="E1429" t="s">
        <v>136</v>
      </c>
      <c r="F1429">
        <v>4020</v>
      </c>
      <c r="G1429" t="s">
        <v>30</v>
      </c>
      <c r="H1429" t="s">
        <v>3783</v>
      </c>
      <c r="I1429" t="s">
        <v>72</v>
      </c>
      <c r="J1429">
        <v>31.66</v>
      </c>
      <c r="K1429" t="s">
        <v>138</v>
      </c>
      <c r="L1429" t="s">
        <v>3779</v>
      </c>
      <c r="M1429" t="s">
        <v>3</v>
      </c>
      <c r="N1429" t="s">
        <v>75</v>
      </c>
      <c r="O1429" s="25" t="s">
        <v>3831</v>
      </c>
      <c r="P1429" s="25">
        <v>1611</v>
      </c>
      <c r="Q1429" s="25">
        <v>51004.26</v>
      </c>
      <c r="R1429" s="25" t="s">
        <v>26</v>
      </c>
      <c r="S1429" s="25" t="s">
        <v>26</v>
      </c>
      <c r="T1429" s="25">
        <f t="shared" si="22"/>
        <v>51004.26</v>
      </c>
    </row>
    <row r="1430" spans="1:20">
      <c r="A1430" t="s">
        <v>3784</v>
      </c>
      <c r="B1430">
        <v>45930</v>
      </c>
      <c r="C1430" t="s">
        <v>126</v>
      </c>
      <c r="D1430" t="s">
        <v>88</v>
      </c>
      <c r="E1430" t="s">
        <v>140</v>
      </c>
      <c r="F1430">
        <v>4020</v>
      </c>
      <c r="G1430" t="s">
        <v>30</v>
      </c>
      <c r="H1430" t="s">
        <v>3785</v>
      </c>
      <c r="I1430" t="s">
        <v>71</v>
      </c>
      <c r="J1430">
        <v>51300</v>
      </c>
      <c r="K1430" t="s">
        <v>3</v>
      </c>
      <c r="L1430" t="s">
        <v>3786</v>
      </c>
      <c r="M1430" t="s">
        <v>3</v>
      </c>
      <c r="N1430" t="s">
        <v>75</v>
      </c>
      <c r="O1430" s="25" t="s">
        <v>3830</v>
      </c>
      <c r="P1430" s="25">
        <v>1</v>
      </c>
      <c r="Q1430" s="25">
        <v>51300</v>
      </c>
      <c r="R1430" s="25" t="s">
        <v>26</v>
      </c>
      <c r="S1430" s="25" t="s">
        <v>26</v>
      </c>
      <c r="T1430" s="25">
        <f t="shared" si="22"/>
        <v>51300</v>
      </c>
    </row>
    <row r="1431" spans="1:20">
      <c r="A1431" t="s">
        <v>3787</v>
      </c>
      <c r="B1431">
        <v>45930</v>
      </c>
      <c r="C1431" t="s">
        <v>93</v>
      </c>
      <c r="D1431" t="s">
        <v>94</v>
      </c>
      <c r="E1431" t="s">
        <v>95</v>
      </c>
      <c r="F1431">
        <v>4900</v>
      </c>
      <c r="G1431" t="s">
        <v>32</v>
      </c>
      <c r="H1431" t="s">
        <v>3788</v>
      </c>
      <c r="I1431" t="s">
        <v>71</v>
      </c>
      <c r="J1431">
        <v>-20118</v>
      </c>
      <c r="K1431" t="s">
        <v>3</v>
      </c>
      <c r="L1431" t="s">
        <v>3789</v>
      </c>
      <c r="M1431" t="s">
        <v>3</v>
      </c>
      <c r="N1431" t="s">
        <v>75</v>
      </c>
      <c r="O1431" s="25" t="s">
        <v>3830</v>
      </c>
      <c r="P1431" s="25">
        <v>1</v>
      </c>
      <c r="Q1431" s="25">
        <v>-20118</v>
      </c>
      <c r="R1431" s="25" t="s">
        <v>26</v>
      </c>
      <c r="S1431" s="25" t="s">
        <v>26</v>
      </c>
      <c r="T1431" s="25">
        <f t="shared" si="22"/>
        <v>-20118</v>
      </c>
    </row>
    <row r="1432" spans="1:20">
      <c r="A1432" t="s">
        <v>3790</v>
      </c>
      <c r="B1432">
        <v>45930</v>
      </c>
      <c r="C1432" t="s">
        <v>87</v>
      </c>
      <c r="D1432" t="s">
        <v>111</v>
      </c>
      <c r="E1432" t="s">
        <v>3</v>
      </c>
      <c r="F1432">
        <v>5010</v>
      </c>
      <c r="G1432" t="s">
        <v>37</v>
      </c>
      <c r="H1432" t="s">
        <v>2770</v>
      </c>
      <c r="I1432" t="s">
        <v>71</v>
      </c>
      <c r="J1432">
        <v>-995000</v>
      </c>
      <c r="K1432" t="s">
        <v>987</v>
      </c>
      <c r="L1432" t="s">
        <v>3791</v>
      </c>
      <c r="M1432" t="s">
        <v>3</v>
      </c>
      <c r="N1432" t="s">
        <v>75</v>
      </c>
      <c r="O1432" s="25" t="s">
        <v>3830</v>
      </c>
      <c r="P1432" s="25">
        <v>1</v>
      </c>
      <c r="Q1432" s="25">
        <v>-995000</v>
      </c>
      <c r="R1432" s="25" t="s">
        <v>35</v>
      </c>
      <c r="S1432" s="25" t="s">
        <v>35</v>
      </c>
      <c r="T1432" s="25">
        <f t="shared" si="22"/>
        <v>-995000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9"/>
  <sheetViews>
    <sheetView showGridLines="0" workbookViewId="0">
      <pane ySplit="1" topLeftCell="A25" activePane="bottomLeft" state="frozen"/>
      <selection pane="bottomLeft" activeCell="C46" sqref="C46:C47"/>
    </sheetView>
  </sheetViews>
  <sheetFormatPr defaultRowHeight="14.5"/>
  <cols>
    <col min="1" max="1" width="27.7265625" customWidth="1"/>
    <col min="2" max="2" width="9.453125" bestFit="1" customWidth="1"/>
    <col min="3" max="3" width="11.81640625" bestFit="1" customWidth="1"/>
    <col min="4" max="4" width="12.1796875" bestFit="1" customWidth="1"/>
    <col min="5" max="5" width="11.81640625" bestFit="1" customWidth="1"/>
    <col min="7" max="7" width="13.453125" bestFit="1" customWidth="1"/>
    <col min="8" max="8" width="23.08984375" bestFit="1" customWidth="1"/>
    <col min="9" max="9" width="20.54296875" bestFit="1" customWidth="1"/>
  </cols>
  <sheetData>
    <row r="1" spans="1:5">
      <c r="A1" s="40"/>
      <c r="B1" s="41" t="s">
        <v>94</v>
      </c>
      <c r="C1" s="41" t="s">
        <v>111</v>
      </c>
      <c r="D1" s="41" t="s">
        <v>88</v>
      </c>
      <c r="E1" s="41" t="s">
        <v>3833</v>
      </c>
    </row>
    <row r="2" spans="1:5">
      <c r="A2" s="42" t="s">
        <v>3834</v>
      </c>
      <c r="B2" s="25"/>
      <c r="C2" s="25"/>
      <c r="D2" s="25"/>
      <c r="E2" s="25"/>
    </row>
    <row r="3" spans="1:5">
      <c r="A3" s="25" t="s">
        <v>25</v>
      </c>
      <c r="B3" s="25">
        <f>SUMIFS(tbl_Cleaned[Clean_Amount],tbl_Cleaned[Brand],B$1,tbl_Cleaned[Account_Name],$A3)</f>
        <v>13928000</v>
      </c>
      <c r="C3" s="25">
        <f>SUMIFS(tbl_Cleaned[Clean_Amount],tbl_Cleaned[Brand],C$1,tbl_Cleaned[Account_Name],$A3)</f>
        <v>22377900.91</v>
      </c>
      <c r="D3" s="25">
        <f>SUMIFS(tbl_Cleaned[Clean_Amount],tbl_Cleaned[Brand],D$1,tbl_Cleaned[Account_Name],$A3)</f>
        <v>0</v>
      </c>
      <c r="E3" s="25">
        <f>SUM(B3:D3)</f>
        <v>36305900.909999996</v>
      </c>
    </row>
    <row r="4" spans="1:5">
      <c r="A4" s="25" t="s">
        <v>30</v>
      </c>
      <c r="B4" s="25">
        <f>SUMIFS(tbl_Cleaned[Clean_Amount],tbl_Cleaned[Brand],B$1,tbl_Cleaned[Account_Name],$A4)</f>
        <v>0</v>
      </c>
      <c r="C4" s="25">
        <f>SUMIFS(tbl_Cleaned[Clean_Amount],tbl_Cleaned[Brand],C$1,tbl_Cleaned[Account_Name],$A4)</f>
        <v>0</v>
      </c>
      <c r="D4" s="25">
        <f>SUMIFS(tbl_Cleaned[Clean_Amount],tbl_Cleaned[Brand],D$1,tbl_Cleaned[Account_Name],$A4)</f>
        <v>16728931.089999996</v>
      </c>
      <c r="E4" s="25">
        <f t="shared" ref="E4:E29" si="0">SUM(B4:D4)</f>
        <v>16728931.089999996</v>
      </c>
    </row>
    <row r="5" spans="1:5">
      <c r="A5" s="25" t="s">
        <v>32</v>
      </c>
      <c r="B5" s="25">
        <f>SUMIFS(tbl_Cleaned[Clean_Amount],tbl_Cleaned[Brand],B$1,tbl_Cleaned[Account_Name],$A5)</f>
        <v>-847608</v>
      </c>
      <c r="C5" s="25">
        <f>SUMIFS(tbl_Cleaned[Clean_Amount],tbl_Cleaned[Brand],C$1,tbl_Cleaned[Account_Name],$A5)</f>
        <v>-2114845</v>
      </c>
      <c r="D5" s="25">
        <f>SUMIFS(tbl_Cleaned[Clean_Amount],tbl_Cleaned[Brand],D$1,tbl_Cleaned[Account_Name],$A5)</f>
        <v>0</v>
      </c>
      <c r="E5" s="25">
        <f t="shared" si="0"/>
        <v>-2962453</v>
      </c>
    </row>
    <row r="6" spans="1:5">
      <c r="A6" s="42" t="s">
        <v>3835</v>
      </c>
      <c r="B6" s="42">
        <f>SUM(B3:B5)</f>
        <v>13080392</v>
      </c>
      <c r="C6" s="42">
        <f t="shared" ref="C6:D6" si="1">SUM(C3:C5)</f>
        <v>20263055.91</v>
      </c>
      <c r="D6" s="42">
        <f t="shared" si="1"/>
        <v>16728931.089999996</v>
      </c>
      <c r="E6" s="42">
        <f t="shared" si="0"/>
        <v>50072379</v>
      </c>
    </row>
    <row r="7" spans="1:5">
      <c r="A7" s="25"/>
      <c r="B7" s="25">
        <f>SUMIFS(tbl_Cleaned[Clean_Amount],tbl_Cleaned[Brand],B$1,tbl_Cleaned[Account_Name],$A7)</f>
        <v>0</v>
      </c>
      <c r="C7" s="25">
        <f>SUMIFS(tbl_Cleaned[Clean_Amount],tbl_Cleaned[Brand],C$1,tbl_Cleaned[Account_Name],$A7)</f>
        <v>0</v>
      </c>
      <c r="D7" s="25">
        <f>SUMIFS(tbl_Cleaned[Clean_Amount],tbl_Cleaned[Brand],D$1,tbl_Cleaned[Account_Name],$A7)</f>
        <v>0</v>
      </c>
      <c r="E7" s="25">
        <f t="shared" si="0"/>
        <v>0</v>
      </c>
    </row>
    <row r="8" spans="1:5">
      <c r="A8" s="42" t="s">
        <v>3836</v>
      </c>
      <c r="B8" s="25">
        <f>SUMIFS(tbl_Cleaned[Clean_Amount],tbl_Cleaned[Brand],B$1,tbl_Cleaned[Account_Name],$A8)</f>
        <v>0</v>
      </c>
      <c r="C8" s="25">
        <f>SUMIFS(tbl_Cleaned[Clean_Amount],tbl_Cleaned[Brand],C$1,tbl_Cleaned[Account_Name],$A8)</f>
        <v>0</v>
      </c>
      <c r="D8" s="25">
        <f>SUMIFS(tbl_Cleaned[Clean_Amount],tbl_Cleaned[Brand],D$1,tbl_Cleaned[Account_Name],$A8)</f>
        <v>0</v>
      </c>
      <c r="E8" s="25">
        <f t="shared" si="0"/>
        <v>0</v>
      </c>
    </row>
    <row r="9" spans="1:5">
      <c r="A9" s="25" t="s">
        <v>34</v>
      </c>
      <c r="B9" s="25">
        <f>SUMIFS(tbl_Cleaned[Clean_Amount],tbl_Cleaned[Brand],B$1,tbl_Cleaned[Account_Name],$A9)</f>
        <v>-13484000</v>
      </c>
      <c r="C9" s="25">
        <f>SUMIFS(tbl_Cleaned[Clean_Amount],tbl_Cleaned[Brand],C$1,tbl_Cleaned[Account_Name],$A9)</f>
        <v>0</v>
      </c>
      <c r="D9" s="25">
        <f>SUMIFS(tbl_Cleaned[Clean_Amount],tbl_Cleaned[Brand],D$1,tbl_Cleaned[Account_Name],$A9)</f>
        <v>0</v>
      </c>
      <c r="E9" s="25">
        <f t="shared" si="0"/>
        <v>-13484000</v>
      </c>
    </row>
    <row r="10" spans="1:5">
      <c r="A10" s="25" t="s">
        <v>37</v>
      </c>
      <c r="B10" s="25">
        <f>SUMIFS(tbl_Cleaned[Clean_Amount],tbl_Cleaned[Brand],B$1,tbl_Cleaned[Account_Name],$A10)</f>
        <v>0</v>
      </c>
      <c r="C10" s="25">
        <f>SUMIFS(tbl_Cleaned[Clean_Amount],tbl_Cleaned[Brand],C$1,tbl_Cleaned[Account_Name],$A10)</f>
        <v>-46579000</v>
      </c>
      <c r="D10" s="25">
        <f>SUMIFS(tbl_Cleaned[Clean_Amount],tbl_Cleaned[Brand],D$1,tbl_Cleaned[Account_Name],$A10)</f>
        <v>0</v>
      </c>
      <c r="E10" s="25">
        <f t="shared" si="0"/>
        <v>-46579000</v>
      </c>
    </row>
    <row r="11" spans="1:5">
      <c r="A11" s="25" t="s">
        <v>43</v>
      </c>
      <c r="B11" s="25">
        <f>SUMIFS(tbl_Cleaned[Clean_Amount],tbl_Cleaned[Brand],B$1,tbl_Cleaned[Account_Name],$A11)</f>
        <v>-6517000</v>
      </c>
      <c r="C11" s="25">
        <f>SUMIFS(tbl_Cleaned[Clean_Amount],tbl_Cleaned[Brand],C$1,tbl_Cleaned[Account_Name],$A11)</f>
        <v>0</v>
      </c>
      <c r="D11" s="25">
        <f>SUMIFS(tbl_Cleaned[Clean_Amount],tbl_Cleaned[Brand],D$1,tbl_Cleaned[Account_Name],$A11)</f>
        <v>-7986000</v>
      </c>
      <c r="E11" s="25">
        <f t="shared" si="0"/>
        <v>-14503000</v>
      </c>
    </row>
    <row r="12" spans="1:5">
      <c r="A12" s="25" t="s">
        <v>45</v>
      </c>
      <c r="B12" s="25">
        <f>SUMIFS(tbl_Cleaned[Clean_Amount],tbl_Cleaned[Brand],B$1,tbl_Cleaned[Account_Name],$A12)</f>
        <v>-3916000</v>
      </c>
      <c r="C12" s="25">
        <f>SUMIFS(tbl_Cleaned[Clean_Amount],tbl_Cleaned[Brand],C$1,tbl_Cleaned[Account_Name],$A12)</f>
        <v>0</v>
      </c>
      <c r="D12" s="25">
        <f>SUMIFS(tbl_Cleaned[Clean_Amount],tbl_Cleaned[Brand],D$1,tbl_Cleaned[Account_Name],$A12)</f>
        <v>0</v>
      </c>
      <c r="E12" s="25">
        <f t="shared" si="0"/>
        <v>-3916000</v>
      </c>
    </row>
    <row r="13" spans="1:5">
      <c r="A13" s="25" t="s">
        <v>41</v>
      </c>
      <c r="B13" s="25">
        <f>SUMIFS(tbl_Cleaned[Clean_Amount],tbl_Cleaned[Brand],B$1,tbl_Cleaned[Account_Name],$A13)</f>
        <v>0</v>
      </c>
      <c r="C13" s="25">
        <f>SUMIFS(tbl_Cleaned[Clean_Amount],tbl_Cleaned[Brand],C$1,tbl_Cleaned[Account_Name],$A13)</f>
        <v>0</v>
      </c>
      <c r="D13" s="25">
        <f>SUMIFS(tbl_Cleaned[Clean_Amount],tbl_Cleaned[Brand],D$1,tbl_Cleaned[Account_Name],$A13)</f>
        <v>-15233000</v>
      </c>
      <c r="E13" s="25">
        <f t="shared" si="0"/>
        <v>-15233000</v>
      </c>
    </row>
    <row r="14" spans="1:5">
      <c r="A14" s="25" t="s">
        <v>39</v>
      </c>
      <c r="B14" s="25">
        <f>SUMIFS(tbl_Cleaned[Clean_Amount],tbl_Cleaned[Brand],B$1,tbl_Cleaned[Account_Name],$A14)</f>
        <v>-1527000</v>
      </c>
      <c r="C14" s="25">
        <f>SUMIFS(tbl_Cleaned[Clean_Amount],tbl_Cleaned[Brand],C$1,tbl_Cleaned[Account_Name],$A14)</f>
        <v>-1184000</v>
      </c>
      <c r="D14" s="25">
        <f>SUMIFS(tbl_Cleaned[Clean_Amount],tbl_Cleaned[Brand],D$1,tbl_Cleaned[Account_Name],$A14)</f>
        <v>0</v>
      </c>
      <c r="E14" s="25">
        <f t="shared" si="0"/>
        <v>-2711000</v>
      </c>
    </row>
    <row r="15" spans="1:5">
      <c r="A15" s="42" t="s">
        <v>3837</v>
      </c>
      <c r="B15" s="42">
        <f>SUM(B9:B14)</f>
        <v>-25444000</v>
      </c>
      <c r="C15" s="42">
        <f t="shared" ref="C15:D15" si="2">SUM(C9:C14)</f>
        <v>-47763000</v>
      </c>
      <c r="D15" s="42">
        <f t="shared" si="2"/>
        <v>-23219000</v>
      </c>
      <c r="E15" s="42">
        <f t="shared" si="0"/>
        <v>-96426000</v>
      </c>
    </row>
    <row r="16" spans="1:5">
      <c r="A16" s="25"/>
      <c r="B16" s="25"/>
      <c r="C16" s="25"/>
      <c r="D16" s="25"/>
      <c r="E16" s="25">
        <f t="shared" si="0"/>
        <v>0</v>
      </c>
    </row>
    <row r="17" spans="1:5">
      <c r="A17" s="42" t="s">
        <v>3838</v>
      </c>
      <c r="B17" s="42">
        <f>B6+B15</f>
        <v>-12363608</v>
      </c>
      <c r="C17" s="42">
        <f t="shared" ref="C17:D17" si="3">C6+C15</f>
        <v>-27499944.09</v>
      </c>
      <c r="D17" s="42">
        <f t="shared" si="3"/>
        <v>-6490068.9100000039</v>
      </c>
      <c r="E17" s="42">
        <f t="shared" si="0"/>
        <v>-46353621.000000007</v>
      </c>
    </row>
    <row r="18" spans="1:5">
      <c r="A18" s="25"/>
      <c r="B18" s="25"/>
      <c r="C18" s="25"/>
      <c r="D18" s="25"/>
      <c r="E18" s="25">
        <f t="shared" si="0"/>
        <v>0</v>
      </c>
    </row>
    <row r="19" spans="1:5">
      <c r="A19" s="42" t="s">
        <v>3839</v>
      </c>
      <c r="B19" s="25">
        <f>SUMIFS(tbl_Cleaned[Clean_Amount],tbl_Cleaned[Brand],B$1,tbl_Cleaned[Account_Name],$A19)</f>
        <v>0</v>
      </c>
      <c r="C19" s="25"/>
      <c r="D19" s="25"/>
      <c r="E19" s="25">
        <f t="shared" si="0"/>
        <v>0</v>
      </c>
    </row>
    <row r="20" spans="1:5">
      <c r="A20" s="25" t="s">
        <v>47</v>
      </c>
      <c r="B20" s="25">
        <f>SUMIFS(tbl_Cleaned[Clean_Amount],tbl_Cleaned[Brand],B$1,tbl_Cleaned[Account_Name],$A20)</f>
        <v>-9715824</v>
      </c>
      <c r="C20" s="25">
        <f>SUMIFS(tbl_Cleaned[Clean_Amount],tbl_Cleaned[Brand],C$1,tbl_Cleaned[Account_Name],$A20)</f>
        <v>-12448400</v>
      </c>
      <c r="D20" s="25">
        <f>SUMIFS(tbl_Cleaned[Clean_Amount],tbl_Cleaned[Brand],D$1,tbl_Cleaned[Account_Name],$A20)</f>
        <v>-8737727</v>
      </c>
      <c r="E20" s="25">
        <f t="shared" si="0"/>
        <v>-30901951</v>
      </c>
    </row>
    <row r="21" spans="1:5">
      <c r="A21" s="25" t="s">
        <v>50</v>
      </c>
      <c r="B21" s="25">
        <f>SUMIFS(tbl_Cleaned[Clean_Amount],tbl_Cleaned[Brand],B$1,tbl_Cleaned[Account_Name],$A21)</f>
        <v>-2160000</v>
      </c>
      <c r="C21" s="25">
        <f>SUMIFS(tbl_Cleaned[Clean_Amount],tbl_Cleaned[Brand],C$1,tbl_Cleaned[Account_Name],$A21)</f>
        <v>-4200000</v>
      </c>
      <c r="D21" s="25">
        <f>SUMIFS(tbl_Cleaned[Clean_Amount],tbl_Cleaned[Brand],D$1,tbl_Cleaned[Account_Name],$A21)</f>
        <v>-1140000</v>
      </c>
      <c r="E21" s="25">
        <f t="shared" si="0"/>
        <v>-7500000</v>
      </c>
    </row>
    <row r="22" spans="1:5">
      <c r="A22" s="25" t="s">
        <v>54</v>
      </c>
      <c r="B22" s="25">
        <f>SUMIFS(tbl_Cleaned[Clean_Amount],tbl_Cleaned[Brand],B$1,tbl_Cleaned[Account_Name],$A22)</f>
        <v>-3959948.0999999996</v>
      </c>
      <c r="C22" s="25">
        <f>SUMIFS(tbl_Cleaned[Clean_Amount],tbl_Cleaned[Brand],C$1,tbl_Cleaned[Account_Name],$A22)</f>
        <v>-1804621</v>
      </c>
      <c r="D22" s="25">
        <f>SUMIFS(tbl_Cleaned[Clean_Amount],tbl_Cleaned[Brand],D$1,tbl_Cleaned[Account_Name],$A22)</f>
        <v>0</v>
      </c>
      <c r="E22" s="25">
        <f t="shared" si="0"/>
        <v>-5764569.0999999996</v>
      </c>
    </row>
    <row r="23" spans="1:5">
      <c r="A23" s="25" t="s">
        <v>60</v>
      </c>
      <c r="B23" s="25">
        <f>SUMIFS(tbl_Cleaned[Clean_Amount],tbl_Cleaned[Brand],B$1,tbl_Cleaned[Account_Name],$A23)</f>
        <v>-281912</v>
      </c>
      <c r="C23" s="25">
        <f>SUMIFS(tbl_Cleaned[Clean_Amount],tbl_Cleaned[Brand],C$1,tbl_Cleaned[Account_Name],$A23)</f>
        <v>-518064</v>
      </c>
      <c r="D23" s="25">
        <f>SUMIFS(tbl_Cleaned[Clean_Amount],tbl_Cleaned[Brand],D$1,tbl_Cleaned[Account_Name],$A23)</f>
        <v>-267950</v>
      </c>
      <c r="E23" s="25">
        <f t="shared" si="0"/>
        <v>-1067926</v>
      </c>
    </row>
    <row r="24" spans="1:5">
      <c r="A24" s="25" t="s">
        <v>56</v>
      </c>
      <c r="B24" s="25">
        <f>SUMIFS(tbl_Cleaned[Clean_Amount],tbl_Cleaned[Brand],B$1,tbl_Cleaned[Account_Name],$A24)</f>
        <v>-3864660</v>
      </c>
      <c r="C24" s="25">
        <f>SUMIFS(tbl_Cleaned[Clean_Amount],tbl_Cleaned[Brand],C$1,tbl_Cleaned[Account_Name],$A24)</f>
        <v>0</v>
      </c>
      <c r="D24" s="25">
        <f>SUMIFS(tbl_Cleaned[Clean_Amount],tbl_Cleaned[Brand],D$1,tbl_Cleaned[Account_Name],$A24)</f>
        <v>0</v>
      </c>
      <c r="E24" s="25">
        <f t="shared" si="0"/>
        <v>-3864660</v>
      </c>
    </row>
    <row r="25" spans="1:5">
      <c r="A25" s="25" t="s">
        <v>58</v>
      </c>
      <c r="B25" s="25">
        <f>SUMIFS(tbl_Cleaned[Clean_Amount],tbl_Cleaned[Brand],B$1,tbl_Cleaned[Account_Name],$A25)</f>
        <v>0</v>
      </c>
      <c r="C25" s="25">
        <f>SUMIFS(tbl_Cleaned[Clean_Amount],tbl_Cleaned[Brand],C$1,tbl_Cleaned[Account_Name],$A25)</f>
        <v>-1050000</v>
      </c>
      <c r="D25" s="25">
        <f>SUMIFS(tbl_Cleaned[Clean_Amount],tbl_Cleaned[Brand],D$1,tbl_Cleaned[Account_Name],$A25)</f>
        <v>0</v>
      </c>
      <c r="E25" s="25">
        <f t="shared" si="0"/>
        <v>-1050000</v>
      </c>
    </row>
    <row r="26" spans="1:5">
      <c r="A26" s="25" t="s">
        <v>52</v>
      </c>
      <c r="B26" s="25">
        <f>SUMIFS(tbl_Cleaned[Clean_Amount],tbl_Cleaned[Brand],B$1,tbl_Cleaned[Account_Name],$A26)</f>
        <v>-533105</v>
      </c>
      <c r="C26" s="25">
        <f>SUMIFS(tbl_Cleaned[Clean_Amount],tbl_Cleaned[Brand],C$1,tbl_Cleaned[Account_Name],$A26)</f>
        <v>-1205409</v>
      </c>
      <c r="D26" s="25">
        <f>SUMIFS(tbl_Cleaned[Clean_Amount],tbl_Cleaned[Brand],D$1,tbl_Cleaned[Account_Name],$A26)</f>
        <v>-541742</v>
      </c>
      <c r="E26" s="25">
        <f t="shared" si="0"/>
        <v>-2280256</v>
      </c>
    </row>
    <row r="27" spans="1:5">
      <c r="A27" s="42" t="s">
        <v>3840</v>
      </c>
      <c r="B27" s="42">
        <f>SUM(B20:B26)</f>
        <v>-20515449.100000001</v>
      </c>
      <c r="C27" s="42">
        <f t="shared" ref="C27:D27" si="4">SUM(C20:C26)</f>
        <v>-21226494</v>
      </c>
      <c r="D27" s="42">
        <f t="shared" si="4"/>
        <v>-10687419</v>
      </c>
      <c r="E27" s="42">
        <f t="shared" si="0"/>
        <v>-52429362.100000001</v>
      </c>
    </row>
    <row r="28" spans="1:5">
      <c r="A28" s="25"/>
      <c r="B28" s="25"/>
      <c r="C28" s="25"/>
      <c r="D28" s="25"/>
      <c r="E28" s="25">
        <f t="shared" si="0"/>
        <v>0</v>
      </c>
    </row>
    <row r="29" spans="1:5">
      <c r="A29" s="43" t="s">
        <v>3841</v>
      </c>
      <c r="B29" s="43">
        <f>B17+B27</f>
        <v>-32879057.100000001</v>
      </c>
      <c r="C29" s="43">
        <f t="shared" ref="C29:D29" si="5">C17+C27</f>
        <v>-48726438.090000004</v>
      </c>
      <c r="D29" s="43">
        <f t="shared" si="5"/>
        <v>-17177487.910000004</v>
      </c>
      <c r="E29" s="43">
        <f t="shared" si="0"/>
        <v>-98782983.099999994</v>
      </c>
    </row>
  </sheetData>
  <pageMargins left="0.7" right="0.7" top="0.75" bottom="0.75" header="0.3" footer="0.3"/>
  <pageSetup orientation="portrait" horizontalDpi="4294967295" verticalDpi="4294967295"/>
  <ignoredErrors>
    <ignoredError sqref="B6:D6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"/>
  <sheetViews>
    <sheetView showGridLines="0" topLeftCell="A6" workbookViewId="0">
      <selection activeCell="B10" sqref="B10:B14"/>
    </sheetView>
  </sheetViews>
  <sheetFormatPr defaultRowHeight="14.5"/>
  <cols>
    <col min="1" max="1" width="62.81640625" customWidth="1"/>
    <col min="2" max="2" width="24.36328125" bestFit="1" customWidth="1"/>
    <col min="3" max="3" width="20.36328125" bestFit="1" customWidth="1"/>
    <col min="4" max="4" width="12.453125" bestFit="1" customWidth="1"/>
    <col min="5" max="5" width="16.08984375" bestFit="1" customWidth="1"/>
    <col min="6" max="6" width="10.26953125" customWidth="1"/>
  </cols>
  <sheetData>
    <row r="1" spans="1:11">
      <c r="A1" s="67" t="s">
        <v>3842</v>
      </c>
      <c r="B1" s="67" t="s">
        <v>3843</v>
      </c>
      <c r="C1" s="67" t="s">
        <v>3844</v>
      </c>
      <c r="D1" s="67" t="s">
        <v>3845</v>
      </c>
      <c r="E1" s="67" t="s">
        <v>3846</v>
      </c>
    </row>
    <row r="2" spans="1:11">
      <c r="A2" s="54" t="s">
        <v>3847</v>
      </c>
      <c r="B2" s="54">
        <f>SUMIFS(tbl_Bank[Total_Inflow],tbl_Bank[Currency],"NGN")</f>
        <v>427230000</v>
      </c>
      <c r="C2" s="54">
        <f>SUMIF(tbl_Cleaned[PL_Bucket],"Revenue",tbl_Cleaned[Clean_Amount])</f>
        <v>50072379.000000022</v>
      </c>
      <c r="D2" s="54">
        <f>B2-C2</f>
        <v>377157621</v>
      </c>
      <c r="E2" s="54" t="str">
        <f>IF(D3=0,"✅ MATCH",IF(ABS(D3)=1840000,"⚠️ Explained — duplicate vendor pmt excluded","❌ INVESTIGATE"))</f>
        <v>❌ INVESTIGATE</v>
      </c>
    </row>
    <row r="3" spans="1:11">
      <c r="A3" s="54" t="s">
        <v>3848</v>
      </c>
      <c r="B3" s="54">
        <f>SUMIFS(tbl_Bank[Total_Outflow],tbl_Bank[Currency],"NGN")</f>
        <v>-314370000</v>
      </c>
      <c r="C3" s="54">
        <f>SUMIF(tbl_Cleaned[PL_Bucket],"COGS",tbl_Cleaned[Clean_Amount])+SUMIF(tbl_Cleaned[PL_Bucket],"Opex",tbl_Cleaned[Clean_Amount])</f>
        <v>-148855362.09999999</v>
      </c>
      <c r="D3" s="54">
        <f>B3-C3</f>
        <v>-165514637.90000001</v>
      </c>
      <c r="E3" s="54" t="str">
        <f>IF(D3=0,"✅ MATCH",IF(ABS(D3)=1840000,"⚠️ Explained — duplicate vendor pmt excluded","❌ INVESTIGATE"))</f>
        <v>❌ INVESTIGATE</v>
      </c>
    </row>
    <row r="4" spans="1:11">
      <c r="A4" s="54" t="s">
        <v>3849</v>
      </c>
      <c r="B4" s="54">
        <f>(14820*1530)+(16320*1572)+(18940*1611)</f>
        <v>78841980</v>
      </c>
      <c r="C4" s="55">
        <f>SUMIFS(tbl_Bank[Total_Inflow],tbl_Bank[Currency],"USD")*1571</f>
        <v>78675680</v>
      </c>
      <c r="D4" s="54">
        <f t="shared" ref="D4:D8" si="0">B4-C4</f>
        <v>166300</v>
      </c>
      <c r="E4" s="54" t="str">
        <f t="shared" ref="E4:E7" si="1">IF(D4=0,"✅ MATCH",IF(ABS(D4)=1840000,"⚠️ Explained — duplicate vendor pmt excluded","❌ INVESTIGATE"))</f>
        <v>❌ INVESTIGATE</v>
      </c>
    </row>
    <row r="5" spans="1:11">
      <c r="A5" s="54" t="s">
        <v>3850</v>
      </c>
      <c r="B5" s="55">
        <f>-((1460*1530)+(1640*1572)+(1710*1611))</f>
        <v>-7566690</v>
      </c>
      <c r="C5" s="54">
        <f>-((1460*1530)+(1640*1572)+(1710*1611))</f>
        <v>-7566690</v>
      </c>
      <c r="D5" s="54">
        <f t="shared" si="0"/>
        <v>0</v>
      </c>
      <c r="E5" s="54" t="str">
        <f t="shared" si="1"/>
        <v>✅ MATCH</v>
      </c>
    </row>
    <row r="6" spans="1:11">
      <c r="A6" s="54" t="s">
        <v>3851</v>
      </c>
      <c r="B6" s="54">
        <f>SUMIFS(tbl_Bank[Total_Inflow],tbl_Bank[Currency],"GHS")*104</f>
        <v>0</v>
      </c>
      <c r="C6" s="54"/>
      <c r="D6" s="54">
        <f t="shared" si="0"/>
        <v>0</v>
      </c>
      <c r="E6" s="54" t="str">
        <f t="shared" si="1"/>
        <v>✅ MATCH</v>
      </c>
    </row>
    <row r="7" spans="1:11">
      <c r="A7" s="54" t="s">
        <v>3852</v>
      </c>
      <c r="B7" s="54">
        <f>SUMIFS(tbl_Bank[Total_Outflow],tbl_Bank[Currency],"GHS")*104</f>
        <v>0</v>
      </c>
      <c r="C7" s="54"/>
      <c r="D7" s="54">
        <f t="shared" si="0"/>
        <v>0</v>
      </c>
      <c r="E7" s="54" t="str">
        <f t="shared" si="1"/>
        <v>✅ MATCH</v>
      </c>
    </row>
    <row r="8" spans="1:11" ht="84.5">
      <c r="A8" s="53" t="s">
        <v>3853</v>
      </c>
      <c r="B8" s="53">
        <f>SUM(B2:B7)</f>
        <v>184135290</v>
      </c>
      <c r="C8" s="53">
        <f>SUM(C2:C7)</f>
        <v>-27673993.099999964</v>
      </c>
      <c r="D8" s="53">
        <f t="shared" si="0"/>
        <v>211809283.09999996</v>
      </c>
      <c r="E8" s="56" t="str">
        <f>IF(D8=0,"✅ MATCH","⚠️ Gap explained, bank includes non-trading cash flows excluded from P&amp;L")</f>
        <v>⚠️ Gap explained, bank includes non-trading cash flows excluded from P&amp;L</v>
      </c>
    </row>
    <row r="9" spans="1:11" ht="14.5" customHeight="1">
      <c r="B9" s="16"/>
      <c r="C9" s="16"/>
      <c r="D9" s="16"/>
      <c r="E9" s="16"/>
      <c r="F9" s="13"/>
      <c r="G9" s="13"/>
      <c r="H9" s="13"/>
      <c r="I9" s="13"/>
      <c r="J9" s="13"/>
      <c r="K9" s="13"/>
    </row>
    <row r="10" spans="1:11" ht="70.5">
      <c r="A10" s="16" t="s">
        <v>3881</v>
      </c>
    </row>
  </sheetData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6"/>
  <sheetViews>
    <sheetView showGridLines="0" tabSelected="1" zoomScale="80" zoomScaleNormal="80" workbookViewId="0">
      <selection activeCell="B26" sqref="B26"/>
    </sheetView>
  </sheetViews>
  <sheetFormatPr defaultRowHeight="14"/>
  <cols>
    <col min="1" max="1" width="67.54296875" style="14" customWidth="1"/>
    <col min="2" max="2" width="67.36328125" style="14" bestFit="1" customWidth="1"/>
    <col min="3" max="3" width="33.1796875" style="14" bestFit="1" customWidth="1"/>
    <col min="4" max="4" width="14.6328125" style="14" bestFit="1" customWidth="1"/>
    <col min="5" max="5" width="14" style="14" bestFit="1" customWidth="1"/>
    <col min="6" max="16384" width="8.7265625" style="14"/>
  </cols>
  <sheetData>
    <row r="1" spans="1:6" ht="17.5">
      <c r="B1" s="17" t="s">
        <v>3854</v>
      </c>
      <c r="C1" s="18"/>
      <c r="D1" s="18"/>
      <c r="E1" s="18"/>
    </row>
    <row r="2" spans="1:6">
      <c r="B2" s="14" t="s">
        <v>3855</v>
      </c>
    </row>
    <row r="4" spans="1:6">
      <c r="A4" s="19" t="s">
        <v>3856</v>
      </c>
    </row>
    <row r="5" spans="1:6">
      <c r="A5" s="14" t="s">
        <v>3857</v>
      </c>
    </row>
    <row r="7" spans="1:6">
      <c r="A7" s="19" t="s">
        <v>3858</v>
      </c>
    </row>
    <row r="8" spans="1:6">
      <c r="B8" s="57" t="s">
        <v>94</v>
      </c>
      <c r="C8" s="58" t="s">
        <v>111</v>
      </c>
      <c r="D8" s="57" t="s">
        <v>88</v>
      </c>
      <c r="E8" s="57" t="s">
        <v>3833</v>
      </c>
    </row>
    <row r="9" spans="1:6">
      <c r="A9" s="14" t="s">
        <v>3859</v>
      </c>
      <c r="B9" s="59">
        <f>PL_By_Brand_Month!B6</f>
        <v>13080392</v>
      </c>
      <c r="C9" s="59">
        <f>PL_By_Brand_Month!C6</f>
        <v>20263055.91</v>
      </c>
      <c r="D9" s="59">
        <f>PL_By_Brand_Month!D6</f>
        <v>16728931.089999996</v>
      </c>
      <c r="E9" s="59">
        <f>PL_By_Brand_Month!E6</f>
        <v>50072379</v>
      </c>
    </row>
    <row r="10" spans="1:6">
      <c r="A10" s="14" t="s">
        <v>3860</v>
      </c>
      <c r="B10" s="59">
        <f>PL_By_Brand_Month!B15</f>
        <v>-25444000</v>
      </c>
      <c r="C10" s="59">
        <f>PL_By_Brand_Month!C15</f>
        <v>-47763000</v>
      </c>
      <c r="D10" s="59">
        <f>PL_By_Brand_Month!D15</f>
        <v>-23219000</v>
      </c>
      <c r="E10" s="59">
        <f>PL_By_Brand_Month!E15</f>
        <v>-96426000</v>
      </c>
    </row>
    <row r="11" spans="1:6">
      <c r="A11" s="14" t="s">
        <v>3861</v>
      </c>
      <c r="B11" s="59">
        <f>PL_By_Brand_Month!B17</f>
        <v>-12363608</v>
      </c>
      <c r="C11" s="59">
        <f>PL_By_Brand_Month!C17</f>
        <v>-27499944.09</v>
      </c>
      <c r="D11" s="59">
        <f>PL_By_Brand_Month!D17</f>
        <v>-6490068.9100000039</v>
      </c>
      <c r="E11" s="59">
        <f>PL_By_Brand_Month!E17</f>
        <v>-46353621.000000007</v>
      </c>
    </row>
    <row r="12" spans="1:6">
      <c r="A12" s="14" t="s">
        <v>3862</v>
      </c>
      <c r="B12" s="59">
        <f>PL_By_Brand_Month!B27</f>
        <v>-20515449.100000001</v>
      </c>
      <c r="C12" s="59">
        <f>PL_By_Brand_Month!C27</f>
        <v>-21226494</v>
      </c>
      <c r="D12" s="59">
        <f>PL_By_Brand_Month!D27</f>
        <v>-10687419</v>
      </c>
      <c r="E12" s="59">
        <f>PL_By_Brand_Month!E27</f>
        <v>-52429362.100000001</v>
      </c>
    </row>
    <row r="13" spans="1:6">
      <c r="A13" s="20" t="s">
        <v>3841</v>
      </c>
      <c r="B13" s="60">
        <f>PL_By_Brand_Month!B29</f>
        <v>-32879057.100000001</v>
      </c>
      <c r="C13" s="60">
        <f>PL_By_Brand_Month!C29</f>
        <v>-48726438.090000004</v>
      </c>
      <c r="D13" s="60">
        <f>PL_By_Brand_Month!D29</f>
        <v>-17177487.910000004</v>
      </c>
      <c r="E13" s="60">
        <f>PL_By_Brand_Month!E29</f>
        <v>-98782983.099999994</v>
      </c>
    </row>
    <row r="15" spans="1:6">
      <c r="A15" s="19" t="s">
        <v>3863</v>
      </c>
      <c r="F15" s="14" t="s">
        <v>3867</v>
      </c>
    </row>
    <row r="16" spans="1:6">
      <c r="A16" s="14" t="s">
        <v>3864</v>
      </c>
      <c r="B16" s="54" t="s">
        <v>3865</v>
      </c>
      <c r="C16" s="54" t="s">
        <v>3866</v>
      </c>
    </row>
    <row r="17" spans="1:3">
      <c r="A17" s="14" t="s">
        <v>3875</v>
      </c>
      <c r="B17" s="59">
        <f>Issues_Log!E2</f>
        <v>-1840000</v>
      </c>
      <c r="C17" s="54" t="s">
        <v>3868</v>
      </c>
    </row>
    <row r="18" spans="1:3">
      <c r="A18" s="14" t="s">
        <v>3876</v>
      </c>
      <c r="B18" s="59">
        <f>Issues_Log!E3</f>
        <v>-680000</v>
      </c>
      <c r="C18" s="54" t="s">
        <v>3868</v>
      </c>
    </row>
    <row r="19" spans="1:3">
      <c r="A19" s="14" t="s">
        <v>3877</v>
      </c>
      <c r="B19" s="59">
        <f>Issues_Log!E4</f>
        <v>-540000</v>
      </c>
      <c r="C19" s="54" t="s">
        <v>3869</v>
      </c>
    </row>
    <row r="20" spans="1:3">
      <c r="A20" s="14" t="s">
        <v>3878</v>
      </c>
      <c r="B20" s="59">
        <f>Issues_Log!E5</f>
        <v>-180000</v>
      </c>
      <c r="C20" s="54" t="s">
        <v>3870</v>
      </c>
    </row>
    <row r="21" spans="1:3">
      <c r="A21" s="14" t="s">
        <v>3879</v>
      </c>
      <c r="B21" s="59">
        <f>Issues_Log!E6</f>
        <v>-240000</v>
      </c>
      <c r="C21" s="54" t="s">
        <v>3871</v>
      </c>
    </row>
    <row r="22" spans="1:3">
      <c r="A22" s="14" t="s">
        <v>3880</v>
      </c>
      <c r="B22" s="59">
        <f>Issues_Log!E7</f>
        <v>-2962453</v>
      </c>
      <c r="C22" s="54" t="s">
        <v>3872</v>
      </c>
    </row>
    <row r="23" spans="1:3">
      <c r="A23" s="14" t="s">
        <v>3873</v>
      </c>
      <c r="B23" s="59">
        <f>SUM(B17:B22)</f>
        <v>-6442453</v>
      </c>
      <c r="C23" s="54"/>
    </row>
    <row r="25" spans="1:3">
      <c r="A25" s="19" t="s">
        <v>3874</v>
      </c>
    </row>
    <row r="26" spans="1:3" ht="84">
      <c r="A26" s="15" t="s">
        <v>3883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tbl_Bank</vt:lpstr>
      <vt:lpstr>tbl_Accounts</vt:lpstr>
      <vt:lpstr>tbl_FX</vt:lpstr>
      <vt:lpstr>tbl_Ledger</vt:lpstr>
      <vt:lpstr>Issues_Log</vt:lpstr>
      <vt:lpstr>tbl_Cleaned</vt:lpstr>
      <vt:lpstr>PL_By_Brand_Month</vt:lpstr>
      <vt:lpstr>Reconciliation</vt:lpstr>
      <vt:lpstr>CEO_Summary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2026-04-20T13:56:58Z</dcterms:created>
  <dcterms:modified xsi:type="dcterms:W3CDTF">2026-05-28T00:01:09Z</dcterms:modified>
  <cp:category/>
</cp:coreProperties>
</file>