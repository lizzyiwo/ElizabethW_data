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3" documentId="13_ncr:1_{3A4E8673-1553-477D-8017-E75D680DDB0E}" xr6:coauthVersionLast="47" xr6:coauthVersionMax="47" xr10:uidLastSave="{0B3D615F-830A-486F-B370-675B57471378}"/>
  <bookViews>
    <workbookView xWindow="-110" yWindow="-110" windowWidth="19420" windowHeight="10300" firstSheet="7" activeTab="11" xr2:uid="{00000000-000D-0000-FFFF-FFFF00000000}"/>
  </bookViews>
  <sheets>
    <sheet name="README" sheetId="1" r:id="rId1"/>
    <sheet name="Historical_Monthly" sheetId="2" r:id="rId2"/>
    <sheet name="AR_Aging" sheetId="3" r:id="rId3"/>
    <sheet name="AP_Schedule" sheetId="4" r:id="rId4"/>
    <sheet name="Loans" sheetId="5" r:id="rId5"/>
    <sheet name="CapEx_Plan" sheetId="6" r:id="rId6"/>
    <sheet name="Tax_Calendar" sheetId="7" r:id="rId7"/>
    <sheet name="Assumptions" sheetId="8" r:id="rId8"/>
    <sheet name="Cash_Forecast_12M" sheetId="9" r:id="rId9"/>
    <sheet name="Runway" sheetId="10" r:id="rId10"/>
    <sheet name="Stress_Test" sheetId="11" r:id="rId11"/>
    <sheet name="Board_View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1" l="1"/>
  <c r="C13" i="11"/>
  <c r="C12" i="11"/>
  <c r="C11" i="11"/>
  <c r="C10" i="11"/>
  <c r="C9" i="11"/>
  <c r="C8" i="11"/>
  <c r="C7" i="11"/>
  <c r="C6" i="11"/>
  <c r="C30" i="11"/>
  <c r="C29" i="11"/>
  <c r="C28" i="11"/>
  <c r="C27" i="11"/>
  <c r="C26" i="11"/>
  <c r="C25" i="11"/>
  <c r="C24" i="11"/>
  <c r="C23" i="11"/>
  <c r="C22" i="11"/>
  <c r="C21" i="11"/>
  <c r="C5" i="11"/>
  <c r="C20" i="11"/>
  <c r="C4" i="11"/>
  <c r="C19" i="11"/>
  <c r="C3" i="11"/>
  <c r="E30" i="11"/>
  <c r="J30" i="11" s="1"/>
  <c r="K30" i="11" s="1"/>
  <c r="E29" i="11"/>
  <c r="J29" i="11" s="1"/>
  <c r="E28" i="11"/>
  <c r="E27" i="11"/>
  <c r="E26" i="11"/>
  <c r="J26" i="11" s="1"/>
  <c r="K26" i="11" s="1"/>
  <c r="E25" i="11"/>
  <c r="E24" i="11"/>
  <c r="E23" i="11"/>
  <c r="E22" i="11"/>
  <c r="J22" i="11" s="1"/>
  <c r="K22" i="11" s="1"/>
  <c r="E21" i="11"/>
  <c r="J21" i="11" s="1"/>
  <c r="E20" i="11"/>
  <c r="J20" i="11" s="1"/>
  <c r="E19" i="11"/>
  <c r="D14" i="11"/>
  <c r="D13" i="11"/>
  <c r="D12" i="11"/>
  <c r="D11" i="11"/>
  <c r="D10" i="11"/>
  <c r="D9" i="11"/>
  <c r="D8" i="11"/>
  <c r="D7" i="11"/>
  <c r="D6" i="11"/>
  <c r="D5" i="11"/>
  <c r="D4" i="11"/>
  <c r="D3" i="11"/>
  <c r="D12" i="10" a="1"/>
  <c r="B3" i="11"/>
  <c r="F14" i="11"/>
  <c r="F13" i="11"/>
  <c r="F12" i="11"/>
  <c r="F11" i="11"/>
  <c r="F10" i="11"/>
  <c r="F9" i="11"/>
  <c r="F8" i="11"/>
  <c r="F7" i="11"/>
  <c r="F6" i="11"/>
  <c r="F5" i="11"/>
  <c r="F4" i="11"/>
  <c r="F3" i="11"/>
  <c r="G13" i="9"/>
  <c r="G12" i="9"/>
  <c r="G11" i="9"/>
  <c r="G10" i="9"/>
  <c r="G9" i="9"/>
  <c r="G8" i="9"/>
  <c r="G7" i="9"/>
  <c r="G6" i="9"/>
  <c r="G5" i="9"/>
  <c r="G4" i="9"/>
  <c r="G3" i="9"/>
  <c r="G2" i="9"/>
  <c r="B35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2" i="9"/>
  <c r="B22" i="10"/>
  <c r="B21" i="10" a="1"/>
  <c r="B21" i="10" s="1"/>
  <c r="B20" i="10" a="1"/>
  <c r="B20" i="10" s="1"/>
  <c r="B19" i="10" a="1"/>
  <c r="B19" i="10" s="1"/>
  <c r="B36" i="11"/>
  <c r="B34" i="11"/>
  <c r="B19" i="11"/>
  <c r="D22" i="11"/>
  <c r="H14" i="11"/>
  <c r="H13" i="11"/>
  <c r="H12" i="11"/>
  <c r="H11" i="11"/>
  <c r="H10" i="11"/>
  <c r="H9" i="11"/>
  <c r="H8" i="11"/>
  <c r="H7" i="11"/>
  <c r="H6" i="11"/>
  <c r="H5" i="11"/>
  <c r="H4" i="11"/>
  <c r="H3" i="11"/>
  <c r="G14" i="11"/>
  <c r="G13" i="11"/>
  <c r="G12" i="11"/>
  <c r="G11" i="11"/>
  <c r="G10" i="11"/>
  <c r="G9" i="11"/>
  <c r="G8" i="11"/>
  <c r="G7" i="11"/>
  <c r="G6" i="11"/>
  <c r="G5" i="11"/>
  <c r="G4" i="11"/>
  <c r="G3" i="11"/>
  <c r="H13" i="9"/>
  <c r="H12" i="9"/>
  <c r="H11" i="9"/>
  <c r="H10" i="9"/>
  <c r="H9" i="9"/>
  <c r="H8" i="9"/>
  <c r="H7" i="9"/>
  <c r="H6" i="9"/>
  <c r="H5" i="9"/>
  <c r="H4" i="9"/>
  <c r="H3" i="9"/>
  <c r="E13" i="9"/>
  <c r="E12" i="9"/>
  <c r="E11" i="9"/>
  <c r="E10" i="9"/>
  <c r="E9" i="9"/>
  <c r="E8" i="9"/>
  <c r="E7" i="9"/>
  <c r="E6" i="9"/>
  <c r="E5" i="9"/>
  <c r="E4" i="9"/>
  <c r="E3" i="9"/>
  <c r="D13" i="9"/>
  <c r="D12" i="9"/>
  <c r="D11" i="9"/>
  <c r="D10" i="9"/>
  <c r="D9" i="9"/>
  <c r="D8" i="9"/>
  <c r="D7" i="9"/>
  <c r="D6" i="9"/>
  <c r="D5" i="9"/>
  <c r="D4" i="9"/>
  <c r="D3" i="9"/>
  <c r="C4" i="9"/>
  <c r="C5" i="9" s="1"/>
  <c r="C6" i="9" s="1"/>
  <c r="C7" i="9" s="1"/>
  <c r="C8" i="9" s="1"/>
  <c r="C9" i="9" s="1"/>
  <c r="C10" i="9" s="1"/>
  <c r="C11" i="9" s="1"/>
  <c r="C12" i="9" s="1"/>
  <c r="C13" i="9" s="1"/>
  <c r="H2" i="9"/>
  <c r="E2" i="9"/>
  <c r="D2" i="9"/>
  <c r="C3" i="9"/>
  <c r="C2" i="9"/>
  <c r="B2" i="9"/>
  <c r="D6" i="10"/>
  <c r="D4" i="10"/>
  <c r="C4" i="10"/>
  <c r="B4" i="10"/>
  <c r="D3" i="10"/>
  <c r="C3" i="10"/>
  <c r="B3" i="10"/>
  <c r="D2" i="10"/>
  <c r="C2" i="10"/>
  <c r="B2" i="10"/>
  <c r="K21" i="11" l="1"/>
  <c r="K20" i="11"/>
  <c r="J23" i="11"/>
  <c r="K23" i="11" s="1"/>
  <c r="J28" i="11"/>
  <c r="K28" i="11" s="1"/>
  <c r="J25" i="11"/>
  <c r="K25" i="11" s="1"/>
  <c r="J27" i="11"/>
  <c r="K27" i="11" s="1"/>
  <c r="J24" i="11"/>
  <c r="K24" i="11" s="1"/>
  <c r="J19" i="11"/>
  <c r="K19" i="11" s="1"/>
  <c r="L19" i="11" s="1"/>
  <c r="K29" i="11"/>
  <c r="D4" i="12" l="1"/>
  <c r="B20" i="11"/>
  <c r="L20" i="11" s="1"/>
  <c r="D5" i="12" s="1"/>
  <c r="B21" i="11" l="1"/>
  <c r="L21" i="11" s="1"/>
  <c r="B22" i="11" s="1"/>
  <c r="L22" i="11" s="1"/>
  <c r="D6" i="12" l="1"/>
  <c r="B23" i="11"/>
  <c r="L23" i="11" s="1"/>
  <c r="D7" i="12"/>
  <c r="B24" i="11" l="1"/>
  <c r="L24" i="11" s="1"/>
  <c r="D8" i="12"/>
  <c r="B25" i="11" l="1"/>
  <c r="L25" i="11" s="1"/>
  <c r="D9" i="12"/>
  <c r="B26" i="11" l="1"/>
  <c r="L26" i="11" s="1"/>
  <c r="D10" i="12"/>
  <c r="B27" i="11" l="1"/>
  <c r="L27" i="11" s="1"/>
  <c r="D11" i="12"/>
  <c r="B28" i="11" l="1"/>
  <c r="L28" i="11" s="1"/>
  <c r="D12" i="12"/>
  <c r="B29" i="11" l="1"/>
  <c r="L29" i="11" s="1"/>
  <c r="D13" i="12"/>
  <c r="B30" i="11" l="1"/>
  <c r="L30" i="11" s="1"/>
  <c r="D14" i="12"/>
  <c r="D15" i="12" l="1"/>
  <c r="D14" i="10" a="1"/>
  <c r="D14" i="10" s="1"/>
  <c r="B20" i="12" s="1"/>
  <c r="J2" i="9"/>
  <c r="K2" i="9" s="1"/>
  <c r="L2" i="9" s="1"/>
  <c r="B3" i="9" s="1"/>
  <c r="L3" i="9" s="1"/>
  <c r="E3" i="11"/>
  <c r="I3" i="11"/>
  <c r="J3" i="11" s="1"/>
  <c r="K3" i="11" s="1"/>
  <c r="F3" i="9"/>
  <c r="J3" i="9" s="1"/>
  <c r="K3" i="9" s="1"/>
  <c r="B37" i="11"/>
  <c r="B5" i="12" l="1"/>
  <c r="B4" i="9"/>
  <c r="C4" i="12"/>
  <c r="B4" i="11"/>
  <c r="F4" i="9"/>
  <c r="B4" i="12"/>
  <c r="E4" i="11"/>
  <c r="I4" i="11" s="1"/>
  <c r="J4" i="11" s="1"/>
  <c r="K4" i="11" l="1"/>
  <c r="J4" i="9"/>
  <c r="K4" i="9" s="1"/>
  <c r="L4" i="9" s="1"/>
  <c r="E5" i="11"/>
  <c r="I5" i="11" s="1"/>
  <c r="J5" i="11" s="1"/>
  <c r="F5" i="9"/>
  <c r="B5" i="11" l="1"/>
  <c r="K5" i="11" s="1"/>
  <c r="C5" i="12"/>
  <c r="E6" i="11"/>
  <c r="I6" i="11" s="1"/>
  <c r="J6" i="11" s="1"/>
  <c r="F6" i="9"/>
  <c r="J5" i="9"/>
  <c r="K5" i="9" s="1"/>
  <c r="B6" i="12"/>
  <c r="B5" i="9"/>
  <c r="L5" i="9" s="1"/>
  <c r="B6" i="11" l="1"/>
  <c r="K6" i="11" s="1"/>
  <c r="C6" i="12"/>
  <c r="B7" i="12"/>
  <c r="B6" i="9"/>
  <c r="F7" i="9"/>
  <c r="J6" i="9"/>
  <c r="K6" i="9" s="1"/>
  <c r="E7" i="11"/>
  <c r="I7" i="11" s="1"/>
  <c r="J7" i="11" s="1"/>
  <c r="J7" i="9" l="1"/>
  <c r="K7" i="9" s="1"/>
  <c r="F8" i="9"/>
  <c r="E8" i="11"/>
  <c r="I8" i="11" s="1"/>
  <c r="J8" i="11" s="1"/>
  <c r="L6" i="9"/>
  <c r="B7" i="11"/>
  <c r="K7" i="11" s="1"/>
  <c r="C7" i="12"/>
  <c r="B8" i="11" l="1"/>
  <c r="K8" i="11" s="1"/>
  <c r="D12" i="10" s="1"/>
  <c r="B19" i="12" s="1"/>
  <c r="C8" i="12"/>
  <c r="B7" i="9"/>
  <c r="L7" i="9" s="1"/>
  <c r="B8" i="12"/>
  <c r="E9" i="11"/>
  <c r="I9" i="11" s="1"/>
  <c r="J9" i="11" s="1"/>
  <c r="J8" i="9"/>
  <c r="K8" i="9" s="1"/>
  <c r="F9" i="9"/>
  <c r="J9" i="9" l="1"/>
  <c r="K9" i="9" s="1"/>
  <c r="E10" i="11"/>
  <c r="I10" i="11" s="1"/>
  <c r="J10" i="11" s="1"/>
  <c r="F10" i="9"/>
  <c r="B9" i="12"/>
  <c r="B8" i="9"/>
  <c r="L8" i="9" s="1"/>
  <c r="B9" i="11"/>
  <c r="K9" i="11" s="1"/>
  <c r="C9" i="12"/>
  <c r="B9" i="9" l="1"/>
  <c r="L9" i="9" s="1"/>
  <c r="B10" i="12"/>
  <c r="F11" i="9"/>
  <c r="E11" i="11"/>
  <c r="I11" i="11" s="1"/>
  <c r="J11" i="11" s="1"/>
  <c r="J10" i="9"/>
  <c r="K10" i="9" s="1"/>
  <c r="B10" i="11"/>
  <c r="K10" i="11" s="1"/>
  <c r="C10" i="12"/>
  <c r="E12" i="11" l="1"/>
  <c r="I12" i="11" s="1"/>
  <c r="J12" i="11" s="1"/>
  <c r="J11" i="9"/>
  <c r="K11" i="9" s="1"/>
  <c r="F12" i="9"/>
  <c r="B11" i="11"/>
  <c r="K11" i="11" s="1"/>
  <c r="C11" i="12"/>
  <c r="B10" i="9"/>
  <c r="L10" i="9" s="1"/>
  <c r="B11" i="12"/>
  <c r="J12" i="9" l="1"/>
  <c r="K12" i="9" s="1"/>
  <c r="E13" i="11"/>
  <c r="I13" i="11" s="1"/>
  <c r="J13" i="11" s="1"/>
  <c r="F13" i="9"/>
  <c r="B11" i="9"/>
  <c r="L11" i="9" s="1"/>
  <c r="B12" i="12"/>
  <c r="B12" i="11"/>
  <c r="K12" i="11" s="1"/>
  <c r="C12" i="12"/>
  <c r="C13" i="12" l="1"/>
  <c r="B13" i="11"/>
  <c r="K13" i="11" s="1"/>
  <c r="B13" i="12"/>
  <c r="B12" i="9"/>
  <c r="L12" i="9" s="1"/>
  <c r="E14" i="11"/>
  <c r="I14" i="11" s="1"/>
  <c r="J14" i="11" s="1"/>
  <c r="J13" i="9"/>
  <c r="K13" i="9" s="1"/>
  <c r="B13" i="9" l="1"/>
  <c r="L13" i="9" s="1"/>
  <c r="B14" i="12"/>
  <c r="C14" i="12"/>
  <c r="B14" i="11"/>
  <c r="K14" i="11" s="1"/>
  <c r="C15" i="12" s="1"/>
  <c r="B15" i="12" l="1"/>
  <c r="D10" i="10" a="1"/>
  <c r="D10" i="10" s="1"/>
  <c r="B18" i="12" s="1"/>
</calcChain>
</file>

<file path=xl/sharedStrings.xml><?xml version="1.0" encoding="utf-8"?>
<sst xmlns="http://schemas.openxmlformats.org/spreadsheetml/2006/main" count="643" uniqueCount="299">
  <si>
    <t>Zumi Holdings — 24-Month Cashflow &amp; Runway Analysis</t>
  </si>
  <si>
    <t>## Your assignment</t>
  </si>
  <si>
    <t>The board meets in 9 days. They want one number: how many months of cash does Zumi have. The CEO's gut says 18. The CFO's gut says 11. You will end the argument with a model.</t>
  </si>
  <si>
    <t/>
  </si>
  <si>
    <t>## What you have</t>
  </si>
  <si>
    <t>Tab 'Historical_Monthly' — 24 months of P&amp;L and balance sheet snapshot data, by brand.</t>
  </si>
  <si>
    <t>Tab 'AR_Aging' — receivables by customer, aging buckets (0-30, 31-60, 61-90, 90+).</t>
  </si>
  <si>
    <t>Tab 'AP_Schedule' — payables and their due dates.</t>
  </si>
  <si>
    <t>Tab 'Loans' — three facilities (overdraft, term loan, equipment lease) with principal, rate, and amortization terms.</t>
  </si>
  <si>
    <t>Tab 'CapEx_Plan' — committed capex over the next 12 months.</t>
  </si>
  <si>
    <t>Tab 'Tax_Calendar' — VAT, PAYE, CIT due dates and amounts.</t>
  </si>
  <si>
    <t>Tab 'Assumptions' — drivers for forward projection. You can change them. Do not change historicals.</t>
  </si>
  <si>
    <t>## What you must build</t>
  </si>
  <si>
    <t>1. 'Cash_Forecast_12M' — monthly opening cash, all inflows, all outflows, closing cash.</t>
  </si>
  <si>
    <t>2. 'Runway' — months of runway under base / upside / downside cases. Identify the month cash hits zero, if any.</t>
  </si>
  <si>
    <t>3. 'Stress_Test' — what if a top-3 customer pays 60 days late. What if FX moves 15%. What if Q1 revenue drops 20%.</t>
  </si>
  <si>
    <t>4. 'Board_View' — the one chart and the one number for the board pack. Not a paragraph. A chart and a number.</t>
  </si>
  <si>
    <t>## Voice</t>
  </si>
  <si>
    <t>When you write the verdict, write it like the CFO is going to forward it to the chairman. Direct. Specific. No hedging.</t>
  </si>
  <si>
    <t>Month</t>
  </si>
  <si>
    <t>Brand</t>
  </si>
  <si>
    <t>Revenue_NGN</t>
  </si>
  <si>
    <t>COGS_NGN</t>
  </si>
  <si>
    <t>Gross_Profit_NGN</t>
  </si>
  <si>
    <t>Opex_NGN</t>
  </si>
  <si>
    <t>EBITDA_NGN</t>
  </si>
  <si>
    <t>Cash_Collected_NGN</t>
  </si>
  <si>
    <t>Cash_Paid_NGN</t>
  </si>
  <si>
    <t>Closing_Cash_NGN</t>
  </si>
  <si>
    <t>Headcount</t>
  </si>
  <si>
    <t>2023-10</t>
  </si>
  <si>
    <t>Zumi Eats</t>
  </si>
  <si>
    <t>Zumi Mart</t>
  </si>
  <si>
    <t>Zumi Logistics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</si>
  <si>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</si>
  <si>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</si>
  <si>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</si>
  <si>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</si>
  <si>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</si>
  <si>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</si>
  <si>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</si>
  <si>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</si>
  <si>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</si>
  <si>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</si>
  <si>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</si>
  <si>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</si>
  <si>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</si>
  <si>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</si>
  <si>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</si>
  <si>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</si>
  <si>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</si>
  <si>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</si>
  <si>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</si>
  <si>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</si>
  <si>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</si>
  <si>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</si>
  <si>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</si>
  <si>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Customer</t>
  </si>
  <si>
    <t>Invoice_ID</t>
  </si>
  <si>
    <t>Invoice_Date</t>
  </si>
  <si>
    <t>Due_Date</t>
  </si>
  <si>
    <t>Amount_NGN</t>
  </si>
  <si>
    <t>Days_Past_Due</t>
  </si>
  <si>
    <t>Bucket</t>
  </si>
  <si>
    <t>Dangote Group</t>
  </si>
  <si>
    <t>INV-50001</t>
  </si>
  <si>
    <t>2025-07-24</t>
  </si>
  <si>
    <t>2025-08-23</t>
  </si>
  <si>
    <t>31-60</t>
  </si>
  <si>
    <t>INV-50002</t>
  </si>
  <si>
    <t>2025-07-13</t>
  </si>
  <si>
    <t>2025-08-12</t>
  </si>
  <si>
    <t>MTN Nigeria</t>
  </si>
  <si>
    <t>INV-50003</t>
  </si>
  <si>
    <t>2025-06-12</t>
  </si>
  <si>
    <t>2025-07-12</t>
  </si>
  <si>
    <t>61-90</t>
  </si>
  <si>
    <t>INV-50004</t>
  </si>
  <si>
    <t>2025-07-23</t>
  </si>
  <si>
    <t>2025-08-22</t>
  </si>
  <si>
    <t>Flutterwave</t>
  </si>
  <si>
    <t>INV-50005</t>
  </si>
  <si>
    <t>GTBank</t>
  </si>
  <si>
    <t>INV-50006</t>
  </si>
  <si>
    <t>2025-08-03</t>
  </si>
  <si>
    <t>2025-09-02</t>
  </si>
  <si>
    <t>1-30</t>
  </si>
  <si>
    <t>INV-50007</t>
  </si>
  <si>
    <t>2025-07-30</t>
  </si>
  <si>
    <t>2025-08-29</t>
  </si>
  <si>
    <t>Access Bank</t>
  </si>
  <si>
    <t>INV-50008</t>
  </si>
  <si>
    <t>2025-08-07</t>
  </si>
  <si>
    <t>2025-09-06</t>
  </si>
  <si>
    <t>INV-50009</t>
  </si>
  <si>
    <t>2025-07-05</t>
  </si>
  <si>
    <t>2025-08-04</t>
  </si>
  <si>
    <t>INV-50010</t>
  </si>
  <si>
    <t>2025-07-04</t>
  </si>
  <si>
    <t>Sterling Bank</t>
  </si>
  <si>
    <t>INV-50011</t>
  </si>
  <si>
    <t>2025-09-07</t>
  </si>
  <si>
    <t>2025-10-07</t>
  </si>
  <si>
    <t>Current</t>
  </si>
  <si>
    <t>Office Lunch B2B Misc</t>
  </si>
  <si>
    <t>INV-50012</t>
  </si>
  <si>
    <t>2025-08-10</t>
  </si>
  <si>
    <t>2025-09-09</t>
  </si>
  <si>
    <t>Wedding Catering Acct</t>
  </si>
  <si>
    <t>INV-50013</t>
  </si>
  <si>
    <t>2025-07-17</t>
  </si>
  <si>
    <t>2025-08-16</t>
  </si>
  <si>
    <t>INV-50014</t>
  </si>
  <si>
    <t>2025-09-14</t>
  </si>
  <si>
    <t>2025-10-14</t>
  </si>
  <si>
    <t>Aggregator Glovo Settlement</t>
  </si>
  <si>
    <t>INV-50015</t>
  </si>
  <si>
    <t>2025-07-18</t>
  </si>
  <si>
    <t>2025-08-17</t>
  </si>
  <si>
    <t>INV-50016</t>
  </si>
  <si>
    <t>Aggregator Bolt Settlement</t>
  </si>
  <si>
    <t>INV-50017</t>
  </si>
  <si>
    <t>2025-06-18</t>
  </si>
  <si>
    <t>INV-50018</t>
  </si>
  <si>
    <t>2025-06-23</t>
  </si>
  <si>
    <t>INV-50019</t>
  </si>
  <si>
    <t>2025-08-20</t>
  </si>
  <si>
    <t>2025-09-19</t>
  </si>
  <si>
    <t>Corporate Gift Hampers</t>
  </si>
  <si>
    <t>INV-50020</t>
  </si>
  <si>
    <t>2025-09-28</t>
  </si>
  <si>
    <t>INV-50021</t>
  </si>
  <si>
    <t>2025-09-23</t>
  </si>
  <si>
    <t>2025-10-23</t>
  </si>
  <si>
    <t>Hotel Supply Contract</t>
  </si>
  <si>
    <t>INV-50022</t>
  </si>
  <si>
    <t>2025-05-26</t>
  </si>
  <si>
    <t>2025-06-25</t>
  </si>
  <si>
    <t>90+</t>
  </si>
  <si>
    <t>INV-50023</t>
  </si>
  <si>
    <t>2025-09-22</t>
  </si>
  <si>
    <t>INV-50024</t>
  </si>
  <si>
    <t>2025-09-11</t>
  </si>
  <si>
    <t>2025-10-11</t>
  </si>
  <si>
    <t>Vendor</t>
  </si>
  <si>
    <t>Bill_ID</t>
  </si>
  <si>
    <t>Bill_Date</t>
  </si>
  <si>
    <t>Status</t>
  </si>
  <si>
    <t>FreshFarms NG</t>
  </si>
  <si>
    <t>BILL-9001</t>
  </si>
  <si>
    <t>2025-09-15</t>
  </si>
  <si>
    <t>2025-10-15</t>
  </si>
  <si>
    <t>Open</t>
  </si>
  <si>
    <t>Distell Wholesale</t>
  </si>
  <si>
    <t>BILL-9002</t>
  </si>
  <si>
    <t>2025-09-20</t>
  </si>
  <si>
    <t>2025-10-20</t>
  </si>
  <si>
    <t>PZ Cussons</t>
  </si>
  <si>
    <t>BILL-9003</t>
  </si>
  <si>
    <t>2025-10-22</t>
  </si>
  <si>
    <t>NNPC Retail</t>
  </si>
  <si>
    <t>BILL-9004</t>
  </si>
  <si>
    <t>2025-09-25</t>
  </si>
  <si>
    <t>2025-10-10</t>
  </si>
  <si>
    <t>Property Holdings Ltd</t>
  </si>
  <si>
    <t>BILL-9005</t>
  </si>
  <si>
    <t>2025-10-01</t>
  </si>
  <si>
    <t>2025-10-05</t>
  </si>
  <si>
    <t>Bento Africa Payroll</t>
  </si>
  <si>
    <t>BILL-9006</t>
  </si>
  <si>
    <t>2025-10-25</t>
  </si>
  <si>
    <t>Recurring</t>
  </si>
  <si>
    <t>Andersen Tax</t>
  </si>
  <si>
    <t>BILL-9007</t>
  </si>
  <si>
    <t>2025-09-30</t>
  </si>
  <si>
    <t>2025-10-30</t>
  </si>
  <si>
    <t>Meta Platforms</t>
  </si>
  <si>
    <t>BILL-9008</t>
  </si>
  <si>
    <t>2025-10-12</t>
  </si>
  <si>
    <t>PackPro Ltd</t>
  </si>
  <si>
    <t>BILL-9009</t>
  </si>
  <si>
    <t>2025-09-26</t>
  </si>
  <si>
    <t>2025-10-26</t>
  </si>
  <si>
    <t>Vehicle Maintenance Co</t>
  </si>
  <si>
    <t>BILL-9010</t>
  </si>
  <si>
    <t>2025-09-29</t>
  </si>
  <si>
    <t>2025-10-29</t>
  </si>
  <si>
    <t>Facility</t>
  </si>
  <si>
    <t>Lender</t>
  </si>
  <si>
    <t>Principal_NGN</t>
  </si>
  <si>
    <t>Interest_Rate</t>
  </si>
  <si>
    <t>Term_Months</t>
  </si>
  <si>
    <t>Months_Remaining</t>
  </si>
  <si>
    <t>Monthly_Payment_NGN</t>
  </si>
  <si>
    <t>Notes</t>
  </si>
  <si>
    <t>Overdraft</t>
  </si>
  <si>
    <t>Revolving</t>
  </si>
  <si>
    <t>Term Loan</t>
  </si>
  <si>
    <t>Bank of Industry</t>
  </si>
  <si>
    <t>Equipment financing</t>
  </si>
  <si>
    <t>Equipment Lease</t>
  </si>
  <si>
    <t>Renaissance Capital</t>
  </si>
  <si>
    <t>Refrigeration units</t>
  </si>
  <si>
    <t>Item</t>
  </si>
  <si>
    <t>2025-10</t>
  </si>
  <si>
    <t>Cold storage truck</t>
  </si>
  <si>
    <t>Committed</t>
  </si>
  <si>
    <t>2025-11</t>
  </si>
  <si>
    <t>POS upgrade Lekki + VI</t>
  </si>
  <si>
    <t>2026-01</t>
  </si>
  <si>
    <t>Cloud kitchen Abuja fit-out</t>
  </si>
  <si>
    <t>Planned</t>
  </si>
  <si>
    <t>2026-03</t>
  </si>
  <si>
    <t>Warehouse racking phase 2</t>
  </si>
  <si>
    <t>2026-06</t>
  </si>
  <si>
    <t>Fleet expansion (4 vehicles)</t>
  </si>
  <si>
    <t>Tax_Type</t>
  </si>
  <si>
    <t>Period</t>
  </si>
  <si>
    <t>Estimated_Amount_NGN</t>
  </si>
  <si>
    <t>VAT</t>
  </si>
  <si>
    <t>2025-10-21</t>
  </si>
  <si>
    <t>FIRS</t>
  </si>
  <si>
    <t>PAYE</t>
  </si>
  <si>
    <t>LIRS</t>
  </si>
  <si>
    <t>CIT 1st Instalment</t>
  </si>
  <si>
    <t>FY2025</t>
  </si>
  <si>
    <t>2025-12-31</t>
  </si>
  <si>
    <t>Self-assessed</t>
  </si>
  <si>
    <t>2025-11-21</t>
  </si>
  <si>
    <t>Estimated</t>
  </si>
  <si>
    <t>2025-11-10</t>
  </si>
  <si>
    <t>WHT Remittance</t>
  </si>
  <si>
    <t>Driver</t>
  </si>
  <si>
    <t>Base</t>
  </si>
  <si>
    <t>Upside</t>
  </si>
  <si>
    <t>Downside</t>
  </si>
  <si>
    <t>Revenue growth m/m</t>
  </si>
  <si>
    <t>Group blended</t>
  </si>
  <si>
    <t>COGS as % of revenue</t>
  </si>
  <si>
    <t>Inverse of GM</t>
  </si>
  <si>
    <t>Opex growth m/m</t>
  </si>
  <si>
    <t>AR collection days</t>
  </si>
  <si>
    <t>Logistics drags this</t>
  </si>
  <si>
    <t>AP payment days</t>
  </si>
  <si>
    <t>FX shock NGN/USD</t>
  </si>
  <si>
    <t>+ means devaluation</t>
  </si>
  <si>
    <t>Top-3 customer payment delay (days)</t>
  </si>
  <si>
    <t>Equity raise expected (NGN)</t>
  </si>
  <si>
    <t>Q1 2026 if at all</t>
  </si>
  <si>
    <t>Total Cash Collected</t>
  </si>
  <si>
    <t>Total Cash Paid</t>
  </si>
  <si>
    <t>Net Cash Flow</t>
  </si>
  <si>
    <t> Trailing 3M Avg Net Cash Flow</t>
  </si>
  <si>
    <t>Opening Cash</t>
  </si>
  <si>
    <t>Revenue</t>
  </si>
  <si>
    <t>Collections</t>
  </si>
  <si>
    <t>COGS</t>
  </si>
  <si>
    <t>OpEx</t>
  </si>
  <si>
    <t>Loan Payments</t>
  </si>
  <si>
    <t>CapEx</t>
  </si>
  <si>
    <t>Tax Payments</t>
  </si>
  <si>
    <t>Total Outflows</t>
  </si>
  <si>
    <t>Closing Cash</t>
  </si>
  <si>
    <t>2025-12</t>
  </si>
  <si>
    <t>2026-02</t>
  </si>
  <si>
    <t>2026-04</t>
  </si>
  <si>
    <t>2026-05</t>
  </si>
  <si>
    <t>2026-07</t>
  </si>
  <si>
    <t>2026-08</t>
  </si>
  <si>
    <t>2026-09</t>
  </si>
  <si>
    <t> Base Case — Months of Runway</t>
  </si>
  <si>
    <t xml:space="preserve"> WORST CASE SCENARIO</t>
  </si>
  <si>
    <t>Worst-Case Collections</t>
  </si>
  <si>
    <t> Worst Case — Months of Runway</t>
  </si>
  <si>
    <t>BEST CASE SCENARIO</t>
  </si>
  <si>
    <t>Best-Case Collections</t>
  </si>
  <si>
    <t>Equity / Financing Inflow</t>
  </si>
  <si>
    <t>Best Case — Months of Runway</t>
  </si>
  <si>
    <t>SENSITIVITY ANALYSIS</t>
  </si>
  <si>
    <t>AP VENDOR ANALYSIS</t>
  </si>
  <si>
    <t>Largest AP Vendor Name</t>
  </si>
  <si>
    <t>Amount Due</t>
  </si>
  <si>
    <t> Due Date</t>
  </si>
  <si>
    <t xml:space="preserve"> Zumi Holdings — 12-Month Cash Runway by Scenario</t>
  </si>
  <si>
    <t>Base Case</t>
  </si>
  <si>
    <t>Worst Case</t>
  </si>
  <si>
    <t>Best Case</t>
  </si>
  <si>
    <t>BASE CASE RUNWAY</t>
  </si>
  <si>
    <t>WORST CASE RUNWAY</t>
  </si>
  <si>
    <t>BEST CASE RUNWAY</t>
  </si>
  <si>
    <t>AR Concentration (top-3 delay 60 days)</t>
  </si>
  <si>
    <t>Months 1-2 immediate hit</t>
  </si>
  <si>
    <t>FX Exposure (15% devaluation on USD)</t>
  </si>
  <si>
    <t>Ongoing every month</t>
  </si>
  <si>
    <t xml:space="preserve"> CapEx Q4 committed (Oct + Nov)</t>
  </si>
  <si>
    <t>One-time, known</t>
  </si>
  <si>
    <t>OpEx 20% increase</t>
  </si>
  <si>
    <t>Ongoing gradual</t>
  </si>
  <si>
    <r>
      <rPr>
        <b/>
        <sz val="14"/>
        <rFont val="Calibri"/>
        <family val="2"/>
      </rPr>
      <t>Zumi Holdings — Cash Runway Summary</t>
    </r>
    <r>
      <rPr>
        <sz val="11"/>
        <rFont val="Calibri"/>
        <family val="2"/>
      </rPr>
      <t xml:space="preserve">
With</t>
    </r>
    <r>
      <rPr>
        <b/>
        <sz val="11"/>
        <rFont val="Calibri"/>
        <family val="2"/>
      </rPr>
      <t xml:space="preserve">  ₦142M</t>
    </r>
    <r>
      <rPr>
        <sz val="11"/>
        <rFont val="Calibri"/>
        <family val="2"/>
      </rPr>
      <t xml:space="preserve">  in the bank, Zumi is stable under normal conditions, the base case confirms 12+ months of runway, with closing cash growing to</t>
    </r>
    <r>
      <rPr>
        <b/>
        <sz val="11"/>
        <rFont val="Calibri"/>
        <family val="2"/>
      </rPr>
      <t xml:space="preserve"> ₦131.9M</t>
    </r>
    <r>
      <rPr>
        <sz val="11"/>
        <rFont val="Calibri"/>
        <family val="2"/>
      </rPr>
      <t xml:space="preserve"> by September 2026.
The risk is concentrated, not spread. Three customers — Dangote Group, MTN Nigeria, and Flutterwave, holds </t>
    </r>
    <r>
      <rPr>
        <b/>
        <sz val="11"/>
        <rFont val="Calibri"/>
        <family val="2"/>
      </rPr>
      <t>62%</t>
    </r>
    <r>
      <rPr>
        <sz val="11"/>
        <rFont val="Calibri"/>
        <family val="2"/>
      </rPr>
      <t xml:space="preserve"> of outstanding receivables </t>
    </r>
    <r>
      <rPr>
        <b/>
        <sz val="11"/>
        <rFont val="Calibri"/>
        <family val="2"/>
      </rPr>
      <t>(₦18.4M)</t>
    </r>
    <r>
      <rPr>
        <sz val="11"/>
        <rFont val="Calibri"/>
        <family val="2"/>
      </rPr>
      <t xml:space="preserve">. If they delay simultaneously alongside a 15% FX devaluation and a 20% revenue drop, cash turns negative in December 2025 which is just 3 months of safe runway. The December </t>
    </r>
    <r>
      <rPr>
        <b/>
        <sz val="11"/>
        <rFont val="Calibri"/>
        <family val="2"/>
      </rPr>
      <t>₦18.4M</t>
    </r>
    <r>
      <rPr>
        <sz val="11"/>
        <rFont val="Calibri"/>
        <family val="2"/>
      </rPr>
      <t xml:space="preserve"> CIT instalment is what finishes it.
On the upside, drawing the</t>
    </r>
    <r>
      <rPr>
        <b/>
        <sz val="11"/>
        <rFont val="Calibri"/>
        <family val="2"/>
      </rPr>
      <t xml:space="preserve"> ₦400M</t>
    </r>
    <r>
      <rPr>
        <sz val="11"/>
        <rFont val="Calibri"/>
        <family val="2"/>
      </rPr>
      <t xml:space="preserve"> Series A in January 2026 extends closing cash to </t>
    </r>
    <r>
      <rPr>
        <b/>
        <sz val="11"/>
        <rFont val="Calibri"/>
        <family val="2"/>
      </rPr>
      <t>₦584M</t>
    </r>
    <r>
      <rPr>
        <sz val="11"/>
        <rFont val="Calibri"/>
        <family val="2"/>
      </rPr>
      <t xml:space="preserve"> by year-end.
Three actions the board must approve:
Reduce top-3 AR concentration below 45% immediately
Secure a committed credit facility before Q4 capex hits (₦20.8M committed in Oct–Nov)
Ring-fence the Bento Africa payroll (₦12.4M/month), this is the one AP obligation that cannot slip.
The base case is fine. The worst case is December. That is the number that matters.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</si>
</sst>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[Red]\-* #,##0_-;_-* &quot;-&quot;_-;_-@_-"/>
    <numFmt numFmtId="165" formatCode="0.0%"/>
    <numFmt numFmtId="166" formatCode="\₦#,##0"/>
  </numFmts>
  <fonts count="12" x14ac:knownFonts="1">
    <font>
      <sz val="11"/>
      <color theme="1"/>
      <name val="Calibri"/>
      <family val="2"/>
      <scheme val="minor"/>
    </font>
    <font>
      <b/>
      <sz val="16"/>
      <color rgb="FF0F4C3A"/>
      <name val="Calibri"/>
    </font>
    <font>
      <b/>
      <sz val="12"/>
      <name val="Calibri"/>
    </font>
    <font>
      <b/>
      <sz val="11"/>
      <color rgb="FFFFFFFF"/>
      <name val="Calibri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</font>
    <font>
      <b/>
      <sz val="11"/>
      <name val="Calibri"/>
      <family val="2"/>
    </font>
    <font>
      <b/>
      <sz val="11"/>
      <color rgb="FF1A1A1A"/>
      <name val="Calibri"/>
      <family val="2"/>
      <scheme val="minor"/>
    </font>
    <font>
      <b/>
      <sz val="14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F4C3A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3" fillId="2" borderId="0" xfId="0" applyNumberFormat="1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4" fillId="0" borderId="0" xfId="0" applyFont="1" applyAlignment="1">
      <alignment wrapText="1"/>
    </xf>
    <xf numFmtId="166" fontId="4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7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5" fillId="5" borderId="0" xfId="0" applyFont="1" applyFill="1"/>
    <xf numFmtId="0" fontId="9" fillId="4" borderId="0" xfId="0" applyFont="1" applyFill="1"/>
    <xf numFmtId="166" fontId="4" fillId="6" borderId="0" xfId="0" applyNumberFormat="1" applyFont="1" applyFill="1"/>
    <xf numFmtId="0" fontId="7" fillId="6" borderId="0" xfId="0" applyFont="1" applyFill="1"/>
    <xf numFmtId="166" fontId="4" fillId="7" borderId="0" xfId="0" applyNumberFormat="1" applyFont="1" applyFill="1"/>
    <xf numFmtId="0" fontId="7" fillId="7" borderId="0" xfId="0" applyFont="1" applyFill="1"/>
    <xf numFmtId="0" fontId="8" fillId="8" borderId="0" xfId="0" applyFont="1" applyFill="1"/>
    <xf numFmtId="0" fontId="6" fillId="9" borderId="0" xfId="0" applyFont="1" applyFill="1"/>
    <xf numFmtId="0" fontId="7" fillId="10" borderId="0" xfId="0" applyFont="1" applyFill="1"/>
    <xf numFmtId="166" fontId="0" fillId="11" borderId="0" xfId="0" applyNumberFormat="1" applyFill="1"/>
    <xf numFmtId="166" fontId="0" fillId="6" borderId="0" xfId="0" applyNumberFormat="1" applyFill="1"/>
    <xf numFmtId="166" fontId="0" fillId="12" borderId="0" xfId="0" applyNumberFormat="1" applyFill="1"/>
    <xf numFmtId="0" fontId="6" fillId="11" borderId="0" xfId="0" applyFont="1" applyFill="1"/>
    <xf numFmtId="0" fontId="6" fillId="6" borderId="0" xfId="0" applyFont="1" applyFill="1"/>
    <xf numFmtId="0" fontId="6" fillId="12" borderId="0" xfId="0" applyFont="1" applyFill="1"/>
    <xf numFmtId="0" fontId="10" fillId="4" borderId="0" xfId="0" applyFont="1" applyFill="1"/>
    <xf numFmtId="0" fontId="7" fillId="12" borderId="0" xfId="0" applyFont="1" applyFill="1"/>
    <xf numFmtId="166" fontId="4" fillId="12" borderId="0" xfId="0" applyNumberFormat="1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Zumi Holdings — 12-Month Cash Runway by Scenario</a:t>
            </a:r>
            <a:r>
              <a:rPr lang="en-US" sz="1400" b="1" i="0" u="none" strike="noStrike" baseline="0">
                <a:effectLst/>
              </a:rPr>
              <a:t> </a:t>
            </a:r>
            <a:endParaRPr lang="en-US" sz="1400" b="1"/>
          </a:p>
        </c:rich>
      </c:tx>
      <c:layout>
        <c:manualLayout>
          <c:xMode val="edge"/>
          <c:yMode val="edge"/>
          <c:x val="0.12150341486167193"/>
          <c:y val="2.8446869883838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Board_View!$B$3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Board_View!$A$4:$A$15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Board_View!$B$4:$B$15</c:f>
              <c:numCache>
                <c:formatCode>\₦#,##0</c:formatCode>
                <c:ptCount val="12"/>
                <c:pt idx="0">
                  <c:v>108504527.1215</c:v>
                </c:pt>
                <c:pt idx="1">
                  <c:v>102296804.40904948</c:v>
                </c:pt>
                <c:pt idx="2">
                  <c:v>91426247.400955841</c:v>
                </c:pt>
                <c:pt idx="3">
                  <c:v>77612689.545094043</c:v>
                </c:pt>
                <c:pt idx="4">
                  <c:v>86476506.977199048</c:v>
                </c:pt>
                <c:pt idx="5">
                  <c:v>86638632.650282383</c:v>
                </c:pt>
                <c:pt idx="6">
                  <c:v>96920570.824030653</c:v>
                </c:pt>
                <c:pt idx="7">
                  <c:v>107944411.92326652</c:v>
                </c:pt>
                <c:pt idx="8">
                  <c:v>91732847.774780914</c:v>
                </c:pt>
                <c:pt idx="9">
                  <c:v>104309187.23207833</c:v>
                </c:pt>
                <c:pt idx="10">
                  <c:v>117697372.19781731</c:v>
                </c:pt>
                <c:pt idx="11">
                  <c:v>131921994.053973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C-45AD-8D97-46F379EC5F05}"/>
            </c:ext>
          </c:extLst>
        </c:ser>
        <c:ser>
          <c:idx val="1"/>
          <c:order val="1"/>
          <c:tx>
            <c:strRef>
              <c:f>Board_View!$C$3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E5-447E-AACA-4061A159370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E5-447E-AACA-4061A159370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3E5-447E-AACA-4061A159370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E5-447E-AACA-4061A159370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E5-447E-AACA-4061A159370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E5-447E-AACA-4061A159370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5-447E-AACA-4061A159370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E5-447E-AACA-4061A159370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E5-447E-AACA-4061A159370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E5-447E-AACA-4061A159370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E5-447E-AACA-4061A159370A}"/>
                </c:ext>
              </c:extLst>
            </c:dLbl>
            <c:numFmt formatCode="\₦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Board_View!$A$4:$A$15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Board_View!$C$4:$C$15</c:f>
              <c:numCache>
                <c:formatCode>\₦#,##0</c:formatCode>
                <c:ptCount val="12"/>
                <c:pt idx="0">
                  <c:v>81588996.179875001</c:v>
                </c:pt>
                <c:pt idx="1">
                  <c:v>48252854.252258882</c:v>
                </c:pt>
                <c:pt idx="2">
                  <c:v>28435667.548620507</c:v>
                </c:pt>
                <c:pt idx="3">
                  <c:v>5451814.2548253089</c:v>
                </c:pt>
                <c:pt idx="4">
                  <c:v>4916078.8630485982</c:v>
                </c:pt>
                <c:pt idx="5">
                  <c:v>-4556337.108346805</c:v>
                </c:pt>
                <c:pt idx="6">
                  <c:v>-4149804.1201892495</c:v>
                </c:pt>
                <c:pt idx="7">
                  <c:v>-3248253.3361838907</c:v>
                </c:pt>
                <c:pt idx="8">
                  <c:v>-29835165.057780758</c:v>
                </c:pt>
                <c:pt idx="9">
                  <c:v>-27893556.862922356</c:v>
                </c:pt>
                <c:pt idx="10">
                  <c:v>-25405971.441183358</c:v>
                </c:pt>
                <c:pt idx="11">
                  <c:v>-22354464.117627665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C-45AD-8D97-46F379EC5F05}"/>
            </c:ext>
          </c:extLst>
        </c:ser>
        <c:ser>
          <c:idx val="2"/>
          <c:order val="2"/>
          <c:tx>
            <c:strRef>
              <c:f>Board_View!$D$3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Board_View!$A$4:$A$15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Board_View!$D$4:$D$15</c:f>
              <c:numCache>
                <c:formatCode>\₦#,##0</c:formatCode>
                <c:ptCount val="12"/>
                <c:pt idx="0">
                  <c:v>81588996.179875001</c:v>
                </c:pt>
                <c:pt idx="1">
                  <c:v>48252854.252258882</c:v>
                </c:pt>
                <c:pt idx="2">
                  <c:v>28435667.548620507</c:v>
                </c:pt>
                <c:pt idx="3">
                  <c:v>405451814.25482535</c:v>
                </c:pt>
                <c:pt idx="4">
                  <c:v>404916078.86304867</c:v>
                </c:pt>
                <c:pt idx="5">
                  <c:v>395443662.8916533</c:v>
                </c:pt>
                <c:pt idx="6">
                  <c:v>395850195.87981087</c:v>
                </c:pt>
                <c:pt idx="7">
                  <c:v>396751746.66381621</c:v>
                </c:pt>
                <c:pt idx="8">
                  <c:v>370164834.94221938</c:v>
                </c:pt>
                <c:pt idx="9">
                  <c:v>372106443.13707781</c:v>
                </c:pt>
                <c:pt idx="10">
                  <c:v>374594028.55881679</c:v>
                </c:pt>
                <c:pt idx="11">
                  <c:v>377645535.8823725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BC-45AD-8D97-46F379EC5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24447"/>
        <c:axId val="275023967"/>
      </c:lineChart>
      <c:catAx>
        <c:axId val="275024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23967"/>
        <c:crosses val="autoZero"/>
        <c:auto val="1"/>
        <c:lblAlgn val="ctr"/>
        <c:lblOffset val="80"/>
        <c:noMultiLvlLbl val="0"/>
      </c:catAx>
      <c:valAx>
        <c:axId val="275023967"/>
        <c:scaling>
          <c:orientation val="minMax"/>
        </c:scaling>
        <c:delete val="0"/>
        <c:axPos val="l"/>
        <c:numFmt formatCode="\₦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2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250371</xdr:colOff>
      <xdr:row>1</xdr:row>
      <xdr:rowOff>180521</xdr:rowOff>
    </xdr:from>
    <xdr:to>
      <xdr:col>15</xdr:col>
      <xdr:colOff>27213</xdr:colOff>
      <xdr:row>21</xdr:row>
      <xdr:rowOff>952499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03AD65-1A0D-F6D3-8152-64A157245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4C3A"/>
  </sheetPr>
  <dimension ref="A1:A22"/>
  <sheetViews>
    <sheetView workbookViewId="0"/>
  </sheetViews>
  <sheetFormatPr defaultRowHeight="14.5" x14ac:dyDescent="0.35"/>
  <cols>
    <col min="1" max="1" width="110" customWidth="1"/>
  </cols>
  <sheetData>
    <row r="1" spans="1:1" ht="21" x14ac:dyDescent="0.5">
      <c r="A1" s="1" t="s">
        <v>0</v>
      </c>
    </row>
    <row r="3" spans="1:1" ht="15.5" x14ac:dyDescent="0.35">
      <c r="A3" s="2" t="s">
        <v>1</v>
      </c>
    </row>
    <row r="4" spans="1:1" ht="29" x14ac:dyDescent="0.35">
      <c r="A4" s="3" t="s">
        <v>2</v>
      </c>
    </row>
    <row r="5" spans="1:1" x14ac:dyDescent="0.35">
      <c r="A5" s="3" t="s">
        <v>3</v>
      </c>
    </row>
    <row r="6" spans="1:1" ht="15.5" x14ac:dyDescent="0.35">
      <c r="A6" s="2" t="s">
        <v>4</v>
      </c>
    </row>
    <row r="7" spans="1:1" x14ac:dyDescent="0.35">
      <c r="A7" s="3" t="s">
        <v>5</v>
      </c>
    </row>
    <row r="8" spans="1:1" x14ac:dyDescent="0.35">
      <c r="A8" s="3" t="s">
        <v>6</v>
      </c>
    </row>
    <row r="9" spans="1:1" x14ac:dyDescent="0.35">
      <c r="A9" s="3" t="s">
        <v>7</v>
      </c>
    </row>
    <row r="10" spans="1:1" x14ac:dyDescent="0.35">
      <c r="A10" s="3" t="s">
        <v>8</v>
      </c>
    </row>
    <row r="11" spans="1:1" x14ac:dyDescent="0.35">
      <c r="A11" s="3" t="s">
        <v>9</v>
      </c>
    </row>
    <row r="12" spans="1:1" x14ac:dyDescent="0.35">
      <c r="A12" s="3" t="s">
        <v>10</v>
      </c>
    </row>
    <row r="13" spans="1:1" x14ac:dyDescent="0.35">
      <c r="A13" s="3" t="s">
        <v>11</v>
      </c>
    </row>
    <row r="14" spans="1:1" x14ac:dyDescent="0.35">
      <c r="A14" s="3" t="s">
        <v>3</v>
      </c>
    </row>
    <row r="15" spans="1:1" ht="15.5" x14ac:dyDescent="0.35">
      <c r="A15" s="2" t="s">
        <v>12</v>
      </c>
    </row>
    <row r="16" spans="1:1" x14ac:dyDescent="0.35">
      <c r="A16" s="3" t="s">
        <v>13</v>
      </c>
    </row>
    <row r="17" spans="1:1" x14ac:dyDescent="0.35">
      <c r="A17" s="3" t="s">
        <v>14</v>
      </c>
    </row>
    <row r="18" spans="1:1" x14ac:dyDescent="0.35">
      <c r="A18" s="3" t="s">
        <v>15</v>
      </c>
    </row>
    <row r="19" spans="1:1" x14ac:dyDescent="0.35">
      <c r="A19" s="3" t="s">
        <v>16</v>
      </c>
    </row>
    <row r="20" spans="1:1" x14ac:dyDescent="0.35">
      <c r="A20" s="3" t="s">
        <v>3</v>
      </c>
    </row>
    <row r="21" spans="1:1" ht="15.5" x14ac:dyDescent="0.35">
      <c r="A21" s="2" t="s">
        <v>17</v>
      </c>
    </row>
    <row r="22" spans="1:1" x14ac:dyDescent="0.35">
      <c r="A22" s="3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K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7" width="18" style="4" customWidth="1"/>
    <col min="8" max="10" width="20" style="4" customWidth="1"/>
    <col min="11" max="11" width="12" customWidth="1"/>
  </cols>
  <sheetData>
    <row r="1" spans="1:11" s="5" customFormat="1" x14ac:dyDescent="0.35">
      <c r="A1" s="5" t="s">
        <v>19</v>
      </c>
      <c r="B1" s="5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5" t="s">
        <v>29</v>
      </c>
    </row>
    <row r="2" spans="1:11" x14ac:dyDescent="0.35">
      <c r="A2" t="s">
        <v>30</v>
      </c>
      <c r="B2" t="s">
        <v>31</v>
      </c>
      <c r="C2" s="4">
        <v>19905249</v>
      </c>
      <c r="D2" s="4">
        <v>12862026</v>
      </c>
      <c r="E2" s="4">
        <v>7043223</v>
      </c>
      <c r="F2" s="4">
        <v>6869812</v>
      </c>
      <c r="G2" s="4">
        <v>173411</v>
      </c>
      <c r="H2" s="4">
        <v>18909987</v>
      </c>
      <c r="I2" s="4">
        <v>19502123</v>
      </c>
      <c r="J2" s="4" t="s">
        <v>3</v>
      </c>
      <c r="K2">
        <v>38</v>
      </c>
    </row>
    <row r="3" spans="1:11" x14ac:dyDescent="0.35">
      <c r="A3" t="s">
        <v>30</v>
      </c>
      <c r="B3" t="s">
        <v>32</v>
      </c>
      <c r="C3" s="4">
        <v>34991114</v>
      </c>
      <c r="D3" s="4">
        <v>27559196</v>
      </c>
      <c r="E3" s="4">
        <v>7431918</v>
      </c>
      <c r="F3" s="4">
        <v>7235380</v>
      </c>
      <c r="G3" s="4">
        <v>196538</v>
      </c>
      <c r="H3" s="4">
        <v>33241558</v>
      </c>
      <c r="I3" s="4">
        <v>34181676</v>
      </c>
      <c r="J3" s="4" t="s">
        <v>3</v>
      </c>
      <c r="K3">
        <v>52</v>
      </c>
    </row>
    <row r="4" spans="1:11" x14ac:dyDescent="0.35">
      <c r="A4" t="s">
        <v>30</v>
      </c>
      <c r="B4" t="s">
        <v>33</v>
      </c>
      <c r="C4" s="4">
        <v>13047516</v>
      </c>
      <c r="D4" s="4">
        <v>7516394</v>
      </c>
      <c r="E4" s="4">
        <v>5531122</v>
      </c>
      <c r="F4" s="4">
        <v>4102356</v>
      </c>
      <c r="G4" s="4">
        <v>1428766</v>
      </c>
      <c r="H4" s="4">
        <v>10177062</v>
      </c>
      <c r="I4" s="4">
        <v>11735091</v>
      </c>
      <c r="J4" s="4">
        <v>88909717</v>
      </c>
      <c r="K4">
        <v>28</v>
      </c>
    </row>
    <row r="5" spans="1:11" x14ac:dyDescent="0.35">
      <c r="A5" t="s">
        <v>34</v>
      </c>
      <c r="B5" t="s">
        <v>31</v>
      </c>
      <c r="C5" s="4">
        <v>21253937</v>
      </c>
      <c r="D5" s="4">
        <v>13498682</v>
      </c>
      <c r="E5" s="4">
        <v>7755255</v>
      </c>
      <c r="F5" s="4">
        <v>6905491</v>
      </c>
      <c r="G5" s="4">
        <v>849764</v>
      </c>
      <c r="H5" s="4">
        <v>20191240</v>
      </c>
      <c r="I5" s="4">
        <v>20212304</v>
      </c>
      <c r="J5" s="4" t="s">
        <v>3</v>
      </c>
      <c r="K5">
        <v>38</v>
      </c>
    </row>
    <row r="6" spans="1:11" x14ac:dyDescent="0.35">
      <c r="A6" t="s">
        <v>34</v>
      </c>
      <c r="B6" t="s">
        <v>32</v>
      </c>
      <c r="C6" s="4">
        <v>36672771</v>
      </c>
      <c r="D6" s="4">
        <v>28809820</v>
      </c>
      <c r="E6" s="4">
        <v>7862951</v>
      </c>
      <c r="F6" s="4">
        <v>7552162</v>
      </c>
      <c r="G6" s="4">
        <v>310789</v>
      </c>
      <c r="H6" s="4">
        <v>34839132</v>
      </c>
      <c r="I6" s="4">
        <v>35656077</v>
      </c>
      <c r="J6" s="4" t="s">
        <v>3</v>
      </c>
      <c r="K6">
        <v>52</v>
      </c>
    </row>
    <row r="7" spans="1:11" x14ac:dyDescent="0.35">
      <c r="A7" t="s">
        <v>34</v>
      </c>
      <c r="B7" t="s">
        <v>33</v>
      </c>
      <c r="C7" s="4">
        <v>13479393</v>
      </c>
      <c r="D7" s="4">
        <v>8066111</v>
      </c>
      <c r="E7" s="4">
        <v>5413282</v>
      </c>
      <c r="F7" s="4">
        <v>4170885</v>
      </c>
      <c r="G7" s="4">
        <v>1242397</v>
      </c>
      <c r="H7" s="4">
        <v>10513927</v>
      </c>
      <c r="I7" s="4">
        <v>12467490</v>
      </c>
      <c r="J7" s="4">
        <v>86118145</v>
      </c>
      <c r="K7">
        <v>28</v>
      </c>
    </row>
    <row r="8" spans="1:11" x14ac:dyDescent="0.35">
      <c r="A8" t="s">
        <v>35</v>
      </c>
      <c r="B8" t="s">
        <v>31</v>
      </c>
      <c r="C8" s="4">
        <v>22268307</v>
      </c>
      <c r="D8" s="4">
        <v>13922612</v>
      </c>
      <c r="E8" s="4">
        <v>8345695</v>
      </c>
      <c r="F8" s="4">
        <v>6818127</v>
      </c>
      <c r="G8" s="4">
        <v>1527568</v>
      </c>
      <c r="H8" s="4">
        <v>21154892</v>
      </c>
      <c r="I8" s="4">
        <v>20893693</v>
      </c>
      <c r="J8" s="4" t="s">
        <v>3</v>
      </c>
      <c r="K8">
        <v>38</v>
      </c>
    </row>
    <row r="9" spans="1:11" x14ac:dyDescent="0.35">
      <c r="A9" t="s">
        <v>35</v>
      </c>
      <c r="B9" t="s">
        <v>32</v>
      </c>
      <c r="C9" s="4">
        <v>38888162</v>
      </c>
      <c r="D9" s="4">
        <v>30172290</v>
      </c>
      <c r="E9" s="4">
        <v>8715872</v>
      </c>
      <c r="F9" s="4">
        <v>7454550</v>
      </c>
      <c r="G9" s="4">
        <v>1261322</v>
      </c>
      <c r="H9" s="4">
        <v>36943754</v>
      </c>
      <c r="I9" s="4">
        <v>36902337</v>
      </c>
      <c r="J9" s="4" t="s">
        <v>3</v>
      </c>
      <c r="K9">
        <v>52</v>
      </c>
    </row>
    <row r="10" spans="1:11" x14ac:dyDescent="0.35">
      <c r="A10" t="s">
        <v>35</v>
      </c>
      <c r="B10" t="s">
        <v>33</v>
      </c>
      <c r="C10" s="4">
        <v>13910505</v>
      </c>
      <c r="D10" s="4">
        <v>8131330</v>
      </c>
      <c r="E10" s="4">
        <v>5779175</v>
      </c>
      <c r="F10" s="4">
        <v>4328010</v>
      </c>
      <c r="G10" s="4">
        <v>1451165</v>
      </c>
      <c r="H10" s="4">
        <v>10850194</v>
      </c>
      <c r="I10" s="4">
        <v>12212562</v>
      </c>
      <c r="J10" s="4">
        <v>85058393</v>
      </c>
      <c r="K10">
        <v>28</v>
      </c>
    </row>
    <row r="11" spans="1:11" x14ac:dyDescent="0.35">
      <c r="A11" t="s">
        <v>36</v>
      </c>
      <c r="B11" t="s">
        <v>31</v>
      </c>
      <c r="C11" s="4">
        <v>24351872</v>
      </c>
      <c r="D11" s="4">
        <v>15524873</v>
      </c>
      <c r="E11" s="4">
        <v>8826999</v>
      </c>
      <c r="F11" s="4">
        <v>7135445</v>
      </c>
      <c r="G11" s="4">
        <v>1691554</v>
      </c>
      <c r="H11" s="4">
        <v>23134278</v>
      </c>
      <c r="I11" s="4">
        <v>22788162</v>
      </c>
      <c r="J11" s="4" t="s">
        <v>3</v>
      </c>
      <c r="K11">
        <v>38</v>
      </c>
    </row>
    <row r="12" spans="1:11" x14ac:dyDescent="0.35">
      <c r="A12" t="s">
        <v>36</v>
      </c>
      <c r="B12" t="s">
        <v>32</v>
      </c>
      <c r="C12" s="4">
        <v>39999722</v>
      </c>
      <c r="D12" s="4">
        <v>31608864</v>
      </c>
      <c r="E12" s="4">
        <v>8390858</v>
      </c>
      <c r="F12" s="4">
        <v>7636250</v>
      </c>
      <c r="G12" s="4">
        <v>754608</v>
      </c>
      <c r="H12" s="4">
        <v>37999736</v>
      </c>
      <c r="I12" s="4">
        <v>39264817</v>
      </c>
      <c r="J12" s="4" t="s">
        <v>3</v>
      </c>
      <c r="K12">
        <v>52</v>
      </c>
    </row>
    <row r="13" spans="1:11" x14ac:dyDescent="0.35">
      <c r="A13" t="s">
        <v>36</v>
      </c>
      <c r="B13" t="s">
        <v>33</v>
      </c>
      <c r="C13" s="4">
        <v>14679799</v>
      </c>
      <c r="D13" s="4">
        <v>8762748</v>
      </c>
      <c r="E13" s="4">
        <v>5917051</v>
      </c>
      <c r="F13" s="4">
        <v>4419132</v>
      </c>
      <c r="G13" s="4">
        <v>1497919</v>
      </c>
      <c r="H13" s="4">
        <v>11450243</v>
      </c>
      <c r="I13" s="4">
        <v>13415980</v>
      </c>
      <c r="J13" s="4">
        <v>82173691</v>
      </c>
      <c r="K13">
        <v>28</v>
      </c>
    </row>
    <row r="14" spans="1:11" x14ac:dyDescent="0.35">
      <c r="A14" t="s">
        <v>37</v>
      </c>
      <c r="B14" t="s">
        <v>31</v>
      </c>
      <c r="C14" s="4">
        <v>25779628</v>
      </c>
      <c r="D14" s="4">
        <v>16330515</v>
      </c>
      <c r="E14" s="4">
        <v>9449113</v>
      </c>
      <c r="F14" s="4">
        <v>7005958</v>
      </c>
      <c r="G14" s="4">
        <v>2443155</v>
      </c>
      <c r="H14" s="4">
        <v>24490647</v>
      </c>
      <c r="I14" s="4">
        <v>22878194</v>
      </c>
      <c r="J14" s="4" t="s">
        <v>3</v>
      </c>
      <c r="K14">
        <v>38</v>
      </c>
    </row>
    <row r="15" spans="1:11" x14ac:dyDescent="0.35">
      <c r="A15" t="s">
        <v>37</v>
      </c>
      <c r="B15" t="s">
        <v>32</v>
      </c>
      <c r="C15" s="4">
        <v>43333409</v>
      </c>
      <c r="D15" s="4">
        <v>34269940</v>
      </c>
      <c r="E15" s="4">
        <v>9063469</v>
      </c>
      <c r="F15" s="4">
        <v>7665991</v>
      </c>
      <c r="G15" s="4">
        <v>1397478</v>
      </c>
      <c r="H15" s="4">
        <v>41166739</v>
      </c>
      <c r="I15" s="4">
        <v>41205017</v>
      </c>
      <c r="J15" s="4" t="s">
        <v>3</v>
      </c>
      <c r="K15">
        <v>52</v>
      </c>
    </row>
    <row r="16" spans="1:11" x14ac:dyDescent="0.35">
      <c r="A16" t="s">
        <v>37</v>
      </c>
      <c r="B16" t="s">
        <v>33</v>
      </c>
      <c r="C16" s="4">
        <v>16528392</v>
      </c>
      <c r="D16" s="4">
        <v>9490585</v>
      </c>
      <c r="E16" s="4">
        <v>7037807</v>
      </c>
      <c r="F16" s="4">
        <v>4297986</v>
      </c>
      <c r="G16" s="4">
        <v>2739821</v>
      </c>
      <c r="H16" s="4">
        <v>12892146</v>
      </c>
      <c r="I16" s="4">
        <v>13837368</v>
      </c>
      <c r="J16" s="4">
        <v>82802644</v>
      </c>
      <c r="K16">
        <v>28</v>
      </c>
    </row>
    <row r="17" spans="1:11" x14ac:dyDescent="0.35">
      <c r="A17" t="s">
        <v>38</v>
      </c>
      <c r="B17" t="s">
        <v>31</v>
      </c>
      <c r="C17" s="4">
        <v>26159931</v>
      </c>
      <c r="D17" s="4">
        <v>17210780</v>
      </c>
      <c r="E17" s="4">
        <v>8949151</v>
      </c>
      <c r="F17" s="4">
        <v>7373366</v>
      </c>
      <c r="G17" s="4">
        <v>1575785</v>
      </c>
      <c r="H17" s="4">
        <v>24851934</v>
      </c>
      <c r="I17" s="4">
        <v>24506162</v>
      </c>
      <c r="J17" s="4" t="s">
        <v>3</v>
      </c>
      <c r="K17">
        <v>38</v>
      </c>
    </row>
    <row r="18" spans="1:11" x14ac:dyDescent="0.35">
      <c r="A18" t="s">
        <v>38</v>
      </c>
      <c r="B18" t="s">
        <v>32</v>
      </c>
      <c r="C18" s="4">
        <v>45276538</v>
      </c>
      <c r="D18" s="4">
        <v>35676900</v>
      </c>
      <c r="E18" s="4">
        <v>9599638</v>
      </c>
      <c r="F18" s="4">
        <v>7876543</v>
      </c>
      <c r="G18" s="4">
        <v>1723095</v>
      </c>
      <c r="H18" s="4">
        <v>43012711</v>
      </c>
      <c r="I18" s="4">
        <v>43571520</v>
      </c>
      <c r="J18" s="4" t="s">
        <v>3</v>
      </c>
      <c r="K18">
        <v>52</v>
      </c>
    </row>
    <row r="19" spans="1:11" x14ac:dyDescent="0.35">
      <c r="A19" t="s">
        <v>38</v>
      </c>
      <c r="B19" t="s">
        <v>33</v>
      </c>
      <c r="C19" s="4">
        <v>16940210</v>
      </c>
      <c r="D19" s="4">
        <v>9739531</v>
      </c>
      <c r="E19" s="4">
        <v>7200679</v>
      </c>
      <c r="F19" s="4">
        <v>4515725</v>
      </c>
      <c r="G19" s="4">
        <v>2684954</v>
      </c>
      <c r="H19" s="4">
        <v>13213364</v>
      </c>
      <c r="I19" s="4">
        <v>14193813</v>
      </c>
      <c r="J19" s="4">
        <v>81609158</v>
      </c>
      <c r="K19">
        <v>28</v>
      </c>
    </row>
    <row r="20" spans="1:11" x14ac:dyDescent="0.35">
      <c r="A20" t="s">
        <v>39</v>
      </c>
      <c r="B20" t="s">
        <v>31</v>
      </c>
      <c r="C20" s="4">
        <v>27644246</v>
      </c>
      <c r="D20" s="4">
        <v>17912969</v>
      </c>
      <c r="E20" s="4">
        <v>9731277</v>
      </c>
      <c r="F20" s="4">
        <v>7204038</v>
      </c>
      <c r="G20" s="4">
        <v>2527239</v>
      </c>
      <c r="H20" s="4">
        <v>26262034</v>
      </c>
      <c r="I20" s="4">
        <v>24852098</v>
      </c>
      <c r="J20" s="4" t="s">
        <v>3</v>
      </c>
      <c r="K20">
        <v>39</v>
      </c>
    </row>
    <row r="21" spans="1:11" x14ac:dyDescent="0.35">
      <c r="A21" t="s">
        <v>39</v>
      </c>
      <c r="B21" t="s">
        <v>32</v>
      </c>
      <c r="C21" s="4">
        <v>49003295</v>
      </c>
      <c r="D21" s="4">
        <v>37271364</v>
      </c>
      <c r="E21" s="4">
        <v>11731931</v>
      </c>
      <c r="F21" s="4">
        <v>7958536</v>
      </c>
      <c r="G21" s="4">
        <v>3773395</v>
      </c>
      <c r="H21" s="4">
        <v>46553130</v>
      </c>
      <c r="I21" s="4">
        <v>45605931</v>
      </c>
      <c r="J21" s="4" t="s">
        <v>3</v>
      </c>
      <c r="K21">
        <v>53</v>
      </c>
    </row>
    <row r="22" spans="1:11" x14ac:dyDescent="0.35">
      <c r="A22" t="s">
        <v>39</v>
      </c>
      <c r="B22" t="s">
        <v>33</v>
      </c>
      <c r="C22" s="4">
        <v>18013682</v>
      </c>
      <c r="D22" s="4">
        <v>10819389</v>
      </c>
      <c r="E22" s="4">
        <v>7194293</v>
      </c>
      <c r="F22" s="4">
        <v>4502013</v>
      </c>
      <c r="G22" s="4">
        <v>2692280</v>
      </c>
      <c r="H22" s="4">
        <v>14050672</v>
      </c>
      <c r="I22" s="4">
        <v>15173465</v>
      </c>
      <c r="J22" s="4">
        <v>64843500</v>
      </c>
      <c r="K22">
        <v>29</v>
      </c>
    </row>
    <row r="23" spans="1:11" x14ac:dyDescent="0.35">
      <c r="A23" t="s">
        <v>40</v>
      </c>
      <c r="B23" t="s">
        <v>31</v>
      </c>
      <c r="C23" s="4">
        <v>28737993</v>
      </c>
      <c r="D23" s="4">
        <v>18067960</v>
      </c>
      <c r="E23" s="4">
        <v>10670033</v>
      </c>
      <c r="F23" s="4">
        <v>7425014</v>
      </c>
      <c r="G23" s="4">
        <v>3245019</v>
      </c>
      <c r="H23" s="4">
        <v>27301093</v>
      </c>
      <c r="I23" s="4">
        <v>25430182</v>
      </c>
      <c r="J23" s="4" t="s">
        <v>3</v>
      </c>
      <c r="K23">
        <v>39</v>
      </c>
    </row>
    <row r="24" spans="1:11" x14ac:dyDescent="0.35">
      <c r="A24" t="s">
        <v>40</v>
      </c>
      <c r="B24" t="s">
        <v>32</v>
      </c>
      <c r="C24" s="4">
        <v>47121352</v>
      </c>
      <c r="D24" s="4">
        <v>36041304</v>
      </c>
      <c r="E24" s="4">
        <v>11080048</v>
      </c>
      <c r="F24" s="4">
        <v>8244672</v>
      </c>
      <c r="G24" s="4">
        <v>2835376</v>
      </c>
      <c r="H24" s="4">
        <v>44765284</v>
      </c>
      <c r="I24" s="4">
        <v>44306307</v>
      </c>
      <c r="J24" s="4" t="s">
        <v>3</v>
      </c>
      <c r="K24">
        <v>53</v>
      </c>
    </row>
    <row r="25" spans="1:11" x14ac:dyDescent="0.35">
      <c r="A25" t="s">
        <v>40</v>
      </c>
      <c r="B25" t="s">
        <v>33</v>
      </c>
      <c r="C25" s="4">
        <v>17344105</v>
      </c>
      <c r="D25" s="4">
        <v>10189129</v>
      </c>
      <c r="E25" s="4">
        <v>7154976</v>
      </c>
      <c r="F25" s="4">
        <v>4456875</v>
      </c>
      <c r="G25" s="4">
        <v>2698101</v>
      </c>
      <c r="H25" s="4">
        <v>13528402</v>
      </c>
      <c r="I25" s="4">
        <v>14936632</v>
      </c>
      <c r="J25" s="4">
        <v>65765158</v>
      </c>
      <c r="K25">
        <v>29</v>
      </c>
    </row>
    <row r="26" spans="1:11" x14ac:dyDescent="0.35">
      <c r="A26" t="s">
        <v>41</v>
      </c>
      <c r="B26" t="s">
        <v>31</v>
      </c>
      <c r="C26" s="4">
        <v>28130889</v>
      </c>
      <c r="D26" s="4">
        <v>18439697</v>
      </c>
      <c r="E26" s="4">
        <v>9691192</v>
      </c>
      <c r="F26" s="4">
        <v>7478240</v>
      </c>
      <c r="G26" s="4">
        <v>2212952</v>
      </c>
      <c r="H26" s="4">
        <v>26724345</v>
      </c>
      <c r="I26" s="4">
        <v>25549623</v>
      </c>
      <c r="J26" s="4" t="s">
        <v>3</v>
      </c>
      <c r="K26">
        <v>39</v>
      </c>
    </row>
    <row r="27" spans="1:11" x14ac:dyDescent="0.35">
      <c r="A27" t="s">
        <v>41</v>
      </c>
      <c r="B27" t="s">
        <v>32</v>
      </c>
      <c r="C27" s="4">
        <v>48600026</v>
      </c>
      <c r="D27" s="4">
        <v>37656436</v>
      </c>
      <c r="E27" s="4">
        <v>10943590</v>
      </c>
      <c r="F27" s="4">
        <v>7972710</v>
      </c>
      <c r="G27" s="4">
        <v>2970880</v>
      </c>
      <c r="H27" s="4">
        <v>46170025</v>
      </c>
      <c r="I27" s="4">
        <v>46436168</v>
      </c>
      <c r="J27" s="4" t="s">
        <v>3</v>
      </c>
      <c r="K27">
        <v>53</v>
      </c>
    </row>
    <row r="28" spans="1:11" x14ac:dyDescent="0.35">
      <c r="A28" t="s">
        <v>41</v>
      </c>
      <c r="B28" t="s">
        <v>33</v>
      </c>
      <c r="C28" s="4">
        <v>17469505</v>
      </c>
      <c r="D28" s="4">
        <v>10461241</v>
      </c>
      <c r="E28" s="4">
        <v>7008264</v>
      </c>
      <c r="F28" s="4">
        <v>4651466</v>
      </c>
      <c r="G28" s="4">
        <v>2356798</v>
      </c>
      <c r="H28" s="4">
        <v>13626214</v>
      </c>
      <c r="I28" s="4">
        <v>14903831</v>
      </c>
      <c r="J28" s="4">
        <v>65396120</v>
      </c>
      <c r="K28">
        <v>29</v>
      </c>
    </row>
    <row r="29" spans="1:11" x14ac:dyDescent="0.35">
      <c r="A29" t="s">
        <v>42</v>
      </c>
      <c r="B29" t="s">
        <v>31</v>
      </c>
      <c r="C29" s="4">
        <v>26900564</v>
      </c>
      <c r="D29" s="4">
        <v>17026925</v>
      </c>
      <c r="E29" s="4">
        <v>9873639</v>
      </c>
      <c r="F29" s="4">
        <v>7719908</v>
      </c>
      <c r="G29" s="4">
        <v>2153731</v>
      </c>
      <c r="H29" s="4">
        <v>25555536</v>
      </c>
      <c r="I29" s="4">
        <v>24507280</v>
      </c>
      <c r="J29" s="4" t="s">
        <v>3</v>
      </c>
      <c r="K29">
        <v>39</v>
      </c>
    </row>
    <row r="30" spans="1:11" x14ac:dyDescent="0.35">
      <c r="A30" t="s">
        <v>42</v>
      </c>
      <c r="B30" t="s">
        <v>32</v>
      </c>
      <c r="C30" s="4">
        <v>47208495</v>
      </c>
      <c r="D30" s="4">
        <v>36113760</v>
      </c>
      <c r="E30" s="4">
        <v>11094735</v>
      </c>
      <c r="F30" s="4">
        <v>8386507</v>
      </c>
      <c r="G30" s="4">
        <v>2708228</v>
      </c>
      <c r="H30" s="4">
        <v>44848070</v>
      </c>
      <c r="I30" s="4">
        <v>43787349</v>
      </c>
      <c r="J30" s="4" t="s">
        <v>3</v>
      </c>
      <c r="K30">
        <v>53</v>
      </c>
    </row>
    <row r="31" spans="1:11" x14ac:dyDescent="0.35">
      <c r="A31" t="s">
        <v>42</v>
      </c>
      <c r="B31" t="s">
        <v>33</v>
      </c>
      <c r="C31" s="4">
        <v>16968644</v>
      </c>
      <c r="D31" s="4">
        <v>9759124</v>
      </c>
      <c r="E31" s="4">
        <v>7209520</v>
      </c>
      <c r="F31" s="4">
        <v>4640733</v>
      </c>
      <c r="G31" s="4">
        <v>2568787</v>
      </c>
      <c r="H31" s="4">
        <v>13235542</v>
      </c>
      <c r="I31" s="4">
        <v>14406446</v>
      </c>
      <c r="J31" s="4">
        <v>66334193</v>
      </c>
      <c r="K31">
        <v>29</v>
      </c>
    </row>
    <row r="32" spans="1:11" x14ac:dyDescent="0.35">
      <c r="A32" t="s">
        <v>43</v>
      </c>
      <c r="B32" t="s">
        <v>31</v>
      </c>
      <c r="C32" s="4">
        <v>27220297</v>
      </c>
      <c r="D32" s="4">
        <v>17827646</v>
      </c>
      <c r="E32" s="4">
        <v>9392651</v>
      </c>
      <c r="F32" s="4">
        <v>7594355</v>
      </c>
      <c r="G32" s="4">
        <v>1798296</v>
      </c>
      <c r="H32" s="4">
        <v>25859282</v>
      </c>
      <c r="I32" s="4">
        <v>25112426</v>
      </c>
      <c r="J32" s="4" t="s">
        <v>3</v>
      </c>
      <c r="K32">
        <v>39</v>
      </c>
    </row>
    <row r="33" spans="1:11" x14ac:dyDescent="0.35">
      <c r="A33" t="s">
        <v>43</v>
      </c>
      <c r="B33" t="s">
        <v>32</v>
      </c>
      <c r="C33" s="4">
        <v>45379256</v>
      </c>
      <c r="D33" s="4">
        <v>36024404</v>
      </c>
      <c r="E33" s="4">
        <v>9354852</v>
      </c>
      <c r="F33" s="4">
        <v>8443126</v>
      </c>
      <c r="G33" s="4">
        <v>911726</v>
      </c>
      <c r="H33" s="4">
        <v>43110293</v>
      </c>
      <c r="I33" s="4">
        <v>45302584</v>
      </c>
      <c r="J33" s="4" t="s">
        <v>3</v>
      </c>
      <c r="K33">
        <v>53</v>
      </c>
    </row>
    <row r="34" spans="1:11" x14ac:dyDescent="0.35">
      <c r="A34" t="s">
        <v>43</v>
      </c>
      <c r="B34" t="s">
        <v>33</v>
      </c>
      <c r="C34" s="4">
        <v>17163695</v>
      </c>
      <c r="D34" s="4">
        <v>9789735</v>
      </c>
      <c r="E34" s="4">
        <v>7373960</v>
      </c>
      <c r="F34" s="4">
        <v>4806793</v>
      </c>
      <c r="G34" s="4">
        <v>2567167</v>
      </c>
      <c r="H34" s="4">
        <v>13387682</v>
      </c>
      <c r="I34" s="4">
        <v>14324560</v>
      </c>
      <c r="J34" s="4">
        <v>63951880</v>
      </c>
      <c r="K34">
        <v>29</v>
      </c>
    </row>
    <row r="35" spans="1:11" x14ac:dyDescent="0.35">
      <c r="A35" t="s">
        <v>44</v>
      </c>
      <c r="B35" t="s">
        <v>31</v>
      </c>
      <c r="C35" s="4">
        <v>27396506</v>
      </c>
      <c r="D35" s="4">
        <v>17106097</v>
      </c>
      <c r="E35" s="4">
        <v>10290409</v>
      </c>
      <c r="F35" s="4">
        <v>7611480</v>
      </c>
      <c r="G35" s="4">
        <v>2678929</v>
      </c>
      <c r="H35" s="4">
        <v>26026681</v>
      </c>
      <c r="I35" s="4">
        <v>24812712</v>
      </c>
      <c r="J35" s="4" t="s">
        <v>3</v>
      </c>
      <c r="K35">
        <v>39</v>
      </c>
    </row>
    <row r="36" spans="1:11" x14ac:dyDescent="0.35">
      <c r="A36" t="s">
        <v>44</v>
      </c>
      <c r="B36" t="s">
        <v>32</v>
      </c>
      <c r="C36" s="4">
        <v>45399334</v>
      </c>
      <c r="D36" s="4">
        <v>35243004</v>
      </c>
      <c r="E36" s="4">
        <v>10156330</v>
      </c>
      <c r="F36" s="4">
        <v>8494283</v>
      </c>
      <c r="G36" s="4">
        <v>1662047</v>
      </c>
      <c r="H36" s="4">
        <v>43129367</v>
      </c>
      <c r="I36" s="4">
        <v>44217954</v>
      </c>
      <c r="J36" s="4" t="s">
        <v>3</v>
      </c>
      <c r="K36">
        <v>53</v>
      </c>
    </row>
    <row r="37" spans="1:11" x14ac:dyDescent="0.35">
      <c r="A37" t="s">
        <v>44</v>
      </c>
      <c r="B37" t="s">
        <v>33</v>
      </c>
      <c r="C37" s="4">
        <v>16945225</v>
      </c>
      <c r="D37" s="4">
        <v>10123363</v>
      </c>
      <c r="E37" s="4">
        <v>6821862</v>
      </c>
      <c r="F37" s="4">
        <v>4697586</v>
      </c>
      <c r="G37" s="4">
        <v>2124276</v>
      </c>
      <c r="H37" s="4">
        <v>13217276</v>
      </c>
      <c r="I37" s="4">
        <v>14571877</v>
      </c>
      <c r="J37" s="4">
        <v>62722661</v>
      </c>
      <c r="K37">
        <v>29</v>
      </c>
    </row>
    <row r="38" spans="1:11" x14ac:dyDescent="0.35">
      <c r="A38" t="s">
        <v>45</v>
      </c>
      <c r="B38" t="s">
        <v>31</v>
      </c>
      <c r="C38" s="4">
        <v>26756739</v>
      </c>
      <c r="D38" s="4">
        <v>17619719</v>
      </c>
      <c r="E38" s="4">
        <v>9137020</v>
      </c>
      <c r="F38" s="4">
        <v>7860690</v>
      </c>
      <c r="G38" s="4">
        <v>1276330</v>
      </c>
      <c r="H38" s="4">
        <v>25418902</v>
      </c>
      <c r="I38" s="4">
        <v>25090917</v>
      </c>
      <c r="J38" s="4" t="s">
        <v>3</v>
      </c>
      <c r="K38">
        <v>40</v>
      </c>
    </row>
    <row r="39" spans="1:11" x14ac:dyDescent="0.35">
      <c r="A39" t="s">
        <v>45</v>
      </c>
      <c r="B39" t="s">
        <v>32</v>
      </c>
      <c r="C39" s="4">
        <v>47400919</v>
      </c>
      <c r="D39" s="4">
        <v>37015756</v>
      </c>
      <c r="E39" s="4">
        <v>10385163</v>
      </c>
      <c r="F39" s="4">
        <v>8441943</v>
      </c>
      <c r="G39" s="4">
        <v>1943220</v>
      </c>
      <c r="H39" s="4">
        <v>45030873</v>
      </c>
      <c r="I39" s="4">
        <v>45317404</v>
      </c>
      <c r="J39" s="4" t="s">
        <v>3</v>
      </c>
      <c r="K39">
        <v>54</v>
      </c>
    </row>
    <row r="40" spans="1:11" x14ac:dyDescent="0.35">
      <c r="A40" t="s">
        <v>45</v>
      </c>
      <c r="B40" t="s">
        <v>33</v>
      </c>
      <c r="C40" s="4">
        <v>17254809</v>
      </c>
      <c r="D40" s="4">
        <v>10012266</v>
      </c>
      <c r="E40" s="4">
        <v>7242543</v>
      </c>
      <c r="F40" s="4">
        <v>4928476</v>
      </c>
      <c r="G40" s="4">
        <v>2314067</v>
      </c>
      <c r="H40" s="4">
        <v>13458751</v>
      </c>
      <c r="I40" s="4">
        <v>14981529</v>
      </c>
      <c r="J40" s="4">
        <v>121241337</v>
      </c>
      <c r="K40">
        <v>30</v>
      </c>
    </row>
    <row r="41" spans="1:11" x14ac:dyDescent="0.35">
      <c r="A41" t="s">
        <v>46</v>
      </c>
      <c r="B41" t="s">
        <v>31</v>
      </c>
      <c r="C41" s="4">
        <v>28069750</v>
      </c>
      <c r="D41" s="4">
        <v>17486441</v>
      </c>
      <c r="E41" s="4">
        <v>10583309</v>
      </c>
      <c r="F41" s="4">
        <v>7846673</v>
      </c>
      <c r="G41" s="4">
        <v>2736636</v>
      </c>
      <c r="H41" s="4">
        <v>26666263</v>
      </c>
      <c r="I41" s="4">
        <v>25729685</v>
      </c>
      <c r="J41" s="4" t="s">
        <v>3</v>
      </c>
      <c r="K41">
        <v>40</v>
      </c>
    </row>
    <row r="42" spans="1:11" x14ac:dyDescent="0.35">
      <c r="A42" t="s">
        <v>46</v>
      </c>
      <c r="B42" t="s">
        <v>32</v>
      </c>
      <c r="C42" s="4">
        <v>47588014</v>
      </c>
      <c r="D42" s="4">
        <v>37420544</v>
      </c>
      <c r="E42" s="4">
        <v>10167470</v>
      </c>
      <c r="F42" s="4">
        <v>8824142</v>
      </c>
      <c r="G42" s="4">
        <v>1343328</v>
      </c>
      <c r="H42" s="4">
        <v>45208613</v>
      </c>
      <c r="I42" s="4">
        <v>46129883</v>
      </c>
      <c r="J42" s="4" t="s">
        <v>3</v>
      </c>
      <c r="K42">
        <v>54</v>
      </c>
    </row>
    <row r="43" spans="1:11" x14ac:dyDescent="0.35">
      <c r="A43" t="s">
        <v>46</v>
      </c>
      <c r="B43" t="s">
        <v>33</v>
      </c>
      <c r="C43" s="4">
        <v>18193818</v>
      </c>
      <c r="D43" s="4">
        <v>10565223</v>
      </c>
      <c r="E43" s="4">
        <v>7628595</v>
      </c>
      <c r="F43" s="4">
        <v>4784028</v>
      </c>
      <c r="G43" s="4">
        <v>2844567</v>
      </c>
      <c r="H43" s="4">
        <v>14191178</v>
      </c>
      <c r="I43" s="4">
        <v>15316138</v>
      </c>
      <c r="J43" s="4">
        <v>120131685</v>
      </c>
      <c r="K43">
        <v>30</v>
      </c>
    </row>
    <row r="44" spans="1:11" x14ac:dyDescent="0.35">
      <c r="A44" t="s">
        <v>47</v>
      </c>
      <c r="B44" t="s">
        <v>31</v>
      </c>
      <c r="C44" s="4">
        <v>29609588</v>
      </c>
      <c r="D44" s="4">
        <v>18552783</v>
      </c>
      <c r="E44" s="4">
        <v>11056805</v>
      </c>
      <c r="F44" s="4">
        <v>8010158</v>
      </c>
      <c r="G44" s="4">
        <v>3046647</v>
      </c>
      <c r="H44" s="4">
        <v>28129109</v>
      </c>
      <c r="I44" s="4">
        <v>26639061</v>
      </c>
      <c r="J44" s="4" t="s">
        <v>3</v>
      </c>
      <c r="K44">
        <v>40</v>
      </c>
    </row>
    <row r="45" spans="1:11" x14ac:dyDescent="0.35">
      <c r="A45" t="s">
        <v>47</v>
      </c>
      <c r="B45" t="s">
        <v>32</v>
      </c>
      <c r="C45" s="4">
        <v>50208959</v>
      </c>
      <c r="D45" s="4">
        <v>40042160</v>
      </c>
      <c r="E45" s="4">
        <v>10166799</v>
      </c>
      <c r="F45" s="4">
        <v>8829450</v>
      </c>
      <c r="G45" s="4">
        <v>1337349</v>
      </c>
      <c r="H45" s="4">
        <v>47698511</v>
      </c>
      <c r="I45" s="4">
        <v>48501157</v>
      </c>
      <c r="J45" s="4" t="s">
        <v>3</v>
      </c>
      <c r="K45">
        <v>54</v>
      </c>
    </row>
    <row r="46" spans="1:11" x14ac:dyDescent="0.35">
      <c r="A46" t="s">
        <v>47</v>
      </c>
      <c r="B46" t="s">
        <v>33</v>
      </c>
      <c r="C46" s="4">
        <v>19544440</v>
      </c>
      <c r="D46" s="4">
        <v>11409337</v>
      </c>
      <c r="E46" s="4">
        <v>8135103</v>
      </c>
      <c r="F46" s="4">
        <v>5081339</v>
      </c>
      <c r="G46" s="4">
        <v>3053764</v>
      </c>
      <c r="H46" s="4">
        <v>15244663</v>
      </c>
      <c r="I46" s="4">
        <v>16559729</v>
      </c>
      <c r="J46" s="4">
        <v>119504021</v>
      </c>
      <c r="K46">
        <v>30</v>
      </c>
    </row>
    <row r="47" spans="1:11" x14ac:dyDescent="0.35">
      <c r="A47" t="s">
        <v>48</v>
      </c>
      <c r="B47" t="s">
        <v>31</v>
      </c>
      <c r="C47" s="4">
        <v>32348708</v>
      </c>
      <c r="D47" s="4">
        <v>20514807</v>
      </c>
      <c r="E47" s="4">
        <v>11833901</v>
      </c>
      <c r="F47" s="4">
        <v>8049030</v>
      </c>
      <c r="G47" s="4">
        <v>3784871</v>
      </c>
      <c r="H47" s="4">
        <v>30731273</v>
      </c>
      <c r="I47" s="4">
        <v>28105316</v>
      </c>
      <c r="J47" s="4" t="s">
        <v>3</v>
      </c>
      <c r="K47">
        <v>40</v>
      </c>
    </row>
    <row r="48" spans="1:11" x14ac:dyDescent="0.35">
      <c r="A48" t="s">
        <v>48</v>
      </c>
      <c r="B48" t="s">
        <v>32</v>
      </c>
      <c r="C48" s="4">
        <v>55634347</v>
      </c>
      <c r="D48" s="4">
        <v>44204470</v>
      </c>
      <c r="E48" s="4">
        <v>11429877</v>
      </c>
      <c r="F48" s="4">
        <v>8843500</v>
      </c>
      <c r="G48" s="4">
        <v>2586377</v>
      </c>
      <c r="H48" s="4">
        <v>52852630</v>
      </c>
      <c r="I48" s="4">
        <v>53503885</v>
      </c>
      <c r="J48" s="4" t="s">
        <v>3</v>
      </c>
      <c r="K48">
        <v>54</v>
      </c>
    </row>
    <row r="49" spans="1:11" x14ac:dyDescent="0.35">
      <c r="A49" t="s">
        <v>48</v>
      </c>
      <c r="B49" t="s">
        <v>33</v>
      </c>
      <c r="C49" s="4">
        <v>20159777</v>
      </c>
      <c r="D49" s="4">
        <v>11797252</v>
      </c>
      <c r="E49" s="4">
        <v>8362525</v>
      </c>
      <c r="F49" s="4">
        <v>5117511</v>
      </c>
      <c r="G49" s="4">
        <v>3245014</v>
      </c>
      <c r="H49" s="4">
        <v>15724626</v>
      </c>
      <c r="I49" s="4">
        <v>17228651</v>
      </c>
      <c r="J49" s="4">
        <v>119974698</v>
      </c>
      <c r="K49">
        <v>30</v>
      </c>
    </row>
    <row r="50" spans="1:11" x14ac:dyDescent="0.35">
      <c r="A50" t="s">
        <v>49</v>
      </c>
      <c r="B50" t="s">
        <v>31</v>
      </c>
      <c r="C50" s="4">
        <v>34105913</v>
      </c>
      <c r="D50" s="4">
        <v>21424384</v>
      </c>
      <c r="E50" s="4">
        <v>12681529</v>
      </c>
      <c r="F50" s="4">
        <v>8313910</v>
      </c>
      <c r="G50" s="4">
        <v>4367619</v>
      </c>
      <c r="H50" s="4">
        <v>32400617</v>
      </c>
      <c r="I50" s="4">
        <v>29177581</v>
      </c>
      <c r="J50" s="4" t="s">
        <v>3</v>
      </c>
      <c r="K50">
        <v>40</v>
      </c>
    </row>
    <row r="51" spans="1:11" x14ac:dyDescent="0.35">
      <c r="A51" t="s">
        <v>49</v>
      </c>
      <c r="B51" t="s">
        <v>32</v>
      </c>
      <c r="C51" s="4">
        <v>60188833</v>
      </c>
      <c r="D51" s="4">
        <v>46805150</v>
      </c>
      <c r="E51" s="4">
        <v>13383683</v>
      </c>
      <c r="F51" s="4">
        <v>8885345</v>
      </c>
      <c r="G51" s="4">
        <v>4498338</v>
      </c>
      <c r="H51" s="4">
        <v>57179391</v>
      </c>
      <c r="I51" s="4">
        <v>55645509</v>
      </c>
      <c r="J51" s="4" t="s">
        <v>3</v>
      </c>
      <c r="K51">
        <v>54</v>
      </c>
    </row>
    <row r="52" spans="1:11" x14ac:dyDescent="0.35">
      <c r="A52" t="s">
        <v>49</v>
      </c>
      <c r="B52" t="s">
        <v>33</v>
      </c>
      <c r="C52" s="4">
        <v>21890564</v>
      </c>
      <c r="D52" s="4">
        <v>13172373</v>
      </c>
      <c r="E52" s="4">
        <v>8718191</v>
      </c>
      <c r="F52" s="4">
        <v>4999570</v>
      </c>
      <c r="G52" s="4">
        <v>3718621</v>
      </c>
      <c r="H52" s="4">
        <v>17074640</v>
      </c>
      <c r="I52" s="4">
        <v>17950280</v>
      </c>
      <c r="J52" s="4">
        <v>123855976</v>
      </c>
      <c r="K52">
        <v>30</v>
      </c>
    </row>
    <row r="53" spans="1:11" x14ac:dyDescent="0.35">
      <c r="A53" t="s">
        <v>50</v>
      </c>
      <c r="B53" t="s">
        <v>31</v>
      </c>
      <c r="C53" s="4">
        <v>36161236</v>
      </c>
      <c r="D53" s="4">
        <v>23709917</v>
      </c>
      <c r="E53" s="4">
        <v>12451319</v>
      </c>
      <c r="F53" s="4">
        <v>8337531</v>
      </c>
      <c r="G53" s="4">
        <v>4113788</v>
      </c>
      <c r="H53" s="4">
        <v>34353174</v>
      </c>
      <c r="I53" s="4">
        <v>31948920</v>
      </c>
      <c r="J53" s="4" t="s">
        <v>3</v>
      </c>
      <c r="K53">
        <v>40</v>
      </c>
    </row>
    <row r="54" spans="1:11" x14ac:dyDescent="0.35">
      <c r="A54" t="s">
        <v>50</v>
      </c>
      <c r="B54" t="s">
        <v>32</v>
      </c>
      <c r="C54" s="4">
        <v>61244779</v>
      </c>
      <c r="D54" s="4">
        <v>48181667</v>
      </c>
      <c r="E54" s="4">
        <v>13063112</v>
      </c>
      <c r="F54" s="4">
        <v>9073735</v>
      </c>
      <c r="G54" s="4">
        <v>3989377</v>
      </c>
      <c r="H54" s="4">
        <v>58182540</v>
      </c>
      <c r="I54" s="4">
        <v>56953872</v>
      </c>
      <c r="J54" s="4" t="s">
        <v>3</v>
      </c>
      <c r="K54">
        <v>54</v>
      </c>
    </row>
    <row r="55" spans="1:11" x14ac:dyDescent="0.35">
      <c r="A55" t="s">
        <v>50</v>
      </c>
      <c r="B55" t="s">
        <v>33</v>
      </c>
      <c r="C55" s="4">
        <v>23152943</v>
      </c>
      <c r="D55" s="4">
        <v>13703143</v>
      </c>
      <c r="E55" s="4">
        <v>9449800</v>
      </c>
      <c r="F55" s="4">
        <v>5125360</v>
      </c>
      <c r="G55" s="4">
        <v>4324440</v>
      </c>
      <c r="H55" s="4">
        <v>18059296</v>
      </c>
      <c r="I55" s="4">
        <v>18599292</v>
      </c>
      <c r="J55" s="4">
        <v>126948902</v>
      </c>
      <c r="K55">
        <v>30</v>
      </c>
    </row>
    <row r="56" spans="1:11" x14ac:dyDescent="0.35">
      <c r="A56" t="s">
        <v>51</v>
      </c>
      <c r="B56" t="s">
        <v>31</v>
      </c>
      <c r="C56" s="4">
        <v>37927992</v>
      </c>
      <c r="D56" s="4">
        <v>24461880</v>
      </c>
      <c r="E56" s="4">
        <v>13466112</v>
      </c>
      <c r="F56" s="4">
        <v>8234936</v>
      </c>
      <c r="G56" s="4">
        <v>5231176</v>
      </c>
      <c r="H56" s="4">
        <v>36031592</v>
      </c>
      <c r="I56" s="4">
        <v>32276135</v>
      </c>
      <c r="J56" s="4" t="s">
        <v>3</v>
      </c>
      <c r="K56">
        <v>41</v>
      </c>
    </row>
    <row r="57" spans="1:11" x14ac:dyDescent="0.35">
      <c r="A57" t="s">
        <v>51</v>
      </c>
      <c r="B57" t="s">
        <v>32</v>
      </c>
      <c r="C57" s="4">
        <v>65163965</v>
      </c>
      <c r="D57" s="4">
        <v>51551139</v>
      </c>
      <c r="E57" s="4">
        <v>13612826</v>
      </c>
      <c r="F57" s="4">
        <v>9330714</v>
      </c>
      <c r="G57" s="4">
        <v>4282112</v>
      </c>
      <c r="H57" s="4">
        <v>61905767</v>
      </c>
      <c r="I57" s="4">
        <v>59854185</v>
      </c>
      <c r="J57" s="4" t="s">
        <v>3</v>
      </c>
      <c r="K57">
        <v>55</v>
      </c>
    </row>
    <row r="58" spans="1:11" x14ac:dyDescent="0.35">
      <c r="A58" t="s">
        <v>51</v>
      </c>
      <c r="B58" t="s">
        <v>33</v>
      </c>
      <c r="C58" s="4">
        <v>23501423</v>
      </c>
      <c r="D58" s="4">
        <v>14154138</v>
      </c>
      <c r="E58" s="4">
        <v>9347285</v>
      </c>
      <c r="F58" s="4">
        <v>5127878</v>
      </c>
      <c r="G58" s="4">
        <v>4219407</v>
      </c>
      <c r="H58" s="4">
        <v>18331110</v>
      </c>
      <c r="I58" s="4">
        <v>19450081</v>
      </c>
      <c r="J58" s="4">
        <v>107636970</v>
      </c>
      <c r="K58">
        <v>31</v>
      </c>
    </row>
    <row r="59" spans="1:11" x14ac:dyDescent="0.35">
      <c r="A59" t="s">
        <v>52</v>
      </c>
      <c r="B59" t="s">
        <v>31</v>
      </c>
      <c r="C59" s="4">
        <v>36894888</v>
      </c>
      <c r="D59" s="4">
        <v>24115652</v>
      </c>
      <c r="E59" s="4">
        <v>12779236</v>
      </c>
      <c r="F59" s="4">
        <v>8523525</v>
      </c>
      <c r="G59" s="4">
        <v>4255711</v>
      </c>
      <c r="H59" s="4">
        <v>35050144</v>
      </c>
      <c r="I59" s="4">
        <v>32171596</v>
      </c>
      <c r="J59" s="4" t="s">
        <v>3</v>
      </c>
      <c r="K59">
        <v>41</v>
      </c>
    </row>
    <row r="60" spans="1:11" x14ac:dyDescent="0.35">
      <c r="A60" t="s">
        <v>52</v>
      </c>
      <c r="B60" t="s">
        <v>32</v>
      </c>
      <c r="C60" s="4">
        <v>63620585</v>
      </c>
      <c r="D60" s="4">
        <v>49142792</v>
      </c>
      <c r="E60" s="4">
        <v>14477793</v>
      </c>
      <c r="F60" s="4">
        <v>9229562</v>
      </c>
      <c r="G60" s="4">
        <v>5248231</v>
      </c>
      <c r="H60" s="4">
        <v>60439556</v>
      </c>
      <c r="I60" s="4">
        <v>58236977</v>
      </c>
      <c r="J60" s="4" t="s">
        <v>3</v>
      </c>
      <c r="K60">
        <v>55</v>
      </c>
    </row>
    <row r="61" spans="1:11" x14ac:dyDescent="0.35">
      <c r="A61" t="s">
        <v>52</v>
      </c>
      <c r="B61" t="s">
        <v>33</v>
      </c>
      <c r="C61" s="4">
        <v>23407264</v>
      </c>
      <c r="D61" s="4">
        <v>13986063</v>
      </c>
      <c r="E61" s="4">
        <v>9421201</v>
      </c>
      <c r="F61" s="4">
        <v>5350999</v>
      </c>
      <c r="G61" s="4">
        <v>4070202</v>
      </c>
      <c r="H61" s="4">
        <v>18257666</v>
      </c>
      <c r="I61" s="4">
        <v>19611783</v>
      </c>
      <c r="J61" s="4">
        <v>111363980</v>
      </c>
      <c r="K61">
        <v>31</v>
      </c>
    </row>
    <row r="62" spans="1:11" x14ac:dyDescent="0.35">
      <c r="A62" t="s">
        <v>53</v>
      </c>
      <c r="B62" t="s">
        <v>31</v>
      </c>
      <c r="C62" s="4">
        <v>36634305</v>
      </c>
      <c r="D62" s="4">
        <v>24158872</v>
      </c>
      <c r="E62" s="4">
        <v>12475433</v>
      </c>
      <c r="F62" s="4">
        <v>8788182</v>
      </c>
      <c r="G62" s="4">
        <v>3687251</v>
      </c>
      <c r="H62" s="4">
        <v>34802590</v>
      </c>
      <c r="I62" s="4">
        <v>33002099</v>
      </c>
      <c r="J62" s="4" t="s">
        <v>3</v>
      </c>
      <c r="K62">
        <v>41</v>
      </c>
    </row>
    <row r="63" spans="1:11" x14ac:dyDescent="0.35">
      <c r="A63" t="s">
        <v>53</v>
      </c>
      <c r="B63" t="s">
        <v>32</v>
      </c>
      <c r="C63" s="4">
        <v>63394405</v>
      </c>
      <c r="D63" s="4">
        <v>50145559</v>
      </c>
      <c r="E63" s="4">
        <v>13248846</v>
      </c>
      <c r="F63" s="4">
        <v>9622327</v>
      </c>
      <c r="G63" s="4">
        <v>3626519</v>
      </c>
      <c r="H63" s="4">
        <v>60224685</v>
      </c>
      <c r="I63" s="4">
        <v>60045504</v>
      </c>
      <c r="J63" s="4" t="s">
        <v>3</v>
      </c>
      <c r="K63">
        <v>55</v>
      </c>
    </row>
    <row r="64" spans="1:11" x14ac:dyDescent="0.35">
      <c r="A64" t="s">
        <v>53</v>
      </c>
      <c r="B64" t="s">
        <v>33</v>
      </c>
      <c r="C64" s="4">
        <v>23885576</v>
      </c>
      <c r="D64" s="4">
        <v>13871579</v>
      </c>
      <c r="E64" s="4">
        <v>10013997</v>
      </c>
      <c r="F64" s="4">
        <v>5426564</v>
      </c>
      <c r="G64" s="4">
        <v>4587433</v>
      </c>
      <c r="H64" s="4">
        <v>18630749</v>
      </c>
      <c r="I64" s="4">
        <v>19137055</v>
      </c>
      <c r="J64" s="4">
        <v>112837346</v>
      </c>
      <c r="K64">
        <v>31</v>
      </c>
    </row>
    <row r="65" spans="1:11" x14ac:dyDescent="0.35">
      <c r="A65" t="s">
        <v>54</v>
      </c>
      <c r="B65" t="s">
        <v>31</v>
      </c>
      <c r="C65" s="4">
        <v>37108431</v>
      </c>
      <c r="D65" s="4">
        <v>23470073</v>
      </c>
      <c r="E65" s="4">
        <v>13638358</v>
      </c>
      <c r="F65" s="4">
        <v>8745220</v>
      </c>
      <c r="G65" s="4">
        <v>4893138</v>
      </c>
      <c r="H65" s="4">
        <v>35253009</v>
      </c>
      <c r="I65" s="4">
        <v>32819794</v>
      </c>
      <c r="J65" s="4" t="s">
        <v>3</v>
      </c>
      <c r="K65">
        <v>41</v>
      </c>
    </row>
    <row r="66" spans="1:11" x14ac:dyDescent="0.35">
      <c r="A66" t="s">
        <v>54</v>
      </c>
      <c r="B66" t="s">
        <v>32</v>
      </c>
      <c r="C66" s="4">
        <v>62054585</v>
      </c>
      <c r="D66" s="4">
        <v>47435548</v>
      </c>
      <c r="E66" s="4">
        <v>14619037</v>
      </c>
      <c r="F66" s="4">
        <v>9686883</v>
      </c>
      <c r="G66" s="4">
        <v>4932154</v>
      </c>
      <c r="H66" s="4">
        <v>58951856</v>
      </c>
      <c r="I66" s="4">
        <v>56416013</v>
      </c>
      <c r="J66" s="4" t="s">
        <v>3</v>
      </c>
      <c r="K66">
        <v>55</v>
      </c>
    </row>
    <row r="67" spans="1:11" x14ac:dyDescent="0.35">
      <c r="A67" t="s">
        <v>54</v>
      </c>
      <c r="B67" t="s">
        <v>33</v>
      </c>
      <c r="C67" s="4">
        <v>22837351</v>
      </c>
      <c r="D67" s="4">
        <v>13697299</v>
      </c>
      <c r="E67" s="4">
        <v>9140052</v>
      </c>
      <c r="F67" s="4">
        <v>5348270</v>
      </c>
      <c r="G67" s="4">
        <v>3791782</v>
      </c>
      <c r="H67" s="4">
        <v>17813134</v>
      </c>
      <c r="I67" s="4">
        <v>18685617</v>
      </c>
      <c r="J67" s="4">
        <v>116933921</v>
      </c>
      <c r="K67">
        <v>31</v>
      </c>
    </row>
    <row r="68" spans="1:11" x14ac:dyDescent="0.35">
      <c r="A68" t="s">
        <v>55</v>
      </c>
      <c r="B68" t="s">
        <v>31</v>
      </c>
      <c r="C68" s="4">
        <v>36268803</v>
      </c>
      <c r="D68" s="4">
        <v>23343323</v>
      </c>
      <c r="E68" s="4">
        <v>12925480</v>
      </c>
      <c r="F68" s="4">
        <v>8636658</v>
      </c>
      <c r="G68" s="4">
        <v>4288822</v>
      </c>
      <c r="H68" s="4">
        <v>34455363</v>
      </c>
      <c r="I68" s="4">
        <v>31990576</v>
      </c>
      <c r="J68" s="4" t="s">
        <v>3</v>
      </c>
      <c r="K68">
        <v>41</v>
      </c>
    </row>
    <row r="69" spans="1:11" x14ac:dyDescent="0.35">
      <c r="A69" t="s">
        <v>55</v>
      </c>
      <c r="B69" t="s">
        <v>32</v>
      </c>
      <c r="C69" s="4">
        <v>61052126</v>
      </c>
      <c r="D69" s="4">
        <v>47054642</v>
      </c>
      <c r="E69" s="4">
        <v>13997484</v>
      </c>
      <c r="F69" s="4">
        <v>9782269</v>
      </c>
      <c r="G69" s="4">
        <v>4215215</v>
      </c>
      <c r="H69" s="4">
        <v>57999520</v>
      </c>
      <c r="I69" s="4">
        <v>56230155</v>
      </c>
      <c r="J69" s="4" t="s">
        <v>3</v>
      </c>
      <c r="K69">
        <v>55</v>
      </c>
    </row>
    <row r="70" spans="1:11" x14ac:dyDescent="0.35">
      <c r="A70" t="s">
        <v>55</v>
      </c>
      <c r="B70" t="s">
        <v>33</v>
      </c>
      <c r="C70" s="4">
        <v>22738165</v>
      </c>
      <c r="D70" s="4">
        <v>13055182</v>
      </c>
      <c r="E70" s="4">
        <v>9682983</v>
      </c>
      <c r="F70" s="4">
        <v>5332854</v>
      </c>
      <c r="G70" s="4">
        <v>4350129</v>
      </c>
      <c r="H70" s="4">
        <v>17735769</v>
      </c>
      <c r="I70" s="4">
        <v>18267631</v>
      </c>
      <c r="J70" s="4">
        <v>120636211</v>
      </c>
      <c r="K70">
        <v>31</v>
      </c>
    </row>
    <row r="71" spans="1:11" x14ac:dyDescent="0.35">
      <c r="A71" t="s">
        <v>56</v>
      </c>
      <c r="B71" t="s">
        <v>31</v>
      </c>
      <c r="C71" s="4">
        <v>37215707</v>
      </c>
      <c r="D71" s="4">
        <v>23781659</v>
      </c>
      <c r="E71" s="4">
        <v>13434048</v>
      </c>
      <c r="F71" s="4">
        <v>8950115</v>
      </c>
      <c r="G71" s="4">
        <v>4483933</v>
      </c>
      <c r="H71" s="4">
        <v>35354922</v>
      </c>
      <c r="I71" s="4">
        <v>32841883</v>
      </c>
      <c r="J71" s="4" t="s">
        <v>3</v>
      </c>
      <c r="K71">
        <v>41</v>
      </c>
    </row>
    <row r="72" spans="1:11" x14ac:dyDescent="0.35">
      <c r="A72" t="s">
        <v>56</v>
      </c>
      <c r="B72" t="s">
        <v>32</v>
      </c>
      <c r="C72" s="4">
        <v>63018814</v>
      </c>
      <c r="D72" s="4">
        <v>49841961</v>
      </c>
      <c r="E72" s="4">
        <v>13176853</v>
      </c>
      <c r="F72" s="4">
        <v>9962934</v>
      </c>
      <c r="G72" s="4">
        <v>3213919</v>
      </c>
      <c r="H72" s="4">
        <v>59867873</v>
      </c>
      <c r="I72" s="4">
        <v>58779370</v>
      </c>
      <c r="J72" s="4" t="s">
        <v>3</v>
      </c>
      <c r="K72">
        <v>55</v>
      </c>
    </row>
    <row r="73" spans="1:11" x14ac:dyDescent="0.35">
      <c r="A73" t="s">
        <v>56</v>
      </c>
      <c r="B73" t="s">
        <v>33</v>
      </c>
      <c r="C73" s="4">
        <v>22844517</v>
      </c>
      <c r="D73" s="4">
        <v>13363196</v>
      </c>
      <c r="E73" s="4">
        <v>9481321</v>
      </c>
      <c r="F73" s="4">
        <v>5524528</v>
      </c>
      <c r="G73" s="4">
        <v>3956793</v>
      </c>
      <c r="H73" s="4">
        <v>17818723</v>
      </c>
      <c r="I73" s="4">
        <v>19066365</v>
      </c>
      <c r="J73" s="4">
        <v>122990111</v>
      </c>
      <c r="K73">
        <v>31</v>
      </c>
    </row>
  </sheetData>
  <autoFilter ref="A1:K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A1:H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3" width="16" customWidth="1"/>
    <col min="4" max="5" width="14" customWidth="1"/>
    <col min="6" max="6" width="18" style="4" customWidth="1"/>
    <col min="7" max="7" width="16" customWidth="1"/>
    <col min="8" max="8" width="14" customWidth="1"/>
  </cols>
  <sheetData>
    <row r="1" spans="1:8" s="5" customFormat="1" x14ac:dyDescent="0.35">
      <c r="A1" s="5" t="s">
        <v>57</v>
      </c>
      <c r="B1" s="5" t="s">
        <v>20</v>
      </c>
      <c r="C1" s="5" t="s">
        <v>58</v>
      </c>
      <c r="D1" s="5" t="s">
        <v>59</v>
      </c>
      <c r="E1" s="5" t="s">
        <v>60</v>
      </c>
      <c r="F1" s="6" t="s">
        <v>61</v>
      </c>
      <c r="G1" s="5" t="s">
        <v>62</v>
      </c>
      <c r="H1" s="5" t="s">
        <v>63</v>
      </c>
    </row>
    <row r="2" spans="1:8" x14ac:dyDescent="0.35">
      <c r="A2" t="s">
        <v>64</v>
      </c>
      <c r="B2" t="s">
        <v>33</v>
      </c>
      <c r="C2" t="s">
        <v>65</v>
      </c>
      <c r="D2" t="s">
        <v>66</v>
      </c>
      <c r="E2" t="s">
        <v>67</v>
      </c>
      <c r="F2" s="4">
        <v>4200000</v>
      </c>
      <c r="G2">
        <v>38</v>
      </c>
      <c r="H2" t="s">
        <v>68</v>
      </c>
    </row>
    <row r="3" spans="1:8" x14ac:dyDescent="0.35">
      <c r="A3" t="s">
        <v>64</v>
      </c>
      <c r="B3" t="s">
        <v>33</v>
      </c>
      <c r="C3" t="s">
        <v>69</v>
      </c>
      <c r="D3" t="s">
        <v>70</v>
      </c>
      <c r="E3" t="s">
        <v>71</v>
      </c>
      <c r="F3" s="4">
        <v>4200000</v>
      </c>
      <c r="G3">
        <v>49</v>
      </c>
      <c r="H3" t="s">
        <v>68</v>
      </c>
    </row>
    <row r="4" spans="1:8" x14ac:dyDescent="0.35">
      <c r="A4" t="s">
        <v>72</v>
      </c>
      <c r="B4" t="s">
        <v>33</v>
      </c>
      <c r="C4" t="s">
        <v>73</v>
      </c>
      <c r="D4" t="s">
        <v>74</v>
      </c>
      <c r="E4" t="s">
        <v>75</v>
      </c>
      <c r="F4" s="4">
        <v>3100000</v>
      </c>
      <c r="G4">
        <v>80</v>
      </c>
      <c r="H4" t="s">
        <v>76</v>
      </c>
    </row>
    <row r="5" spans="1:8" x14ac:dyDescent="0.35">
      <c r="A5" t="s">
        <v>72</v>
      </c>
      <c r="B5" t="s">
        <v>33</v>
      </c>
      <c r="C5" t="s">
        <v>77</v>
      </c>
      <c r="D5" t="s">
        <v>78</v>
      </c>
      <c r="E5" t="s">
        <v>79</v>
      </c>
      <c r="F5" s="4">
        <v>3100000</v>
      </c>
      <c r="G5">
        <v>39</v>
      </c>
      <c r="H5" t="s">
        <v>68</v>
      </c>
    </row>
    <row r="6" spans="1:8" x14ac:dyDescent="0.35">
      <c r="A6" t="s">
        <v>80</v>
      </c>
      <c r="B6" t="s">
        <v>33</v>
      </c>
      <c r="C6" t="s">
        <v>81</v>
      </c>
      <c r="D6" t="s">
        <v>66</v>
      </c>
      <c r="E6" t="s">
        <v>67</v>
      </c>
      <c r="F6" s="4">
        <v>3800000</v>
      </c>
      <c r="G6">
        <v>38</v>
      </c>
      <c r="H6" t="s">
        <v>68</v>
      </c>
    </row>
    <row r="7" spans="1:8" x14ac:dyDescent="0.35">
      <c r="A7" t="s">
        <v>82</v>
      </c>
      <c r="B7" t="s">
        <v>33</v>
      </c>
      <c r="C7" t="s">
        <v>83</v>
      </c>
      <c r="D7" t="s">
        <v>84</v>
      </c>
      <c r="E7" t="s">
        <v>85</v>
      </c>
      <c r="F7" s="4">
        <v>1200000</v>
      </c>
      <c r="G7">
        <v>28</v>
      </c>
      <c r="H7" t="s">
        <v>86</v>
      </c>
    </row>
    <row r="8" spans="1:8" x14ac:dyDescent="0.35">
      <c r="A8" t="s">
        <v>82</v>
      </c>
      <c r="B8" t="s">
        <v>33</v>
      </c>
      <c r="C8" t="s">
        <v>87</v>
      </c>
      <c r="D8" t="s">
        <v>88</v>
      </c>
      <c r="E8" t="s">
        <v>89</v>
      </c>
      <c r="F8" s="4">
        <v>1200000</v>
      </c>
      <c r="G8">
        <v>32</v>
      </c>
      <c r="H8" t="s">
        <v>68</v>
      </c>
    </row>
    <row r="9" spans="1:8" x14ac:dyDescent="0.35">
      <c r="A9" t="s">
        <v>90</v>
      </c>
      <c r="B9" t="s">
        <v>33</v>
      </c>
      <c r="C9" t="s">
        <v>91</v>
      </c>
      <c r="D9" t="s">
        <v>92</v>
      </c>
      <c r="E9" t="s">
        <v>93</v>
      </c>
      <c r="F9" s="4">
        <v>633333</v>
      </c>
      <c r="G9">
        <v>24</v>
      </c>
      <c r="H9" t="s">
        <v>86</v>
      </c>
    </row>
    <row r="10" spans="1:8" x14ac:dyDescent="0.35">
      <c r="A10" t="s">
        <v>90</v>
      </c>
      <c r="B10" t="s">
        <v>33</v>
      </c>
      <c r="C10" t="s">
        <v>94</v>
      </c>
      <c r="D10" t="s">
        <v>95</v>
      </c>
      <c r="E10" t="s">
        <v>96</v>
      </c>
      <c r="F10" s="4">
        <v>633333</v>
      </c>
      <c r="G10">
        <v>57</v>
      </c>
      <c r="H10" t="s">
        <v>68</v>
      </c>
    </row>
    <row r="11" spans="1:8" x14ac:dyDescent="0.35">
      <c r="A11" t="s">
        <v>90</v>
      </c>
      <c r="B11" t="s">
        <v>33</v>
      </c>
      <c r="C11" t="s">
        <v>97</v>
      </c>
      <c r="D11" t="s">
        <v>98</v>
      </c>
      <c r="E11" t="s">
        <v>84</v>
      </c>
      <c r="F11" s="4">
        <v>633333</v>
      </c>
      <c r="G11">
        <v>58</v>
      </c>
      <c r="H11" t="s">
        <v>68</v>
      </c>
    </row>
    <row r="12" spans="1:8" x14ac:dyDescent="0.35">
      <c r="A12" t="s">
        <v>99</v>
      </c>
      <c r="B12" t="s">
        <v>33</v>
      </c>
      <c r="C12" t="s">
        <v>100</v>
      </c>
      <c r="D12" t="s">
        <v>101</v>
      </c>
      <c r="E12" t="s">
        <v>102</v>
      </c>
      <c r="F12" s="4">
        <v>1400000</v>
      </c>
      <c r="G12">
        <v>0</v>
      </c>
      <c r="H12" t="s">
        <v>103</v>
      </c>
    </row>
    <row r="13" spans="1:8" x14ac:dyDescent="0.35">
      <c r="A13" t="s">
        <v>104</v>
      </c>
      <c r="B13" t="s">
        <v>31</v>
      </c>
      <c r="C13" t="s">
        <v>105</v>
      </c>
      <c r="D13" t="s">
        <v>106</v>
      </c>
      <c r="E13" t="s">
        <v>107</v>
      </c>
      <c r="F13" s="4">
        <v>2100000</v>
      </c>
      <c r="G13">
        <v>21</v>
      </c>
      <c r="H13" t="s">
        <v>86</v>
      </c>
    </row>
    <row r="14" spans="1:8" x14ac:dyDescent="0.35">
      <c r="A14" t="s">
        <v>108</v>
      </c>
      <c r="B14" t="s">
        <v>31</v>
      </c>
      <c r="C14" t="s">
        <v>109</v>
      </c>
      <c r="D14" t="s">
        <v>110</v>
      </c>
      <c r="E14" t="s">
        <v>111</v>
      </c>
      <c r="F14" s="4">
        <v>800000</v>
      </c>
      <c r="G14">
        <v>45</v>
      </c>
      <c r="H14" t="s">
        <v>68</v>
      </c>
    </row>
    <row r="15" spans="1:8" x14ac:dyDescent="0.35">
      <c r="A15" t="s">
        <v>108</v>
      </c>
      <c r="B15" t="s">
        <v>31</v>
      </c>
      <c r="C15" t="s">
        <v>112</v>
      </c>
      <c r="D15" t="s">
        <v>113</v>
      </c>
      <c r="E15" t="s">
        <v>114</v>
      </c>
      <c r="F15" s="4">
        <v>800000</v>
      </c>
      <c r="G15">
        <v>0</v>
      </c>
      <c r="H15" t="s">
        <v>103</v>
      </c>
    </row>
    <row r="16" spans="1:8" x14ac:dyDescent="0.35">
      <c r="A16" t="s">
        <v>115</v>
      </c>
      <c r="B16" t="s">
        <v>31</v>
      </c>
      <c r="C16" t="s">
        <v>116</v>
      </c>
      <c r="D16" t="s">
        <v>117</v>
      </c>
      <c r="E16" t="s">
        <v>118</v>
      </c>
      <c r="F16" s="4">
        <v>2100000</v>
      </c>
      <c r="G16">
        <v>44</v>
      </c>
      <c r="H16" t="s">
        <v>68</v>
      </c>
    </row>
    <row r="17" spans="1:8" x14ac:dyDescent="0.35">
      <c r="A17" t="s">
        <v>115</v>
      </c>
      <c r="B17" t="s">
        <v>31</v>
      </c>
      <c r="C17" t="s">
        <v>119</v>
      </c>
      <c r="D17" t="s">
        <v>92</v>
      </c>
      <c r="E17" t="s">
        <v>93</v>
      </c>
      <c r="F17" s="4">
        <v>2100000</v>
      </c>
      <c r="G17">
        <v>24</v>
      </c>
      <c r="H17" t="s">
        <v>86</v>
      </c>
    </row>
    <row r="18" spans="1:8" x14ac:dyDescent="0.35">
      <c r="A18" t="s">
        <v>120</v>
      </c>
      <c r="B18" t="s">
        <v>31</v>
      </c>
      <c r="C18" t="s">
        <v>121</v>
      </c>
      <c r="D18" t="s">
        <v>122</v>
      </c>
      <c r="E18" t="s">
        <v>117</v>
      </c>
      <c r="F18" s="4">
        <v>1033333</v>
      </c>
      <c r="G18">
        <v>74</v>
      </c>
      <c r="H18" t="s">
        <v>76</v>
      </c>
    </row>
    <row r="19" spans="1:8" x14ac:dyDescent="0.35">
      <c r="A19" t="s">
        <v>120</v>
      </c>
      <c r="B19" t="s">
        <v>31</v>
      </c>
      <c r="C19" t="s">
        <v>123</v>
      </c>
      <c r="D19" t="s">
        <v>124</v>
      </c>
      <c r="E19" t="s">
        <v>78</v>
      </c>
      <c r="F19" s="4">
        <v>1033333</v>
      </c>
      <c r="G19">
        <v>69</v>
      </c>
      <c r="H19" t="s">
        <v>76</v>
      </c>
    </row>
    <row r="20" spans="1:8" x14ac:dyDescent="0.35">
      <c r="A20" t="s">
        <v>120</v>
      </c>
      <c r="B20" t="s">
        <v>31</v>
      </c>
      <c r="C20" t="s">
        <v>125</v>
      </c>
      <c r="D20" t="s">
        <v>126</v>
      </c>
      <c r="E20" t="s">
        <v>127</v>
      </c>
      <c r="F20" s="4">
        <v>1033333</v>
      </c>
      <c r="G20">
        <v>11</v>
      </c>
      <c r="H20" t="s">
        <v>86</v>
      </c>
    </row>
    <row r="21" spans="1:8" x14ac:dyDescent="0.35">
      <c r="A21" t="s">
        <v>128</v>
      </c>
      <c r="B21" t="s">
        <v>32</v>
      </c>
      <c r="C21" t="s">
        <v>129</v>
      </c>
      <c r="D21" t="s">
        <v>89</v>
      </c>
      <c r="E21" t="s">
        <v>130</v>
      </c>
      <c r="F21" s="4">
        <v>1400000</v>
      </c>
      <c r="G21">
        <v>2</v>
      </c>
      <c r="H21" t="s">
        <v>86</v>
      </c>
    </row>
    <row r="22" spans="1:8" x14ac:dyDescent="0.35">
      <c r="A22" t="s">
        <v>128</v>
      </c>
      <c r="B22" t="s">
        <v>32</v>
      </c>
      <c r="C22" t="s">
        <v>131</v>
      </c>
      <c r="D22" t="s">
        <v>132</v>
      </c>
      <c r="E22" t="s">
        <v>133</v>
      </c>
      <c r="F22" s="4">
        <v>1400000</v>
      </c>
      <c r="G22">
        <v>0</v>
      </c>
      <c r="H22" t="s">
        <v>103</v>
      </c>
    </row>
    <row r="23" spans="1:8" x14ac:dyDescent="0.35">
      <c r="A23" t="s">
        <v>134</v>
      </c>
      <c r="B23" t="s">
        <v>32</v>
      </c>
      <c r="C23" t="s">
        <v>135</v>
      </c>
      <c r="D23" t="s">
        <v>136</v>
      </c>
      <c r="E23" t="s">
        <v>137</v>
      </c>
      <c r="F23" s="4">
        <v>1533333</v>
      </c>
      <c r="G23">
        <v>97</v>
      </c>
      <c r="H23" t="s">
        <v>138</v>
      </c>
    </row>
    <row r="24" spans="1:8" x14ac:dyDescent="0.35">
      <c r="A24" t="s">
        <v>134</v>
      </c>
      <c r="B24" t="s">
        <v>32</v>
      </c>
      <c r="C24" t="s">
        <v>139</v>
      </c>
      <c r="D24" t="s">
        <v>67</v>
      </c>
      <c r="E24" t="s">
        <v>140</v>
      </c>
      <c r="F24" s="4">
        <v>1533333</v>
      </c>
      <c r="G24">
        <v>8</v>
      </c>
      <c r="H24" t="s">
        <v>86</v>
      </c>
    </row>
    <row r="25" spans="1:8" x14ac:dyDescent="0.35">
      <c r="A25" t="s">
        <v>134</v>
      </c>
      <c r="B25" t="s">
        <v>32</v>
      </c>
      <c r="C25" t="s">
        <v>141</v>
      </c>
      <c r="D25" t="s">
        <v>142</v>
      </c>
      <c r="E25" t="s">
        <v>143</v>
      </c>
      <c r="F25" s="4">
        <v>1533333</v>
      </c>
      <c r="G25">
        <v>0</v>
      </c>
      <c r="H25" t="s">
        <v>103</v>
      </c>
    </row>
  </sheetData>
  <autoFilter ref="A1:H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34998626667073579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4" width="14" customWidth="1"/>
    <col min="5" max="5" width="18" style="4" customWidth="1"/>
    <col min="6" max="6" width="14" customWidth="1"/>
  </cols>
  <sheetData>
    <row r="1" spans="1:6" s="5" customFormat="1" x14ac:dyDescent="0.35">
      <c r="A1" s="5" t="s">
        <v>144</v>
      </c>
      <c r="B1" s="5" t="s">
        <v>145</v>
      </c>
      <c r="C1" s="5" t="s">
        <v>146</v>
      </c>
      <c r="D1" s="5" t="s">
        <v>60</v>
      </c>
      <c r="E1" s="6" t="s">
        <v>61</v>
      </c>
      <c r="F1" s="5" t="s">
        <v>147</v>
      </c>
    </row>
    <row r="2" spans="1:6" x14ac:dyDescent="0.35">
      <c r="A2" t="s">
        <v>148</v>
      </c>
      <c r="B2" t="s">
        <v>149</v>
      </c>
      <c r="C2" t="s">
        <v>150</v>
      </c>
      <c r="D2" t="s">
        <v>151</v>
      </c>
      <c r="E2" s="4">
        <v>4200000</v>
      </c>
      <c r="F2" t="s">
        <v>152</v>
      </c>
    </row>
    <row r="3" spans="1:6" x14ac:dyDescent="0.35">
      <c r="A3" t="s">
        <v>153</v>
      </c>
      <c r="B3" t="s">
        <v>154</v>
      </c>
      <c r="C3" t="s">
        <v>155</v>
      </c>
      <c r="D3" t="s">
        <v>156</v>
      </c>
      <c r="E3" s="4">
        <v>6800000</v>
      </c>
      <c r="F3" t="s">
        <v>152</v>
      </c>
    </row>
    <row r="4" spans="1:6" x14ac:dyDescent="0.35">
      <c r="A4" t="s">
        <v>157</v>
      </c>
      <c r="B4" t="s">
        <v>158</v>
      </c>
      <c r="C4" t="s">
        <v>140</v>
      </c>
      <c r="D4" t="s">
        <v>159</v>
      </c>
      <c r="E4" s="4">
        <v>3900000</v>
      </c>
      <c r="F4" t="s">
        <v>152</v>
      </c>
    </row>
    <row r="5" spans="1:6" x14ac:dyDescent="0.35">
      <c r="A5" t="s">
        <v>160</v>
      </c>
      <c r="B5" t="s">
        <v>161</v>
      </c>
      <c r="C5" t="s">
        <v>162</v>
      </c>
      <c r="D5" t="s">
        <v>163</v>
      </c>
      <c r="E5" s="4">
        <v>2400000</v>
      </c>
      <c r="F5" t="s">
        <v>152</v>
      </c>
    </row>
    <row r="6" spans="1:6" x14ac:dyDescent="0.35">
      <c r="A6" t="s">
        <v>164</v>
      </c>
      <c r="B6" t="s">
        <v>165</v>
      </c>
      <c r="C6" t="s">
        <v>166</v>
      </c>
      <c r="D6" t="s">
        <v>167</v>
      </c>
      <c r="E6" s="4">
        <v>2500000</v>
      </c>
      <c r="F6" t="s">
        <v>152</v>
      </c>
    </row>
    <row r="7" spans="1:6" x14ac:dyDescent="0.35">
      <c r="A7" t="s">
        <v>168</v>
      </c>
      <c r="B7" t="s">
        <v>169</v>
      </c>
      <c r="C7" t="s">
        <v>170</v>
      </c>
      <c r="D7" t="s">
        <v>170</v>
      </c>
      <c r="E7" s="4">
        <v>12400000</v>
      </c>
      <c r="F7" t="s">
        <v>171</v>
      </c>
    </row>
    <row r="8" spans="1:6" x14ac:dyDescent="0.35">
      <c r="A8" t="s">
        <v>172</v>
      </c>
      <c r="B8" t="s">
        <v>173</v>
      </c>
      <c r="C8" t="s">
        <v>174</v>
      </c>
      <c r="D8" t="s">
        <v>175</v>
      </c>
      <c r="E8" s="4">
        <v>1200000</v>
      </c>
      <c r="F8" t="s">
        <v>152</v>
      </c>
    </row>
    <row r="9" spans="1:6" x14ac:dyDescent="0.35">
      <c r="A9" t="s">
        <v>176</v>
      </c>
      <c r="B9" t="s">
        <v>177</v>
      </c>
      <c r="C9" t="s">
        <v>130</v>
      </c>
      <c r="D9" t="s">
        <v>178</v>
      </c>
      <c r="E9" s="4">
        <v>1640000</v>
      </c>
      <c r="F9" t="s">
        <v>152</v>
      </c>
    </row>
    <row r="10" spans="1:6" x14ac:dyDescent="0.35">
      <c r="A10" t="s">
        <v>179</v>
      </c>
      <c r="B10" t="s">
        <v>180</v>
      </c>
      <c r="C10" t="s">
        <v>181</v>
      </c>
      <c r="D10" t="s">
        <v>182</v>
      </c>
      <c r="E10" s="4">
        <v>980000</v>
      </c>
      <c r="F10" t="s">
        <v>152</v>
      </c>
    </row>
    <row r="11" spans="1:6" x14ac:dyDescent="0.35">
      <c r="A11" t="s">
        <v>183</v>
      </c>
      <c r="B11" t="s">
        <v>184</v>
      </c>
      <c r="C11" t="s">
        <v>185</v>
      </c>
      <c r="D11" t="s">
        <v>186</v>
      </c>
      <c r="E11" s="4">
        <v>760000</v>
      </c>
      <c r="F11" t="s">
        <v>152</v>
      </c>
    </row>
  </sheetData>
  <autoFilter ref="A1:F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34998626667073579"/>
  </sheetPr>
  <dimension ref="A1:H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8" customWidth="1"/>
    <col min="3" max="3" width="18" style="4" customWidth="1"/>
    <col min="4" max="4" width="14" style="7" customWidth="1"/>
    <col min="5" max="5" width="14" customWidth="1"/>
    <col min="6" max="6" width="18" customWidth="1"/>
    <col min="7" max="7" width="22" style="4" customWidth="1"/>
    <col min="8" max="8" width="28" customWidth="1"/>
  </cols>
  <sheetData>
    <row r="1" spans="1:8" s="5" customFormat="1" x14ac:dyDescent="0.35">
      <c r="A1" s="5" t="s">
        <v>187</v>
      </c>
      <c r="B1" s="5" t="s">
        <v>188</v>
      </c>
      <c r="C1" s="6" t="s">
        <v>189</v>
      </c>
      <c r="D1" s="8" t="s">
        <v>190</v>
      </c>
      <c r="E1" s="5" t="s">
        <v>191</v>
      </c>
      <c r="F1" s="5" t="s">
        <v>192</v>
      </c>
      <c r="G1" s="6" t="s">
        <v>193</v>
      </c>
      <c r="H1" s="5" t="s">
        <v>194</v>
      </c>
    </row>
    <row r="2" spans="1:8" x14ac:dyDescent="0.35">
      <c r="A2" t="s">
        <v>195</v>
      </c>
      <c r="B2" t="s">
        <v>82</v>
      </c>
      <c r="C2" s="4">
        <v>25000000</v>
      </c>
      <c r="D2" s="7">
        <v>0.26500000000000001</v>
      </c>
      <c r="E2">
        <v>12</v>
      </c>
      <c r="F2">
        <v>8</v>
      </c>
      <c r="G2" s="4">
        <v>2350000</v>
      </c>
      <c r="H2" t="s">
        <v>196</v>
      </c>
    </row>
    <row r="3" spans="1:8" x14ac:dyDescent="0.35">
      <c r="A3" t="s">
        <v>197</v>
      </c>
      <c r="B3" t="s">
        <v>198</v>
      </c>
      <c r="C3" s="4">
        <v>80000000</v>
      </c>
      <c r="D3" s="7">
        <v>0.18</v>
      </c>
      <c r="E3">
        <v>60</v>
      </c>
      <c r="F3">
        <v>41</v>
      </c>
      <c r="G3" s="4">
        <v>2010000</v>
      </c>
      <c r="H3" t="s">
        <v>199</v>
      </c>
    </row>
    <row r="4" spans="1:8" x14ac:dyDescent="0.35">
      <c r="A4" t="s">
        <v>200</v>
      </c>
      <c r="B4" t="s">
        <v>201</v>
      </c>
      <c r="C4" s="4">
        <v>32000000</v>
      </c>
      <c r="D4" s="7">
        <v>0.22</v>
      </c>
      <c r="E4">
        <v>36</v>
      </c>
      <c r="F4">
        <v>19</v>
      </c>
      <c r="G4" s="4">
        <v>1220000</v>
      </c>
      <c r="H4" t="s">
        <v>202</v>
      </c>
    </row>
  </sheetData>
  <autoFilter ref="A1:H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2" customWidth="1"/>
    <col min="3" max="3" width="18" customWidth="1"/>
    <col min="4" max="4" width="18" style="4" customWidth="1"/>
    <col min="5" max="5" width="14" customWidth="1"/>
  </cols>
  <sheetData>
    <row r="1" spans="1:5" s="5" customFormat="1" x14ac:dyDescent="0.35">
      <c r="A1" s="5" t="s">
        <v>19</v>
      </c>
      <c r="B1" s="5" t="s">
        <v>203</v>
      </c>
      <c r="C1" s="5" t="s">
        <v>20</v>
      </c>
      <c r="D1" s="6" t="s">
        <v>61</v>
      </c>
      <c r="E1" s="5" t="s">
        <v>147</v>
      </c>
    </row>
    <row r="2" spans="1:5" x14ac:dyDescent="0.35">
      <c r="A2" t="s">
        <v>204</v>
      </c>
      <c r="B2" t="s">
        <v>205</v>
      </c>
      <c r="C2" t="s">
        <v>33</v>
      </c>
      <c r="D2" s="4">
        <v>14000000</v>
      </c>
      <c r="E2" t="s">
        <v>206</v>
      </c>
    </row>
    <row r="3" spans="1:5" x14ac:dyDescent="0.35">
      <c r="A3" t="s">
        <v>207</v>
      </c>
      <c r="B3" t="s">
        <v>208</v>
      </c>
      <c r="C3" t="s">
        <v>32</v>
      </c>
      <c r="D3" s="4">
        <v>6800000</v>
      </c>
      <c r="E3" t="s">
        <v>206</v>
      </c>
    </row>
    <row r="4" spans="1:5" x14ac:dyDescent="0.35">
      <c r="A4" t="s">
        <v>209</v>
      </c>
      <c r="B4" t="s">
        <v>210</v>
      </c>
      <c r="C4" t="s">
        <v>31</v>
      </c>
      <c r="D4" s="4">
        <v>22000000</v>
      </c>
      <c r="E4" t="s">
        <v>211</v>
      </c>
    </row>
    <row r="5" spans="1:5" x14ac:dyDescent="0.35">
      <c r="A5" t="s">
        <v>212</v>
      </c>
      <c r="B5" t="s">
        <v>213</v>
      </c>
      <c r="C5" t="s">
        <v>32</v>
      </c>
      <c r="D5" s="4">
        <v>9400000</v>
      </c>
      <c r="E5" t="s">
        <v>211</v>
      </c>
    </row>
    <row r="6" spans="1:5" x14ac:dyDescent="0.35">
      <c r="A6" t="s">
        <v>214</v>
      </c>
      <c r="B6" t="s">
        <v>215</v>
      </c>
      <c r="C6" t="s">
        <v>33</v>
      </c>
      <c r="D6" s="4">
        <v>28000000</v>
      </c>
      <c r="E6" t="s">
        <v>211</v>
      </c>
    </row>
  </sheetData>
  <autoFilter ref="A1:E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34998626667073579"/>
  </sheetPr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14" customWidth="1"/>
    <col min="4" max="4" width="22" style="4" customWidth="1"/>
    <col min="5" max="5" width="24" customWidth="1"/>
  </cols>
  <sheetData>
    <row r="1" spans="1:5" s="5" customFormat="1" x14ac:dyDescent="0.35">
      <c r="A1" s="5" t="s">
        <v>216</v>
      </c>
      <c r="B1" s="5" t="s">
        <v>217</v>
      </c>
      <c r="C1" s="5" t="s">
        <v>60</v>
      </c>
      <c r="D1" s="6" t="s">
        <v>218</v>
      </c>
      <c r="E1" s="5" t="s">
        <v>194</v>
      </c>
    </row>
    <row r="2" spans="1:5" x14ac:dyDescent="0.35">
      <c r="A2" t="s">
        <v>219</v>
      </c>
      <c r="B2" t="s">
        <v>56</v>
      </c>
      <c r="C2" t="s">
        <v>220</v>
      </c>
      <c r="D2" s="4">
        <v>4200000</v>
      </c>
      <c r="E2" t="s">
        <v>221</v>
      </c>
    </row>
    <row r="3" spans="1:5" x14ac:dyDescent="0.35">
      <c r="A3" t="s">
        <v>222</v>
      </c>
      <c r="B3" t="s">
        <v>56</v>
      </c>
      <c r="C3" t="s">
        <v>163</v>
      </c>
      <c r="D3" s="4">
        <v>1840000</v>
      </c>
      <c r="E3" t="s">
        <v>223</v>
      </c>
    </row>
    <row r="4" spans="1:5" x14ac:dyDescent="0.35">
      <c r="A4" t="s">
        <v>224</v>
      </c>
      <c r="B4" t="s">
        <v>225</v>
      </c>
      <c r="C4" t="s">
        <v>226</v>
      </c>
      <c r="D4" s="4">
        <v>18400000</v>
      </c>
      <c r="E4" t="s">
        <v>227</v>
      </c>
    </row>
    <row r="5" spans="1:5" x14ac:dyDescent="0.35">
      <c r="A5" t="s">
        <v>219</v>
      </c>
      <c r="B5" t="s">
        <v>204</v>
      </c>
      <c r="C5" t="s">
        <v>228</v>
      </c>
      <c r="D5" s="4">
        <v>4400000</v>
      </c>
      <c r="E5" t="s">
        <v>229</v>
      </c>
    </row>
    <row r="6" spans="1:5" x14ac:dyDescent="0.35">
      <c r="A6" t="s">
        <v>222</v>
      </c>
      <c r="B6" t="s">
        <v>204</v>
      </c>
      <c r="C6" t="s">
        <v>230</v>
      </c>
      <c r="D6" s="4">
        <v>1900000</v>
      </c>
      <c r="E6" t="s">
        <v>229</v>
      </c>
    </row>
    <row r="7" spans="1:5" x14ac:dyDescent="0.35">
      <c r="A7" t="s">
        <v>231</v>
      </c>
      <c r="B7" t="s">
        <v>56</v>
      </c>
      <c r="C7" t="s">
        <v>220</v>
      </c>
      <c r="D7" s="4">
        <v>720000</v>
      </c>
      <c r="E7" t="s">
        <v>3</v>
      </c>
    </row>
  </sheetData>
  <autoFilter ref="A1:E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34998626667073579"/>
  </sheetPr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4" style="7" customWidth="1"/>
    <col min="3" max="3" width="14.90625" style="7" bestFit="1" customWidth="1"/>
    <col min="4" max="4" width="14" style="7" customWidth="1"/>
    <col min="5" max="5" width="30" customWidth="1"/>
  </cols>
  <sheetData>
    <row r="1" spans="1:5" s="5" customFormat="1" x14ac:dyDescent="0.35">
      <c r="A1" s="5" t="s">
        <v>232</v>
      </c>
      <c r="B1" s="8" t="s">
        <v>233</v>
      </c>
      <c r="C1" s="8" t="s">
        <v>234</v>
      </c>
      <c r="D1" s="8" t="s">
        <v>235</v>
      </c>
      <c r="E1" s="5" t="s">
        <v>194</v>
      </c>
    </row>
    <row r="2" spans="1:5" x14ac:dyDescent="0.35">
      <c r="A2" t="s">
        <v>236</v>
      </c>
      <c r="B2" s="7">
        <v>2.5000000000000001E-2</v>
      </c>
      <c r="C2" s="7">
        <v>4.4999999999999998E-2</v>
      </c>
      <c r="D2" s="7">
        <v>5.0000000000000001E-3</v>
      </c>
      <c r="E2" t="s">
        <v>237</v>
      </c>
    </row>
    <row r="3" spans="1:5" x14ac:dyDescent="0.35">
      <c r="A3" t="s">
        <v>238</v>
      </c>
      <c r="B3" s="7">
        <v>0.66</v>
      </c>
      <c r="C3" s="7">
        <v>0.62</v>
      </c>
      <c r="D3" s="7">
        <v>0.7</v>
      </c>
      <c r="E3" t="s">
        <v>239</v>
      </c>
    </row>
    <row r="4" spans="1:5" x14ac:dyDescent="0.35">
      <c r="A4" t="s">
        <v>240</v>
      </c>
      <c r="B4" s="7">
        <v>1.2E-2</v>
      </c>
      <c r="C4" s="7">
        <v>8.0000000000000002E-3</v>
      </c>
      <c r="D4" s="7">
        <v>0.02</v>
      </c>
      <c r="E4" t="s">
        <v>3</v>
      </c>
    </row>
    <row r="5" spans="1:5" x14ac:dyDescent="0.35">
      <c r="A5" t="s">
        <v>241</v>
      </c>
      <c r="B5" s="7">
        <v>38</v>
      </c>
      <c r="C5" s="7">
        <v>28</v>
      </c>
      <c r="D5" s="7">
        <v>55</v>
      </c>
      <c r="E5" t="s">
        <v>242</v>
      </c>
    </row>
    <row r="6" spans="1:5" x14ac:dyDescent="0.35">
      <c r="A6" t="s">
        <v>243</v>
      </c>
      <c r="B6" s="7">
        <v>32</v>
      </c>
      <c r="C6" s="7">
        <v>45</v>
      </c>
      <c r="D6" s="7">
        <v>22</v>
      </c>
      <c r="E6" t="s">
        <v>3</v>
      </c>
    </row>
    <row r="7" spans="1:5" x14ac:dyDescent="0.35">
      <c r="A7" t="s">
        <v>244</v>
      </c>
      <c r="B7" s="7">
        <v>0</v>
      </c>
      <c r="C7" s="7">
        <v>-0.05</v>
      </c>
      <c r="D7" s="7">
        <v>0.15</v>
      </c>
      <c r="E7" t="s">
        <v>245</v>
      </c>
    </row>
    <row r="8" spans="1:5" x14ac:dyDescent="0.35">
      <c r="A8" t="s">
        <v>246</v>
      </c>
      <c r="B8" s="7">
        <v>0</v>
      </c>
      <c r="C8" s="7">
        <v>0</v>
      </c>
      <c r="D8" s="7">
        <v>60</v>
      </c>
      <c r="E8" t="s">
        <v>3</v>
      </c>
    </row>
    <row r="9" spans="1:5" x14ac:dyDescent="0.35">
      <c r="A9" t="s">
        <v>247</v>
      </c>
      <c r="B9" s="7">
        <v>0</v>
      </c>
      <c r="C9" s="7">
        <v>120000000</v>
      </c>
      <c r="D9" s="7">
        <v>0</v>
      </c>
      <c r="E9" t="s">
        <v>248</v>
      </c>
    </row>
  </sheetData>
  <autoFilter ref="A1:E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L13"/>
  <sheetViews>
    <sheetView workbookViewId="0">
      <pane ySplit="1" topLeftCell="A2" activePane="bottomLeft" state="frozen"/>
      <selection pane="bottomLeft" activeCell="M8" sqref="M8"/>
    </sheetView>
  </sheetViews>
  <sheetFormatPr defaultRowHeight="14.5" x14ac:dyDescent="0.35"/>
  <cols>
    <col min="1" max="1" width="11.81640625" customWidth="1"/>
    <col min="2" max="2" width="12.36328125" bestFit="1" customWidth="1"/>
    <col min="3" max="5" width="12" bestFit="1" customWidth="1"/>
    <col min="6" max="6" width="11" bestFit="1" customWidth="1"/>
    <col min="7" max="7" width="13.54296875" bestFit="1" customWidth="1"/>
    <col min="8" max="8" width="11" bestFit="1" customWidth="1"/>
    <col min="9" max="9" width="12.36328125" bestFit="1" customWidth="1"/>
    <col min="10" max="10" width="13.1796875" bestFit="1" customWidth="1"/>
    <col min="11" max="11" width="12.6328125" bestFit="1" customWidth="1"/>
    <col min="12" max="12" width="12" bestFit="1" customWidth="1"/>
  </cols>
  <sheetData>
    <row r="1" spans="1:12" x14ac:dyDescent="0.35">
      <c r="A1" s="27" t="s">
        <v>19</v>
      </c>
      <c r="B1" s="27" t="s">
        <v>253</v>
      </c>
      <c r="C1" s="27" t="s">
        <v>254</v>
      </c>
      <c r="D1" s="27" t="s">
        <v>255</v>
      </c>
      <c r="E1" s="27" t="s">
        <v>256</v>
      </c>
      <c r="F1" s="27" t="s">
        <v>257</v>
      </c>
      <c r="G1" s="27" t="s">
        <v>258</v>
      </c>
      <c r="H1" s="27" t="s">
        <v>259</v>
      </c>
      <c r="I1" s="27" t="s">
        <v>260</v>
      </c>
      <c r="J1" s="27" t="s">
        <v>261</v>
      </c>
      <c r="K1" s="27" t="s">
        <v>251</v>
      </c>
      <c r="L1" s="27" t="s">
        <v>262</v>
      </c>
    </row>
    <row r="2" spans="1:12" x14ac:dyDescent="0.35">
      <c r="A2" s="10" t="s">
        <v>204</v>
      </c>
      <c r="B2" s="14">
        <f>SUMIF(Historical_Monthly!A:A,"2025-09",Historical_Monthly!J:J)</f>
        <v>122990111</v>
      </c>
      <c r="C2" s="14">
        <f>SUMIF(Historical_Monthly!A:A,"2025-09",Historical_Monthly!C:C)*(1+Assumptions!B2)</f>
        <v>126156013.94999999</v>
      </c>
      <c r="D2" s="14">
        <f>C2*0.95</f>
        <v>119848213.25249998</v>
      </c>
      <c r="E2" s="14">
        <f>C2*Assumptions!$B$3</f>
        <v>83262969.207000002</v>
      </c>
      <c r="F2" s="14">
        <f>SUMIF(Historical_Monthly!A:A,"2025-09",Historical_Monthly!F:F)*(1+Assumptions!$B$4)</f>
        <v>24730827.923999999</v>
      </c>
      <c r="G2" s="14">
        <f>SUM(Loans!$G$2:$G$4)</f>
        <v>5580000</v>
      </c>
      <c r="H2" s="14">
        <f>SUMIF(CapEx_Plan!A:A,A2,CapEx_Plan!D:D)</f>
        <v>14000000</v>
      </c>
      <c r="I2" s="14">
        <v>6760000</v>
      </c>
      <c r="J2" s="14">
        <f>E2+F2+G2+H2+I2</f>
        <v>134333797.13099998</v>
      </c>
      <c r="K2" s="14">
        <f>D2-J2</f>
        <v>-14485583.8785</v>
      </c>
      <c r="L2" s="14">
        <f>B2+K2</f>
        <v>108504527.1215</v>
      </c>
    </row>
    <row r="3" spans="1:12" x14ac:dyDescent="0.35">
      <c r="A3" s="10" t="s">
        <v>207</v>
      </c>
      <c r="B3" s="13">
        <f>L2</f>
        <v>108504527.1215</v>
      </c>
      <c r="C3" s="14">
        <f>C2*(1+Assumptions!$B$2)</f>
        <v>129309914.29874998</v>
      </c>
      <c r="D3" s="14">
        <f t="shared" ref="D3:D13" si="0">C3*0.95</f>
        <v>122844418.58381248</v>
      </c>
      <c r="E3" s="14">
        <f>C3*Assumptions!$B$3</f>
        <v>85344543.437174991</v>
      </c>
      <c r="F3" s="14">
        <f>F2*(1+Assumptions!$B$4)</f>
        <v>25027597.859088</v>
      </c>
      <c r="G3" s="14">
        <f>SUM(Loans!$G$2:$G$4)</f>
        <v>5580000</v>
      </c>
      <c r="H3" s="14">
        <f>SUMIF(CapEx_Plan!A:A,A3,CapEx_Plan!D:D)</f>
        <v>6800000</v>
      </c>
      <c r="I3" s="14">
        <v>6300000</v>
      </c>
      <c r="J3" s="14">
        <f t="shared" ref="J3:J13" si="1">E3+F3+G3+H3+I3</f>
        <v>129052141.29626299</v>
      </c>
      <c r="K3" s="14">
        <f t="shared" ref="K3:K13" si="2">D3-J3</f>
        <v>-6207722.7124505192</v>
      </c>
      <c r="L3" s="14">
        <f t="shared" ref="L3:L13" si="3">B3+K3</f>
        <v>102296804.40904948</v>
      </c>
    </row>
    <row r="4" spans="1:12" x14ac:dyDescent="0.35">
      <c r="A4" s="10" t="s">
        <v>263</v>
      </c>
      <c r="B4" s="13">
        <f t="shared" ref="B4:B13" si="4">L3</f>
        <v>102296804.40904948</v>
      </c>
      <c r="C4" s="14">
        <f>C3*(1+Assumptions!$B$2)</f>
        <v>132542662.15621872</v>
      </c>
      <c r="D4" s="14">
        <f t="shared" si="0"/>
        <v>125915529.04840778</v>
      </c>
      <c r="E4" s="14">
        <f>C4*Assumptions!$B$3</f>
        <v>87478157.023104355</v>
      </c>
      <c r="F4" s="14">
        <f>F3*(1+Assumptions!$B$4)</f>
        <v>25327929.033397056</v>
      </c>
      <c r="G4" s="14">
        <f>SUM(Loans!$G$2:$G$4)</f>
        <v>5580000</v>
      </c>
      <c r="H4" s="14">
        <f>SUMIF(CapEx_Plan!A:A,A4,CapEx_Plan!D:D)</f>
        <v>0</v>
      </c>
      <c r="I4" s="14">
        <v>18400000</v>
      </c>
      <c r="J4" s="14">
        <f t="shared" si="1"/>
        <v>136786086.05650142</v>
      </c>
      <c r="K4" s="14">
        <f t="shared" si="2"/>
        <v>-10870557.00809364</v>
      </c>
      <c r="L4" s="14">
        <f t="shared" si="3"/>
        <v>91426247.400955841</v>
      </c>
    </row>
    <row r="5" spans="1:12" x14ac:dyDescent="0.35">
      <c r="A5" s="10" t="s">
        <v>209</v>
      </c>
      <c r="B5" s="13">
        <f t="shared" si="4"/>
        <v>91426247.400955841</v>
      </c>
      <c r="C5" s="14">
        <f>C4*(1+Assumptions!$B$2)</f>
        <v>135856228.71012416</v>
      </c>
      <c r="D5" s="14">
        <f t="shared" si="0"/>
        <v>129063417.27461796</v>
      </c>
      <c r="E5" s="14">
        <f>C5*Assumptions!$B$3</f>
        <v>89665110.948681951</v>
      </c>
      <c r="F5" s="14">
        <f>F4*(1+Assumptions!$B$4)</f>
        <v>25631864.181797821</v>
      </c>
      <c r="G5" s="14">
        <f>SUM(Loans!$G$2:$G$4)</f>
        <v>5580000</v>
      </c>
      <c r="H5" s="14">
        <f>SUMIF(CapEx_Plan!A:A,A5,CapEx_Plan!D:D)</f>
        <v>22000000</v>
      </c>
      <c r="I5" s="14">
        <v>0</v>
      </c>
      <c r="J5" s="14">
        <f t="shared" si="1"/>
        <v>142876975.13047975</v>
      </c>
      <c r="K5" s="14">
        <f t="shared" si="2"/>
        <v>-13813557.855861798</v>
      </c>
      <c r="L5" s="14">
        <f t="shared" si="3"/>
        <v>77612689.545094043</v>
      </c>
    </row>
    <row r="6" spans="1:12" x14ac:dyDescent="0.35">
      <c r="A6" s="10" t="s">
        <v>264</v>
      </c>
      <c r="B6" s="13">
        <f t="shared" si="4"/>
        <v>77612689.545094043</v>
      </c>
      <c r="C6" s="14">
        <f>C5*(1+Assumptions!$B$2)</f>
        <v>139252634.42787725</v>
      </c>
      <c r="D6" s="14">
        <f t="shared" si="0"/>
        <v>132290002.70648338</v>
      </c>
      <c r="E6" s="14">
        <f>C6*Assumptions!$B$3</f>
        <v>91906738.722398981</v>
      </c>
      <c r="F6" s="14">
        <f>F5*(1+Assumptions!$B$4)</f>
        <v>25939446.551979396</v>
      </c>
      <c r="G6" s="14">
        <f>SUM(Loans!$G$2:$G$4)</f>
        <v>5580000</v>
      </c>
      <c r="H6" s="14">
        <f>SUMIF(CapEx_Plan!A:A,A6,CapEx_Plan!D:D)</f>
        <v>0</v>
      </c>
      <c r="I6" s="14">
        <v>0</v>
      </c>
      <c r="J6" s="14">
        <f t="shared" si="1"/>
        <v>123426185.27437837</v>
      </c>
      <c r="K6" s="14">
        <f t="shared" si="2"/>
        <v>8863817.4321050048</v>
      </c>
      <c r="L6" s="14">
        <f t="shared" si="3"/>
        <v>86476506.977199048</v>
      </c>
    </row>
    <row r="7" spans="1:12" x14ac:dyDescent="0.35">
      <c r="A7" s="10" t="s">
        <v>212</v>
      </c>
      <c r="B7" s="13">
        <f t="shared" si="4"/>
        <v>86476506.977199048</v>
      </c>
      <c r="C7" s="14">
        <f>C6*(1+Assumptions!$B$2)</f>
        <v>142733950.28857416</v>
      </c>
      <c r="D7" s="14">
        <f t="shared" si="0"/>
        <v>135597252.77414545</v>
      </c>
      <c r="E7" s="14">
        <f>C7*Assumptions!$B$3</f>
        <v>94204407.190458953</v>
      </c>
      <c r="F7" s="14">
        <f>F6*(1+Assumptions!$B$4)</f>
        <v>26250719.910603151</v>
      </c>
      <c r="G7" s="14">
        <f>SUM(Loans!$G$2:$G$4)</f>
        <v>5580000</v>
      </c>
      <c r="H7" s="14">
        <f>SUMIF(CapEx_Plan!A:A,A7,CapEx_Plan!D:D)</f>
        <v>9400000</v>
      </c>
      <c r="I7" s="14">
        <v>0</v>
      </c>
      <c r="J7" s="14">
        <f t="shared" si="1"/>
        <v>135435127.10106212</v>
      </c>
      <c r="K7" s="14">
        <f t="shared" si="2"/>
        <v>162125.67308333516</v>
      </c>
      <c r="L7" s="14">
        <f t="shared" si="3"/>
        <v>86638632.650282383</v>
      </c>
    </row>
    <row r="8" spans="1:12" x14ac:dyDescent="0.35">
      <c r="A8" s="10" t="s">
        <v>265</v>
      </c>
      <c r="B8" s="13">
        <f t="shared" si="4"/>
        <v>86638632.650282383</v>
      </c>
      <c r="C8" s="14">
        <f>C7*(1+Assumptions!$B$2)</f>
        <v>146302299.0457885</v>
      </c>
      <c r="D8" s="14">
        <f t="shared" si="0"/>
        <v>138987184.09349906</v>
      </c>
      <c r="E8" s="14">
        <f>C8*Assumptions!$B$3</f>
        <v>96559517.370220408</v>
      </c>
      <c r="F8" s="14">
        <f>F7*(1+Assumptions!$B$4)</f>
        <v>26565728.549530391</v>
      </c>
      <c r="G8" s="14">
        <f>SUM(Loans!$G$2:$G$4)</f>
        <v>5580000</v>
      </c>
      <c r="H8" s="14">
        <f>SUMIF(CapEx_Plan!A:A,A8,CapEx_Plan!D:D)</f>
        <v>0</v>
      </c>
      <c r="I8" s="14">
        <v>0</v>
      </c>
      <c r="J8" s="14">
        <f t="shared" si="1"/>
        <v>128705245.91975079</v>
      </c>
      <c r="K8" s="14">
        <f t="shared" si="2"/>
        <v>10281938.17374827</v>
      </c>
      <c r="L8" s="14">
        <f t="shared" si="3"/>
        <v>96920570.824030653</v>
      </c>
    </row>
    <row r="9" spans="1:12" x14ac:dyDescent="0.35">
      <c r="A9" s="10" t="s">
        <v>266</v>
      </c>
      <c r="B9" s="13">
        <f t="shared" si="4"/>
        <v>96920570.824030653</v>
      </c>
      <c r="C9" s="14">
        <f>C8*(1+Assumptions!$B$2)</f>
        <v>149959856.5219332</v>
      </c>
      <c r="D9" s="14">
        <f t="shared" si="0"/>
        <v>142461863.69583654</v>
      </c>
      <c r="E9" s="14">
        <f>C9*Assumptions!$B$3</f>
        <v>98973505.304475918</v>
      </c>
      <c r="F9" s="14">
        <f>F8*(1+Assumptions!$B$4)</f>
        <v>26884517.292124756</v>
      </c>
      <c r="G9" s="14">
        <f>SUM(Loans!$G$2:$G$4)</f>
        <v>5580000</v>
      </c>
      <c r="H9" s="14">
        <f>SUMIF(CapEx_Plan!A:A,A9,CapEx_Plan!D:D)</f>
        <v>0</v>
      </c>
      <c r="I9" s="14">
        <v>0</v>
      </c>
      <c r="J9" s="14">
        <f t="shared" si="1"/>
        <v>131438022.59660068</v>
      </c>
      <c r="K9" s="14">
        <f t="shared" si="2"/>
        <v>11023841.099235862</v>
      </c>
      <c r="L9" s="14">
        <f t="shared" si="3"/>
        <v>107944411.92326652</v>
      </c>
    </row>
    <row r="10" spans="1:12" x14ac:dyDescent="0.35">
      <c r="A10" s="10" t="s">
        <v>214</v>
      </c>
      <c r="B10" s="13">
        <f t="shared" si="4"/>
        <v>107944411.92326652</v>
      </c>
      <c r="C10" s="14">
        <f>C9*(1+Assumptions!$B$2)</f>
        <v>153708852.93498152</v>
      </c>
      <c r="D10" s="14">
        <f t="shared" si="0"/>
        <v>146023410.28823245</v>
      </c>
      <c r="E10" s="14">
        <f>C10*Assumptions!$B$3</f>
        <v>101447842.9370878</v>
      </c>
      <c r="F10" s="14">
        <f>F9*(1+Assumptions!$B$4)</f>
        <v>27207131.499630254</v>
      </c>
      <c r="G10" s="14">
        <f>SUM(Loans!$G$2:$G$4)</f>
        <v>5580000</v>
      </c>
      <c r="H10" s="14">
        <f>SUMIF(CapEx_Plan!A:A,A10,CapEx_Plan!D:D)</f>
        <v>28000000</v>
      </c>
      <c r="I10" s="14">
        <v>0</v>
      </c>
      <c r="J10" s="14">
        <f t="shared" si="1"/>
        <v>162234974.43671805</v>
      </c>
      <c r="K10" s="14">
        <f t="shared" si="2"/>
        <v>-16211564.148485601</v>
      </c>
      <c r="L10" s="14">
        <f t="shared" si="3"/>
        <v>91732847.774780914</v>
      </c>
    </row>
    <row r="11" spans="1:12" x14ac:dyDescent="0.35">
      <c r="A11" s="10" t="s">
        <v>267</v>
      </c>
      <c r="B11" s="13">
        <f t="shared" si="4"/>
        <v>91732847.774780914</v>
      </c>
      <c r="C11" s="14">
        <f>C10*(1+Assumptions!$B$2)</f>
        <v>157551574.25835603</v>
      </c>
      <c r="D11" s="14">
        <f t="shared" si="0"/>
        <v>149673995.54543823</v>
      </c>
      <c r="E11" s="14">
        <f>C11*Assumptions!$B$3</f>
        <v>103984039.01051499</v>
      </c>
      <c r="F11" s="14">
        <f>F10*(1+Assumptions!$B$4)</f>
        <v>27533617.077625819</v>
      </c>
      <c r="G11" s="14">
        <f>SUM(Loans!$G$2:$G$4)</f>
        <v>5580000</v>
      </c>
      <c r="H11" s="14">
        <f>SUMIF(CapEx_Plan!A:A,A11,CapEx_Plan!D:D)</f>
        <v>0</v>
      </c>
      <c r="I11" s="14">
        <v>0</v>
      </c>
      <c r="J11" s="14">
        <f t="shared" si="1"/>
        <v>137097656.08814082</v>
      </c>
      <c r="K11" s="14">
        <f t="shared" si="2"/>
        <v>12576339.457297415</v>
      </c>
      <c r="L11" s="14">
        <f t="shared" si="3"/>
        <v>104309187.23207833</v>
      </c>
    </row>
    <row r="12" spans="1:12" x14ac:dyDescent="0.35">
      <c r="A12" s="10" t="s">
        <v>268</v>
      </c>
      <c r="B12" s="13">
        <f t="shared" si="4"/>
        <v>104309187.23207833</v>
      </c>
      <c r="C12" s="14">
        <f>C11*(1+Assumptions!$B$2)</f>
        <v>161490363.61481491</v>
      </c>
      <c r="D12" s="14">
        <f t="shared" si="0"/>
        <v>153415845.43407416</v>
      </c>
      <c r="E12" s="14">
        <f>C12*Assumptions!$B$3</f>
        <v>106583639.98577784</v>
      </c>
      <c r="F12" s="14">
        <f>F11*(1+Assumptions!$B$4)</f>
        <v>27864020.48255733</v>
      </c>
      <c r="G12" s="14">
        <f>SUM(Loans!$G$2:$G$4)</f>
        <v>5580000</v>
      </c>
      <c r="H12" s="14">
        <f>SUMIF(CapEx_Plan!A:A,A12,CapEx_Plan!D:D)</f>
        <v>0</v>
      </c>
      <c r="I12" s="14">
        <v>0</v>
      </c>
      <c r="J12" s="14">
        <f t="shared" si="1"/>
        <v>140027660.46833518</v>
      </c>
      <c r="K12" s="14">
        <f t="shared" si="2"/>
        <v>13388184.965738982</v>
      </c>
      <c r="L12" s="14">
        <f t="shared" si="3"/>
        <v>117697372.19781731</v>
      </c>
    </row>
    <row r="13" spans="1:12" x14ac:dyDescent="0.35">
      <c r="A13" s="10" t="s">
        <v>269</v>
      </c>
      <c r="B13" s="13">
        <f t="shared" si="4"/>
        <v>117697372.19781731</v>
      </c>
      <c r="C13" s="14">
        <f>C12*(1+Assumptions!$B$2)</f>
        <v>165527622.70518526</v>
      </c>
      <c r="D13" s="14">
        <f t="shared" si="0"/>
        <v>157251241.56992599</v>
      </c>
      <c r="E13" s="14">
        <f>C13*Assumptions!$B$3</f>
        <v>109248230.98542228</v>
      </c>
      <c r="F13" s="14">
        <f>F12*(1+Assumptions!$B$4)</f>
        <v>28198388.728348017</v>
      </c>
      <c r="G13" s="14">
        <f>SUM(Loans!$G$2:$G$4)</f>
        <v>5580000</v>
      </c>
      <c r="H13" s="14">
        <f>SUMIF(CapEx_Plan!A:A,A13,CapEx_Plan!D:D)</f>
        <v>0</v>
      </c>
      <c r="I13" s="14">
        <v>0</v>
      </c>
      <c r="J13" s="14">
        <f t="shared" si="1"/>
        <v>143026619.7137703</v>
      </c>
      <c r="K13" s="14">
        <f t="shared" si="2"/>
        <v>14224621.856155694</v>
      </c>
      <c r="L13" s="14">
        <f t="shared" si="3"/>
        <v>131921994.053973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F548D2D-3244-4AD0-AE23-9B964FE95B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Cash_Forecast_12M!L3:L13</xm:f>
              <xm:sqref>L14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D22"/>
  <sheetViews>
    <sheetView workbookViewId="0">
      <pane ySplit="1" topLeftCell="A7" activePane="bottomLeft" state="frozen"/>
      <selection pane="bottomLeft" activeCell="F10" sqref="F10"/>
    </sheetView>
  </sheetViews>
  <sheetFormatPr defaultRowHeight="14.5" x14ac:dyDescent="0.35"/>
  <cols>
    <col min="1" max="1" width="29.6328125" bestFit="1" customWidth="1"/>
    <col min="2" max="2" width="17.7265625" bestFit="1" customWidth="1"/>
    <col min="3" max="3" width="13.54296875" bestFit="1" customWidth="1"/>
    <col min="4" max="4" width="29" bestFit="1" customWidth="1"/>
  </cols>
  <sheetData>
    <row r="1" spans="1:4" x14ac:dyDescent="0.35">
      <c r="A1" s="16" t="s">
        <v>19</v>
      </c>
      <c r="B1" s="16" t="s">
        <v>249</v>
      </c>
      <c r="C1" s="16" t="s">
        <v>250</v>
      </c>
      <c r="D1" s="16" t="s">
        <v>251</v>
      </c>
    </row>
    <row r="2" spans="1:4" x14ac:dyDescent="0.35">
      <c r="A2" s="10" t="s">
        <v>54</v>
      </c>
      <c r="B2" s="14">
        <f>SUMIF(Historical_Monthly!A:A,"2025-07",Historical_Monthly!H:H)</f>
        <v>112017999</v>
      </c>
      <c r="C2" s="14">
        <f>SUMIF(Historical_Monthly!A:A,"2025-07",Historical_Monthly!I:I)</f>
        <v>107921424</v>
      </c>
      <c r="D2" s="14">
        <f>B2-C2</f>
        <v>4096575</v>
      </c>
    </row>
    <row r="3" spans="1:4" x14ac:dyDescent="0.35">
      <c r="A3" s="10" t="s">
        <v>55</v>
      </c>
      <c r="B3" s="14">
        <f>SUMIF(Historical_Monthly!A:A,"2025-08",Historical_Monthly!H:H)</f>
        <v>110190652</v>
      </c>
      <c r="C3" s="14">
        <f>SUMIF(Historical_Monthly!A:A,"2025-08",Historical_Monthly!I:I)</f>
        <v>106488362</v>
      </c>
      <c r="D3" s="14">
        <f>B3-C3</f>
        <v>3702290</v>
      </c>
    </row>
    <row r="4" spans="1:4" x14ac:dyDescent="0.35">
      <c r="A4" s="10" t="s">
        <v>56</v>
      </c>
      <c r="B4" s="14">
        <f>SUMIF(Historical_Monthly!A:A,"2025-09",Historical_Monthly!H:H)</f>
        <v>113041518</v>
      </c>
      <c r="C4" s="14">
        <f>SUMIF(Historical_Monthly!A:A,"2025-09",Historical_Monthly!I:I)</f>
        <v>110687618</v>
      </c>
      <c r="D4" s="14">
        <f>B4-C4</f>
        <v>2353900</v>
      </c>
    </row>
    <row r="5" spans="1:4" x14ac:dyDescent="0.35">
      <c r="A5" s="10"/>
      <c r="B5" s="14"/>
      <c r="C5" s="14"/>
      <c r="D5" s="14"/>
    </row>
    <row r="6" spans="1:4" x14ac:dyDescent="0.35">
      <c r="A6" s="17" t="s">
        <v>252</v>
      </c>
      <c r="B6" s="14"/>
      <c r="C6" s="14"/>
      <c r="D6" s="14">
        <f>AVERAGE(D2:D4)</f>
        <v>3384255</v>
      </c>
    </row>
    <row r="10" spans="1:4" x14ac:dyDescent="0.35">
      <c r="A10" s="10" t="s">
        <v>270</v>
      </c>
      <c r="D10" t="str">
        <f t="array" ref="D10">IFERROR(MATCH(TRUE,Cash_Forecast_12M!L2:L13&lt;=0,0),"12+ months — cash stays positive")</f>
        <v>12+ months — cash stays positive</v>
      </c>
    </row>
    <row r="12" spans="1:4" x14ac:dyDescent="0.35">
      <c r="A12" s="10" t="s">
        <v>273</v>
      </c>
      <c r="D12">
        <f t="array" ref="D12">MATCH(TRUE,Stress_Test!K3:K14&lt;=0,0)</f>
        <v>6</v>
      </c>
    </row>
    <row r="14" spans="1:4" x14ac:dyDescent="0.35">
      <c r="A14" s="10" t="s">
        <v>277</v>
      </c>
      <c r="D14" t="str">
        <f t="array" ref="D14">IFERROR(MATCH(TRUE,Stress_Test!L19:L30&lt;=0,0),"12+ months — cash stays positive")</f>
        <v>12+ months — cash stays positive</v>
      </c>
    </row>
    <row r="18" spans="1:2" x14ac:dyDescent="0.35">
      <c r="A18" s="17" t="s">
        <v>279</v>
      </c>
    </row>
    <row r="19" spans="1:2" x14ac:dyDescent="0.35">
      <c r="A19" s="10" t="s">
        <v>280</v>
      </c>
      <c r="B19" t="str">
        <f t="array" ref="B19">_xlfn.XLOOKUP(MAX(AP_Schedule!E:E),AP_Schedule!E:E,AP_Schedule!A:A)</f>
        <v>Bento Africa Payroll</v>
      </c>
    </row>
    <row r="20" spans="1:2" x14ac:dyDescent="0.35">
      <c r="A20" s="10" t="s">
        <v>281</v>
      </c>
      <c r="B20" s="15">
        <f t="array" ref="B20">MAX(AP_Schedule!E:E)</f>
        <v>12400000</v>
      </c>
    </row>
    <row r="21" spans="1:2" x14ac:dyDescent="0.35">
      <c r="A21" s="10" t="s">
        <v>282</v>
      </c>
      <c r="B21" s="11" t="str">
        <f t="array" ref="B21">_xlfn.XLOOKUP(MAX(AP_Schedule!E:E),AP_Schedule!E:E,AP_Schedule!D:D)</f>
        <v>2025-10-25</v>
      </c>
    </row>
    <row r="22" spans="1:2" x14ac:dyDescent="0.35">
      <c r="A22" s="10" t="s">
        <v>147</v>
      </c>
      <c r="B22" t="str">
        <f>_xlfn.XLOOKUP(MAX(AP_Schedule!E:E),AP_Schedule!E:E,AP_Schedule!F:F)</f>
        <v>Recurring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L38"/>
  <sheetViews>
    <sheetView workbookViewId="0">
      <pane ySplit="1" topLeftCell="A30" activePane="bottomLeft" state="frozen"/>
      <selection pane="bottomLeft" activeCell="C5" sqref="C5:C14"/>
    </sheetView>
  </sheetViews>
  <sheetFormatPr defaultRowHeight="14.5" x14ac:dyDescent="0.35"/>
  <cols>
    <col min="1" max="1" width="33.7265625" bestFit="1" customWidth="1"/>
    <col min="2" max="2" width="13.08984375" bestFit="1" customWidth="1"/>
    <col min="3" max="3" width="22.81640625" bestFit="1" customWidth="1"/>
    <col min="4" max="4" width="21.7265625" bestFit="1" customWidth="1"/>
    <col min="5" max="5" width="12.453125" bestFit="1" customWidth="1"/>
    <col min="6" max="6" width="13.7265625" bestFit="1" customWidth="1"/>
    <col min="7" max="7" width="13.6328125" bestFit="1" customWidth="1"/>
    <col min="8" max="8" width="12.54296875" bestFit="1" customWidth="1"/>
    <col min="9" max="9" width="13.36328125" bestFit="1" customWidth="1"/>
    <col min="10" max="10" width="13.26953125" bestFit="1" customWidth="1"/>
    <col min="11" max="11" width="13.08984375" bestFit="1" customWidth="1"/>
    <col min="12" max="12" width="12.54296875" bestFit="1" customWidth="1"/>
  </cols>
  <sheetData>
    <row r="1" spans="1:11" x14ac:dyDescent="0.35">
      <c r="A1" s="20" t="s">
        <v>271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s="37" customFormat="1" x14ac:dyDescent="0.35">
      <c r="A2" s="18" t="s">
        <v>19</v>
      </c>
      <c r="B2" s="26" t="s">
        <v>253</v>
      </c>
      <c r="C2" s="26" t="s">
        <v>272</v>
      </c>
      <c r="D2" s="26" t="s">
        <v>256</v>
      </c>
      <c r="E2" s="26" t="s">
        <v>257</v>
      </c>
      <c r="F2" s="26" t="s">
        <v>258</v>
      </c>
      <c r="G2" s="26" t="s">
        <v>259</v>
      </c>
      <c r="H2" s="26" t="s">
        <v>260</v>
      </c>
      <c r="I2" s="26" t="s">
        <v>261</v>
      </c>
      <c r="J2" s="26" t="s">
        <v>251</v>
      </c>
      <c r="K2" s="26" t="s">
        <v>262</v>
      </c>
    </row>
    <row r="3" spans="1:11" x14ac:dyDescent="0.35">
      <c r="A3" s="10" t="s">
        <v>204</v>
      </c>
      <c r="B3" s="13">
        <f>Cash_Forecast_12M!B2</f>
        <v>122990111</v>
      </c>
      <c r="C3" s="13">
        <f>(Cash_Forecast_12M!C2*0.8*0.9875*0.95)-18400000</f>
        <v>76280088.469475001</v>
      </c>
      <c r="D3" s="13">
        <f>Cash_Forecast_12M!E2*0.8</f>
        <v>66610375.365600005</v>
      </c>
      <c r="E3" s="13">
        <f>Cash_Forecast_12M!F2</f>
        <v>24730827.923999999</v>
      </c>
      <c r="F3" s="13">
        <f>SUM(Loans!$G$2:$G$4)</f>
        <v>5580000</v>
      </c>
      <c r="G3" s="13">
        <f>Cash_Forecast_12M!H2</f>
        <v>14000000</v>
      </c>
      <c r="H3" s="13">
        <f>Cash_Forecast_12M!I2</f>
        <v>6760000</v>
      </c>
      <c r="I3" s="13">
        <f>D3+E3+F3+G3+H3</f>
        <v>117681203.2896</v>
      </c>
      <c r="J3" s="13">
        <f>C3-I3</f>
        <v>-41401114.820124999</v>
      </c>
      <c r="K3" s="13">
        <f>B3+J3</f>
        <v>81588996.179875001</v>
      </c>
    </row>
    <row r="4" spans="1:11" x14ac:dyDescent="0.35">
      <c r="A4" s="10" t="s">
        <v>207</v>
      </c>
      <c r="B4" s="13">
        <f>K3</f>
        <v>81588996.179875001</v>
      </c>
      <c r="C4" s="13">
        <f>(Cash_Forecast_12M!C3*0.8*0.9875*0.95)-18400000</f>
        <v>78647090.681211874</v>
      </c>
      <c r="D4" s="13">
        <f>Cash_Forecast_12M!E3*0.8</f>
        <v>68275634.74973999</v>
      </c>
      <c r="E4" s="13">
        <f>Cash_Forecast_12M!F3</f>
        <v>25027597.859088</v>
      </c>
      <c r="F4" s="13">
        <f>SUM(Loans!$G$2:$G$4)</f>
        <v>5580000</v>
      </c>
      <c r="G4" s="13">
        <f>Cash_Forecast_12M!H3</f>
        <v>6800000</v>
      </c>
      <c r="H4" s="13">
        <f>Cash_Forecast_12M!I3</f>
        <v>6300000</v>
      </c>
      <c r="I4" s="13">
        <f t="shared" ref="I4:I14" si="0">D4+E4+F4+G4+H4</f>
        <v>111983232.60882799</v>
      </c>
      <c r="J4" s="13">
        <f t="shared" ref="J4:J14" si="1">C4-I4</f>
        <v>-33336141.927616119</v>
      </c>
      <c r="K4" s="13">
        <f t="shared" ref="K4:K14" si="2">B4+J4</f>
        <v>48252854.252258882</v>
      </c>
    </row>
    <row r="5" spans="1:11" x14ac:dyDescent="0.35">
      <c r="A5" s="10" t="s">
        <v>263</v>
      </c>
      <c r="B5" s="13">
        <f t="shared" ref="B5:B14" si="3">K4</f>
        <v>48252854.252258882</v>
      </c>
      <c r="C5" s="13">
        <f>Cash_Forecast_12M!C4*0.8*0.9875*0.95</f>
        <v>99473267.948242158</v>
      </c>
      <c r="D5" s="13">
        <f>Cash_Forecast_12M!E4*0.8</f>
        <v>69982525.618483484</v>
      </c>
      <c r="E5" s="13">
        <f>Cash_Forecast_12M!F4</f>
        <v>25327929.033397056</v>
      </c>
      <c r="F5" s="13">
        <f>SUM(Loans!$G$2:$G$4)</f>
        <v>5580000</v>
      </c>
      <c r="G5" s="13">
        <f>Cash_Forecast_12M!H4</f>
        <v>0</v>
      </c>
      <c r="H5" s="13">
        <f>Cash_Forecast_12M!I4</f>
        <v>18400000</v>
      </c>
      <c r="I5" s="13">
        <f t="shared" si="0"/>
        <v>119290454.65188053</v>
      </c>
      <c r="J5" s="13">
        <f t="shared" si="1"/>
        <v>-19817186.703638375</v>
      </c>
      <c r="K5" s="13">
        <f t="shared" si="2"/>
        <v>28435667.548620507</v>
      </c>
    </row>
    <row r="6" spans="1:11" x14ac:dyDescent="0.35">
      <c r="A6" s="10" t="s">
        <v>209</v>
      </c>
      <c r="B6" s="13">
        <f t="shared" si="3"/>
        <v>28435667.548620507</v>
      </c>
      <c r="C6" s="13">
        <f>Cash_Forecast_12M!C5*0.8*0.9875*0.95</f>
        <v>101960099.64694819</v>
      </c>
      <c r="D6" s="13">
        <f>Cash_Forecast_12M!E5*0.8</f>
        <v>71732088.758945569</v>
      </c>
      <c r="E6" s="13">
        <f>Cash_Forecast_12M!F5</f>
        <v>25631864.181797821</v>
      </c>
      <c r="F6" s="13">
        <f>SUM(Loans!$G$2:$G$4)</f>
        <v>5580000</v>
      </c>
      <c r="G6" s="13">
        <f>Cash_Forecast_12M!H5</f>
        <v>22000000</v>
      </c>
      <c r="H6" s="13">
        <f>Cash_Forecast_12M!I5</f>
        <v>0</v>
      </c>
      <c r="I6" s="13">
        <f t="shared" si="0"/>
        <v>124943952.94074339</v>
      </c>
      <c r="J6" s="13">
        <f t="shared" si="1"/>
        <v>-22983853.293795198</v>
      </c>
      <c r="K6" s="13">
        <f t="shared" si="2"/>
        <v>5451814.2548253089</v>
      </c>
    </row>
    <row r="7" spans="1:11" x14ac:dyDescent="0.35">
      <c r="A7" s="10" t="s">
        <v>264</v>
      </c>
      <c r="B7" s="13">
        <f t="shared" si="3"/>
        <v>5451814.2548253089</v>
      </c>
      <c r="C7" s="13">
        <f>Cash_Forecast_12M!C6*0.8*0.9875*0.95</f>
        <v>104509102.13812187</v>
      </c>
      <c r="D7" s="13">
        <f>Cash_Forecast_12M!E6*0.8</f>
        <v>73525390.977919191</v>
      </c>
      <c r="E7" s="13">
        <f>Cash_Forecast_12M!F6</f>
        <v>25939446.551979396</v>
      </c>
      <c r="F7" s="13">
        <f>SUM(Loans!$G$2:$G$4)</f>
        <v>5580000</v>
      </c>
      <c r="G7" s="13">
        <f>Cash_Forecast_12M!H6</f>
        <v>0</v>
      </c>
      <c r="H7" s="13">
        <f>Cash_Forecast_12M!I6</f>
        <v>0</v>
      </c>
      <c r="I7" s="13">
        <f t="shared" si="0"/>
        <v>105044837.52989858</v>
      </c>
      <c r="J7" s="13">
        <f t="shared" si="1"/>
        <v>-535735.39177671075</v>
      </c>
      <c r="K7" s="13">
        <f t="shared" si="2"/>
        <v>4916078.8630485982</v>
      </c>
    </row>
    <row r="8" spans="1:11" x14ac:dyDescent="0.35">
      <c r="A8" s="10" t="s">
        <v>212</v>
      </c>
      <c r="B8" s="13">
        <f t="shared" si="3"/>
        <v>4916078.8630485982</v>
      </c>
      <c r="C8" s="13">
        <f>Cash_Forecast_12M!C7*0.8*0.9875*0.95</f>
        <v>107121829.69157492</v>
      </c>
      <c r="D8" s="13">
        <f>Cash_Forecast_12M!E7*0.8</f>
        <v>75363525.752367169</v>
      </c>
      <c r="E8" s="13">
        <f>Cash_Forecast_12M!F7</f>
        <v>26250719.910603151</v>
      </c>
      <c r="F8" s="13">
        <f>SUM(Loans!$G$2:$G$4)</f>
        <v>5580000</v>
      </c>
      <c r="G8" s="13">
        <f>Cash_Forecast_12M!H7</f>
        <v>9400000</v>
      </c>
      <c r="H8" s="13">
        <f>Cash_Forecast_12M!I7</f>
        <v>0</v>
      </c>
      <c r="I8" s="13">
        <f t="shared" si="0"/>
        <v>116594245.66297032</v>
      </c>
      <c r="J8" s="13">
        <f t="shared" si="1"/>
        <v>-9472415.9713954031</v>
      </c>
      <c r="K8" s="13">
        <f t="shared" si="2"/>
        <v>-4556337.108346805</v>
      </c>
    </row>
    <row r="9" spans="1:11" x14ac:dyDescent="0.35">
      <c r="A9" s="10" t="s">
        <v>265</v>
      </c>
      <c r="B9" s="13">
        <f t="shared" si="3"/>
        <v>-4556337.108346805</v>
      </c>
      <c r="C9" s="13">
        <f>Cash_Forecast_12M!C8*0.8*0.9875*0.95</f>
        <v>109799875.43386427</v>
      </c>
      <c r="D9" s="13">
        <f>Cash_Forecast_12M!E8*0.8</f>
        <v>77247613.896176323</v>
      </c>
      <c r="E9" s="13">
        <f>Cash_Forecast_12M!F8</f>
        <v>26565728.549530391</v>
      </c>
      <c r="F9" s="13">
        <f>SUM(Loans!$G$2:$G$4)</f>
        <v>5580000</v>
      </c>
      <c r="G9" s="13">
        <f>Cash_Forecast_12M!H8</f>
        <v>0</v>
      </c>
      <c r="H9" s="13">
        <f>Cash_Forecast_12M!I8</f>
        <v>0</v>
      </c>
      <c r="I9" s="13">
        <f t="shared" si="0"/>
        <v>109393342.44570671</v>
      </c>
      <c r="J9" s="13">
        <f t="shared" si="1"/>
        <v>406532.98815755546</v>
      </c>
      <c r="K9" s="13">
        <f t="shared" si="2"/>
        <v>-4149804.1201892495</v>
      </c>
    </row>
    <row r="10" spans="1:11" x14ac:dyDescent="0.35">
      <c r="A10" s="10" t="s">
        <v>266</v>
      </c>
      <c r="B10" s="13">
        <f t="shared" si="3"/>
        <v>-4149804.1201892495</v>
      </c>
      <c r="C10" s="13">
        <f>Cash_Forecast_12M!C9*0.8*0.9875*0.95</f>
        <v>112544872.31971087</v>
      </c>
      <c r="D10" s="13">
        <f>Cash_Forecast_12M!E9*0.8</f>
        <v>79178804.243580744</v>
      </c>
      <c r="E10" s="13">
        <f>Cash_Forecast_12M!F9</f>
        <v>26884517.292124756</v>
      </c>
      <c r="F10" s="13">
        <f>SUM(Loans!$G$2:$G$4)</f>
        <v>5580000</v>
      </c>
      <c r="G10" s="13">
        <f>Cash_Forecast_12M!H9</f>
        <v>0</v>
      </c>
      <c r="H10" s="13">
        <f>Cash_Forecast_12M!I9</f>
        <v>0</v>
      </c>
      <c r="I10" s="13">
        <f t="shared" si="0"/>
        <v>111643321.53570551</v>
      </c>
      <c r="J10" s="13">
        <f t="shared" si="1"/>
        <v>901550.78400535882</v>
      </c>
      <c r="K10" s="13">
        <f t="shared" si="2"/>
        <v>-3248253.3361838907</v>
      </c>
    </row>
    <row r="11" spans="1:11" x14ac:dyDescent="0.35">
      <c r="A11" s="10" t="s">
        <v>214</v>
      </c>
      <c r="B11" s="13">
        <f t="shared" si="3"/>
        <v>-3248253.3361838907</v>
      </c>
      <c r="C11" s="13">
        <f>Cash_Forecast_12M!C10*0.8*0.9875*0.95</f>
        <v>115358494.12770364</v>
      </c>
      <c r="D11" s="13">
        <f>Cash_Forecast_12M!E10*0.8</f>
        <v>81158274.349670246</v>
      </c>
      <c r="E11" s="13">
        <f>Cash_Forecast_12M!F10</f>
        <v>27207131.499630254</v>
      </c>
      <c r="F11" s="13">
        <f>SUM(Loans!$G$2:$G$4)</f>
        <v>5580000</v>
      </c>
      <c r="G11" s="13">
        <f>Cash_Forecast_12M!H10</f>
        <v>28000000</v>
      </c>
      <c r="H11" s="13">
        <f>Cash_Forecast_12M!I10</f>
        <v>0</v>
      </c>
      <c r="I11" s="13">
        <f t="shared" si="0"/>
        <v>141945405.8493005</v>
      </c>
      <c r="J11" s="13">
        <f t="shared" si="1"/>
        <v>-26586911.721596867</v>
      </c>
      <c r="K11" s="13">
        <f t="shared" si="2"/>
        <v>-29835165.057780758</v>
      </c>
    </row>
    <row r="12" spans="1:11" x14ac:dyDescent="0.35">
      <c r="A12" s="10" t="s">
        <v>267</v>
      </c>
      <c r="B12" s="13">
        <f t="shared" si="3"/>
        <v>-29835165.057780758</v>
      </c>
      <c r="C12" s="13">
        <f>Cash_Forecast_12M!C11*0.8*0.9875*0.95</f>
        <v>118242456.4808962</v>
      </c>
      <c r="D12" s="13">
        <f>Cash_Forecast_12M!E11*0.8</f>
        <v>83187231.208411992</v>
      </c>
      <c r="E12" s="13">
        <f>Cash_Forecast_12M!F11</f>
        <v>27533617.077625819</v>
      </c>
      <c r="F12" s="13">
        <f>SUM(Loans!$G$2:$G$4)</f>
        <v>5580000</v>
      </c>
      <c r="G12" s="13">
        <f>Cash_Forecast_12M!H11</f>
        <v>0</v>
      </c>
      <c r="H12" s="13">
        <f>Cash_Forecast_12M!I11</f>
        <v>0</v>
      </c>
      <c r="I12" s="13">
        <f t="shared" si="0"/>
        <v>116300848.2860378</v>
      </c>
      <c r="J12" s="13">
        <f t="shared" si="1"/>
        <v>1941608.194858402</v>
      </c>
      <c r="K12" s="13">
        <f t="shared" si="2"/>
        <v>-27893556.862922356</v>
      </c>
    </row>
    <row r="13" spans="1:11" x14ac:dyDescent="0.35">
      <c r="A13" s="10" t="s">
        <v>268</v>
      </c>
      <c r="B13" s="13">
        <f t="shared" si="3"/>
        <v>-27893556.862922356</v>
      </c>
      <c r="C13" s="13">
        <f>Cash_Forecast_12M!C12*0.8*0.9875*0.95</f>
        <v>121198517.8929186</v>
      </c>
      <c r="D13" s="13">
        <f>Cash_Forecast_12M!E12*0.8</f>
        <v>85266911.988622278</v>
      </c>
      <c r="E13" s="13">
        <f>Cash_Forecast_12M!F12</f>
        <v>27864020.48255733</v>
      </c>
      <c r="F13" s="13">
        <f>SUM(Loans!$G$2:$G$4)</f>
        <v>5580000</v>
      </c>
      <c r="G13" s="13">
        <f>Cash_Forecast_12M!H12</f>
        <v>0</v>
      </c>
      <c r="H13" s="13">
        <f>Cash_Forecast_12M!I12</f>
        <v>0</v>
      </c>
      <c r="I13" s="13">
        <f t="shared" si="0"/>
        <v>118710932.4711796</v>
      </c>
      <c r="J13" s="13">
        <f t="shared" si="1"/>
        <v>2487585.4217389971</v>
      </c>
      <c r="K13" s="13">
        <f t="shared" si="2"/>
        <v>-25405971.441183358</v>
      </c>
    </row>
    <row r="14" spans="1:11" x14ac:dyDescent="0.35">
      <c r="A14" s="10" t="s">
        <v>269</v>
      </c>
      <c r="B14" s="13">
        <f t="shared" si="3"/>
        <v>-25405971.441183358</v>
      </c>
      <c r="C14" s="13">
        <f>Cash_Forecast_12M!C13*0.8*0.9875*0.95</f>
        <v>124228480.84024154</v>
      </c>
      <c r="D14" s="13">
        <f>Cash_Forecast_12M!E13*0.8</f>
        <v>87398584.788337827</v>
      </c>
      <c r="E14" s="13">
        <f>Cash_Forecast_12M!F13</f>
        <v>28198388.728348017</v>
      </c>
      <c r="F14" s="13">
        <f>SUM(Loans!$G$2:$G$4)</f>
        <v>5580000</v>
      </c>
      <c r="G14" s="13">
        <f>Cash_Forecast_12M!H13</f>
        <v>0</v>
      </c>
      <c r="H14" s="13">
        <f>Cash_Forecast_12M!I13</f>
        <v>0</v>
      </c>
      <c r="I14" s="13">
        <f t="shared" si="0"/>
        <v>121176973.51668584</v>
      </c>
      <c r="J14" s="13">
        <f t="shared" si="1"/>
        <v>3051507.323555693</v>
      </c>
      <c r="K14" s="13">
        <f t="shared" si="2"/>
        <v>-22354464.117627665</v>
      </c>
    </row>
    <row r="17" spans="1:12" x14ac:dyDescent="0.35">
      <c r="A17" s="17" t="s">
        <v>274</v>
      </c>
    </row>
    <row r="18" spans="1:12" x14ac:dyDescent="0.35">
      <c r="A18" s="19" t="s">
        <v>19</v>
      </c>
      <c r="B18" s="19" t="s">
        <v>253</v>
      </c>
      <c r="C18" s="35" t="s">
        <v>275</v>
      </c>
      <c r="D18" s="35" t="s">
        <v>276</v>
      </c>
      <c r="E18" s="22" t="s">
        <v>256</v>
      </c>
      <c r="F18" s="22" t="s">
        <v>257</v>
      </c>
      <c r="G18" s="22" t="s">
        <v>258</v>
      </c>
      <c r="H18" s="22" t="s">
        <v>259</v>
      </c>
      <c r="I18" s="22" t="s">
        <v>260</v>
      </c>
      <c r="J18" s="24" t="s">
        <v>261</v>
      </c>
      <c r="K18" s="24" t="s">
        <v>251</v>
      </c>
      <c r="L18" s="24" t="s">
        <v>262</v>
      </c>
    </row>
    <row r="19" spans="1:12" x14ac:dyDescent="0.35">
      <c r="A19" s="10" t="s">
        <v>204</v>
      </c>
      <c r="B19" s="13">
        <f>Cash_Forecast_12M!B2</f>
        <v>122990111</v>
      </c>
      <c r="C19" s="36">
        <f>(Cash_Forecast_12M!C2*0.8*0.9875*0.95)-18400000</f>
        <v>76280088.469475001</v>
      </c>
      <c r="D19" s="36">
        <v>0</v>
      </c>
      <c r="E19" s="21">
        <f>Cash_Forecast_12M!E2*0.8</f>
        <v>66610375.365600005</v>
      </c>
      <c r="F19" s="21">
        <f>Cash_Forecast_12M!F2</f>
        <v>24730827.923999999</v>
      </c>
      <c r="G19" s="21">
        <f>SUM(Loans!$G$2:$G$4)</f>
        <v>5580000</v>
      </c>
      <c r="H19" s="21">
        <f>Cash_Forecast_12M!H2</f>
        <v>14000000</v>
      </c>
      <c r="I19" s="21">
        <f>Cash_Forecast_12M!I2</f>
        <v>6760000</v>
      </c>
      <c r="J19" s="23">
        <f>E19+F19+G19+H19+I19</f>
        <v>117681203.2896</v>
      </c>
      <c r="K19" s="23">
        <f>C19+D19-J19</f>
        <v>-41401114.820124999</v>
      </c>
      <c r="L19" s="23">
        <f>B19+K19</f>
        <v>81588996.179875001</v>
      </c>
    </row>
    <row r="20" spans="1:12" x14ac:dyDescent="0.35">
      <c r="A20" s="10" t="s">
        <v>207</v>
      </c>
      <c r="B20" s="13">
        <f>L19</f>
        <v>81588996.179875001</v>
      </c>
      <c r="C20" s="36">
        <f>(Cash_Forecast_12M!C3*0.8*0.9875*0.95)-18400000</f>
        <v>78647090.681211874</v>
      </c>
      <c r="D20" s="36">
        <v>0</v>
      </c>
      <c r="E20" s="21">
        <f>Cash_Forecast_12M!E3*0.8</f>
        <v>68275634.74973999</v>
      </c>
      <c r="F20" s="21">
        <f>Cash_Forecast_12M!F3</f>
        <v>25027597.859088</v>
      </c>
      <c r="G20" s="21">
        <f>SUM(Loans!$G$2:$G$4)</f>
        <v>5580000</v>
      </c>
      <c r="H20" s="21">
        <f>Cash_Forecast_12M!H3</f>
        <v>6800000</v>
      </c>
      <c r="I20" s="21">
        <f>Cash_Forecast_12M!I3</f>
        <v>6300000</v>
      </c>
      <c r="J20" s="23">
        <f t="shared" ref="J20:J30" si="4">E20+F20+G20+H20+I20</f>
        <v>111983232.60882799</v>
      </c>
      <c r="K20" s="23">
        <f t="shared" ref="K20:K30" si="5">C20+D20-J20</f>
        <v>-33336141.927616119</v>
      </c>
      <c r="L20" s="23">
        <f t="shared" ref="L20:L30" si="6">B20+K20</f>
        <v>48252854.252258882</v>
      </c>
    </row>
    <row r="21" spans="1:12" x14ac:dyDescent="0.35">
      <c r="A21" s="10" t="s">
        <v>263</v>
      </c>
      <c r="B21" s="13">
        <f t="shared" ref="B21:B30" si="7">L20</f>
        <v>48252854.252258882</v>
      </c>
      <c r="C21" s="36">
        <f>Cash_Forecast_12M!C4*0.8*0.9875*0.95</f>
        <v>99473267.948242158</v>
      </c>
      <c r="D21" s="36">
        <v>0</v>
      </c>
      <c r="E21" s="21">
        <f>Cash_Forecast_12M!E4*0.8</f>
        <v>69982525.618483484</v>
      </c>
      <c r="F21" s="21">
        <f>Cash_Forecast_12M!F4</f>
        <v>25327929.033397056</v>
      </c>
      <c r="G21" s="21">
        <f>SUM(Loans!$G$2:$G$4)</f>
        <v>5580000</v>
      </c>
      <c r="H21" s="21">
        <f>Cash_Forecast_12M!H4</f>
        <v>0</v>
      </c>
      <c r="I21" s="21">
        <f>Cash_Forecast_12M!I4</f>
        <v>18400000</v>
      </c>
      <c r="J21" s="23">
        <f t="shared" si="4"/>
        <v>119290454.65188053</v>
      </c>
      <c r="K21" s="23">
        <f t="shared" si="5"/>
        <v>-19817186.703638375</v>
      </c>
      <c r="L21" s="23">
        <f t="shared" si="6"/>
        <v>28435667.548620507</v>
      </c>
    </row>
    <row r="22" spans="1:12" x14ac:dyDescent="0.35">
      <c r="A22" s="10" t="s">
        <v>209</v>
      </c>
      <c r="B22" s="13">
        <f t="shared" si="7"/>
        <v>28435667.548620507</v>
      </c>
      <c r="C22" s="36">
        <f>Cash_Forecast_12M!C5*0.8*0.9875*0.95</f>
        <v>101960099.64694819</v>
      </c>
      <c r="D22" s="36">
        <f>400000000</f>
        <v>400000000</v>
      </c>
      <c r="E22" s="21">
        <f>Cash_Forecast_12M!E5*0.8</f>
        <v>71732088.758945569</v>
      </c>
      <c r="F22" s="21">
        <f>Cash_Forecast_12M!F5</f>
        <v>25631864.181797821</v>
      </c>
      <c r="G22" s="21">
        <f>SUM(Loans!$G$2:$G$4)</f>
        <v>5580000</v>
      </c>
      <c r="H22" s="21">
        <f>Cash_Forecast_12M!H5</f>
        <v>22000000</v>
      </c>
      <c r="I22" s="21">
        <f>Cash_Forecast_12M!I5</f>
        <v>0</v>
      </c>
      <c r="J22" s="23">
        <f t="shared" si="4"/>
        <v>124943952.94074339</v>
      </c>
      <c r="K22" s="23">
        <f t="shared" si="5"/>
        <v>377016146.70620483</v>
      </c>
      <c r="L22" s="36">
        <f>B22+K22</f>
        <v>405451814.25482535</v>
      </c>
    </row>
    <row r="23" spans="1:12" x14ac:dyDescent="0.35">
      <c r="A23" s="10" t="s">
        <v>264</v>
      </c>
      <c r="B23" s="13">
        <f t="shared" si="7"/>
        <v>405451814.25482535</v>
      </c>
      <c r="C23" s="36">
        <f>Cash_Forecast_12M!C6*0.8*0.9875*0.95</f>
        <v>104509102.13812187</v>
      </c>
      <c r="D23" s="36">
        <v>0</v>
      </c>
      <c r="E23" s="21">
        <f>Cash_Forecast_12M!E6*0.8</f>
        <v>73525390.977919191</v>
      </c>
      <c r="F23" s="21">
        <f>Cash_Forecast_12M!F6</f>
        <v>25939446.551979396</v>
      </c>
      <c r="G23" s="21">
        <f>SUM(Loans!$G$2:$G$4)</f>
        <v>5580000</v>
      </c>
      <c r="H23" s="21">
        <f>Cash_Forecast_12M!H6</f>
        <v>0</v>
      </c>
      <c r="I23" s="21">
        <f>Cash_Forecast_12M!I6</f>
        <v>0</v>
      </c>
      <c r="J23" s="23">
        <f t="shared" si="4"/>
        <v>105044837.52989858</v>
      </c>
      <c r="K23" s="23">
        <f t="shared" si="5"/>
        <v>-535735.39177671075</v>
      </c>
      <c r="L23" s="36">
        <f t="shared" si="6"/>
        <v>404916078.86304867</v>
      </c>
    </row>
    <row r="24" spans="1:12" x14ac:dyDescent="0.35">
      <c r="A24" s="10" t="s">
        <v>212</v>
      </c>
      <c r="B24" s="13">
        <f t="shared" si="7"/>
        <v>404916078.86304867</v>
      </c>
      <c r="C24" s="36">
        <f>Cash_Forecast_12M!C7*0.8*0.9875*0.95</f>
        <v>107121829.69157492</v>
      </c>
      <c r="D24" s="36">
        <v>0</v>
      </c>
      <c r="E24" s="21">
        <f>Cash_Forecast_12M!E7*0.8</f>
        <v>75363525.752367169</v>
      </c>
      <c r="F24" s="21">
        <f>Cash_Forecast_12M!F7</f>
        <v>26250719.910603151</v>
      </c>
      <c r="G24" s="21">
        <f>SUM(Loans!$G$2:$G$4)</f>
        <v>5580000</v>
      </c>
      <c r="H24" s="21">
        <f>Cash_Forecast_12M!H7</f>
        <v>9400000</v>
      </c>
      <c r="I24" s="21">
        <f>Cash_Forecast_12M!I7</f>
        <v>0</v>
      </c>
      <c r="J24" s="23">
        <f t="shared" si="4"/>
        <v>116594245.66297032</v>
      </c>
      <c r="K24" s="23">
        <f t="shared" si="5"/>
        <v>-9472415.9713954031</v>
      </c>
      <c r="L24" s="36">
        <f t="shared" si="6"/>
        <v>395443662.8916533</v>
      </c>
    </row>
    <row r="25" spans="1:12" x14ac:dyDescent="0.35">
      <c r="A25" s="10" t="s">
        <v>265</v>
      </c>
      <c r="B25" s="13">
        <f t="shared" si="7"/>
        <v>395443662.8916533</v>
      </c>
      <c r="C25" s="36">
        <f>Cash_Forecast_12M!C8*0.8*0.9875*0.95</f>
        <v>109799875.43386427</v>
      </c>
      <c r="D25" s="36">
        <v>0</v>
      </c>
      <c r="E25" s="21">
        <f>Cash_Forecast_12M!E8*0.8</f>
        <v>77247613.896176323</v>
      </c>
      <c r="F25" s="21">
        <f>Cash_Forecast_12M!F8</f>
        <v>26565728.549530391</v>
      </c>
      <c r="G25" s="21">
        <f>SUM(Loans!$G$2:$G$4)</f>
        <v>5580000</v>
      </c>
      <c r="H25" s="21">
        <f>Cash_Forecast_12M!H8</f>
        <v>0</v>
      </c>
      <c r="I25" s="21">
        <f>Cash_Forecast_12M!I8</f>
        <v>0</v>
      </c>
      <c r="J25" s="23">
        <f t="shared" si="4"/>
        <v>109393342.44570671</v>
      </c>
      <c r="K25" s="23">
        <f t="shared" si="5"/>
        <v>406532.98815755546</v>
      </c>
      <c r="L25" s="36">
        <f t="shared" si="6"/>
        <v>395850195.87981087</v>
      </c>
    </row>
    <row r="26" spans="1:12" x14ac:dyDescent="0.35">
      <c r="A26" s="10" t="s">
        <v>266</v>
      </c>
      <c r="B26" s="13">
        <f t="shared" si="7"/>
        <v>395850195.87981087</v>
      </c>
      <c r="C26" s="36">
        <f>Cash_Forecast_12M!C9*0.8*0.9875*0.95</f>
        <v>112544872.31971087</v>
      </c>
      <c r="D26" s="36">
        <v>0</v>
      </c>
      <c r="E26" s="21">
        <f>Cash_Forecast_12M!E9*0.8</f>
        <v>79178804.243580744</v>
      </c>
      <c r="F26" s="21">
        <f>Cash_Forecast_12M!F9</f>
        <v>26884517.292124756</v>
      </c>
      <c r="G26" s="21">
        <f>SUM(Loans!$G$2:$G$4)</f>
        <v>5580000</v>
      </c>
      <c r="H26" s="21">
        <f>Cash_Forecast_12M!H9</f>
        <v>0</v>
      </c>
      <c r="I26" s="21">
        <f>Cash_Forecast_12M!I9</f>
        <v>0</v>
      </c>
      <c r="J26" s="23">
        <f t="shared" si="4"/>
        <v>111643321.53570551</v>
      </c>
      <c r="K26" s="23">
        <f t="shared" si="5"/>
        <v>901550.78400535882</v>
      </c>
      <c r="L26" s="36">
        <f t="shared" si="6"/>
        <v>396751746.66381621</v>
      </c>
    </row>
    <row r="27" spans="1:12" x14ac:dyDescent="0.35">
      <c r="A27" s="10" t="s">
        <v>214</v>
      </c>
      <c r="B27" s="13">
        <f t="shared" si="7"/>
        <v>396751746.66381621</v>
      </c>
      <c r="C27" s="36">
        <f>Cash_Forecast_12M!C10*0.8*0.9875*0.95</f>
        <v>115358494.12770364</v>
      </c>
      <c r="D27" s="36">
        <v>0</v>
      </c>
      <c r="E27" s="21">
        <f>Cash_Forecast_12M!E10*0.8</f>
        <v>81158274.349670246</v>
      </c>
      <c r="F27" s="21">
        <f>Cash_Forecast_12M!F10</f>
        <v>27207131.499630254</v>
      </c>
      <c r="G27" s="21">
        <f>SUM(Loans!$G$2:$G$4)</f>
        <v>5580000</v>
      </c>
      <c r="H27" s="21">
        <f>Cash_Forecast_12M!H10</f>
        <v>28000000</v>
      </c>
      <c r="I27" s="21">
        <f>Cash_Forecast_12M!I10</f>
        <v>0</v>
      </c>
      <c r="J27" s="23">
        <f t="shared" si="4"/>
        <v>141945405.8493005</v>
      </c>
      <c r="K27" s="23">
        <f t="shared" si="5"/>
        <v>-26586911.721596867</v>
      </c>
      <c r="L27" s="36">
        <f>B27+K27</f>
        <v>370164834.94221938</v>
      </c>
    </row>
    <row r="28" spans="1:12" x14ac:dyDescent="0.35">
      <c r="A28" s="10" t="s">
        <v>267</v>
      </c>
      <c r="B28" s="13">
        <f t="shared" si="7"/>
        <v>370164834.94221938</v>
      </c>
      <c r="C28" s="36">
        <f>Cash_Forecast_12M!C11*0.8*0.9875*0.95</f>
        <v>118242456.4808962</v>
      </c>
      <c r="D28" s="36">
        <v>0</v>
      </c>
      <c r="E28" s="21">
        <f>Cash_Forecast_12M!E11*0.8</f>
        <v>83187231.208411992</v>
      </c>
      <c r="F28" s="21">
        <f>Cash_Forecast_12M!F11</f>
        <v>27533617.077625819</v>
      </c>
      <c r="G28" s="21">
        <f>SUM(Loans!$G$2:$G$4)</f>
        <v>5580000</v>
      </c>
      <c r="H28" s="21">
        <f>Cash_Forecast_12M!H11</f>
        <v>0</v>
      </c>
      <c r="I28" s="21">
        <f>Cash_Forecast_12M!I11</f>
        <v>0</v>
      </c>
      <c r="J28" s="23">
        <f t="shared" si="4"/>
        <v>116300848.2860378</v>
      </c>
      <c r="K28" s="23">
        <f t="shared" si="5"/>
        <v>1941608.194858402</v>
      </c>
      <c r="L28" s="36">
        <f t="shared" si="6"/>
        <v>372106443.13707781</v>
      </c>
    </row>
    <row r="29" spans="1:12" x14ac:dyDescent="0.35">
      <c r="A29" s="10" t="s">
        <v>268</v>
      </c>
      <c r="B29" s="13">
        <f t="shared" si="7"/>
        <v>372106443.13707781</v>
      </c>
      <c r="C29" s="36">
        <f>Cash_Forecast_12M!C12*0.8*0.9875*0.95</f>
        <v>121198517.8929186</v>
      </c>
      <c r="D29" s="36">
        <v>0</v>
      </c>
      <c r="E29" s="21">
        <f>Cash_Forecast_12M!E12*0.8</f>
        <v>85266911.988622278</v>
      </c>
      <c r="F29" s="21">
        <f>Cash_Forecast_12M!F12</f>
        <v>27864020.48255733</v>
      </c>
      <c r="G29" s="21">
        <f>SUM(Loans!$G$2:$G$4)</f>
        <v>5580000</v>
      </c>
      <c r="H29" s="21">
        <f>Cash_Forecast_12M!H12</f>
        <v>0</v>
      </c>
      <c r="I29" s="21">
        <f>Cash_Forecast_12M!I12</f>
        <v>0</v>
      </c>
      <c r="J29" s="23">
        <f t="shared" si="4"/>
        <v>118710932.4711796</v>
      </c>
      <c r="K29" s="23">
        <f t="shared" si="5"/>
        <v>2487585.4217389971</v>
      </c>
      <c r="L29" s="36">
        <f t="shared" si="6"/>
        <v>374594028.55881679</v>
      </c>
    </row>
    <row r="30" spans="1:12" x14ac:dyDescent="0.35">
      <c r="A30" s="10" t="s">
        <v>269</v>
      </c>
      <c r="B30" s="13">
        <f t="shared" si="7"/>
        <v>374594028.55881679</v>
      </c>
      <c r="C30" s="36">
        <f>Cash_Forecast_12M!C13*0.8*0.9875*0.95</f>
        <v>124228480.84024154</v>
      </c>
      <c r="D30" s="36">
        <v>0</v>
      </c>
      <c r="E30" s="21">
        <f>Cash_Forecast_12M!E13*0.8</f>
        <v>87398584.788337827</v>
      </c>
      <c r="F30" s="21">
        <f>Cash_Forecast_12M!F13</f>
        <v>28198388.728348017</v>
      </c>
      <c r="G30" s="21">
        <f>SUM(Loans!$G$2:$G$4)</f>
        <v>5580000</v>
      </c>
      <c r="H30" s="21">
        <f>Cash_Forecast_12M!H13</f>
        <v>0</v>
      </c>
      <c r="I30" s="21">
        <f>Cash_Forecast_12M!I13</f>
        <v>0</v>
      </c>
      <c r="J30" s="23">
        <f t="shared" si="4"/>
        <v>121176973.51668584</v>
      </c>
      <c r="K30" s="23">
        <f t="shared" si="5"/>
        <v>3051507.323555693</v>
      </c>
      <c r="L30" s="36">
        <f t="shared" si="6"/>
        <v>377645535.8823725</v>
      </c>
    </row>
    <row r="33" spans="1:3" x14ac:dyDescent="0.35">
      <c r="A33" s="17" t="s">
        <v>278</v>
      </c>
    </row>
    <row r="34" spans="1:3" x14ac:dyDescent="0.35">
      <c r="A34" s="10" t="s">
        <v>290</v>
      </c>
      <c r="B34" s="13">
        <f>18400000</f>
        <v>18400000</v>
      </c>
      <c r="C34" t="s">
        <v>291</v>
      </c>
    </row>
    <row r="35" spans="1:3" x14ac:dyDescent="0.35">
      <c r="A35" s="10" t="s">
        <v>292</v>
      </c>
      <c r="B35" s="13">
        <f>Cash_Forecast_12M!C2*0.45*0.15</f>
        <v>8515530.941624999</v>
      </c>
      <c r="C35" t="s">
        <v>293</v>
      </c>
    </row>
    <row r="36" spans="1:3" x14ac:dyDescent="0.35">
      <c r="A36" s="10" t="s">
        <v>294</v>
      </c>
      <c r="B36" s="13">
        <f>14000000+6800000</f>
        <v>20800000</v>
      </c>
      <c r="C36" t="s">
        <v>295</v>
      </c>
    </row>
    <row r="37" spans="1:3" x14ac:dyDescent="0.35">
      <c r="A37" t="s">
        <v>296</v>
      </c>
      <c r="B37" s="13">
        <f>Cash_Forecast_12M!F2*0.2</f>
        <v>4946165.5848000003</v>
      </c>
      <c r="C37" t="s">
        <v>297</v>
      </c>
    </row>
    <row r="38" spans="1:3" x14ac:dyDescent="0.35">
      <c r="B38" s="9"/>
    </row>
  </sheetData>
  <conditionalFormatting sqref="L18:L30">
    <cfRule type="colorScale" priority="1">
      <colorScale>
        <cfvo type="min"/>
        <cfvo type="max"/>
        <color rgb="FFFF0000"/>
        <color rgb="FF92D050"/>
      </colorScale>
    </cfRule>
    <cfRule type="colorScale" priority="2">
      <colorScale>
        <cfvo type="min"/>
        <cfvo type="max"/>
        <color rgb="FFFF0000"/>
        <color rgb="FFFFEF9C"/>
      </colorScale>
    </cfRule>
    <cfRule type="aboveAverage" priority="3" aboveAverage="0" equalAverage="1"/>
    <cfRule type="expression" priority="4">
      <formula>"Cell value less than 30000000"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249977111117893"/>
  </sheetPr>
  <dimension ref="A1:D22"/>
  <sheetViews>
    <sheetView showGridLines="0" tabSelected="1" zoomScale="70" zoomScaleNormal="70" workbookViewId="0">
      <pane ySplit="1" topLeftCell="A2" activePane="bottomLeft" state="frozen"/>
      <selection pane="bottomLeft" activeCell="E22" sqref="E22"/>
    </sheetView>
  </sheetViews>
  <sheetFormatPr defaultRowHeight="14.5" x14ac:dyDescent="0.35"/>
  <cols>
    <col min="1" max="1" width="74.36328125" bestFit="1" customWidth="1"/>
    <col min="2" max="2" width="29" bestFit="1" customWidth="1"/>
    <col min="3" max="3" width="13.08984375" bestFit="1" customWidth="1"/>
    <col min="4" max="4" width="13.453125" bestFit="1" customWidth="1"/>
  </cols>
  <sheetData>
    <row r="1" spans="1:4" ht="23.5" x14ac:dyDescent="0.55000000000000004">
      <c r="A1" s="25" t="s">
        <v>283</v>
      </c>
    </row>
    <row r="3" spans="1:4" x14ac:dyDescent="0.35">
      <c r="A3" s="34" t="s">
        <v>19</v>
      </c>
      <c r="B3" s="31" t="s">
        <v>284</v>
      </c>
      <c r="C3" s="32" t="s">
        <v>285</v>
      </c>
      <c r="D3" s="33" t="s">
        <v>286</v>
      </c>
    </row>
    <row r="4" spans="1:4" x14ac:dyDescent="0.35">
      <c r="A4" s="10" t="s">
        <v>204</v>
      </c>
      <c r="B4" s="28">
        <f>Cash_Forecast_12M!L2</f>
        <v>108504527.1215</v>
      </c>
      <c r="C4" s="29">
        <f>Stress_Test!K3</f>
        <v>81588996.179875001</v>
      </c>
      <c r="D4" s="30">
        <f>Stress_Test!L19</f>
        <v>81588996.179875001</v>
      </c>
    </row>
    <row r="5" spans="1:4" x14ac:dyDescent="0.35">
      <c r="A5" s="10" t="s">
        <v>207</v>
      </c>
      <c r="B5" s="28">
        <f>Cash_Forecast_12M!L3</f>
        <v>102296804.40904948</v>
      </c>
      <c r="C5" s="29">
        <f>Stress_Test!K4</f>
        <v>48252854.252258882</v>
      </c>
      <c r="D5" s="30">
        <f>Stress_Test!L20</f>
        <v>48252854.252258882</v>
      </c>
    </row>
    <row r="6" spans="1:4" x14ac:dyDescent="0.35">
      <c r="A6" s="10" t="s">
        <v>263</v>
      </c>
      <c r="B6" s="28">
        <f>Cash_Forecast_12M!L4</f>
        <v>91426247.400955841</v>
      </c>
      <c r="C6" s="29">
        <f>Stress_Test!K5</f>
        <v>28435667.548620507</v>
      </c>
      <c r="D6" s="30">
        <f>Stress_Test!L21</f>
        <v>28435667.548620507</v>
      </c>
    </row>
    <row r="7" spans="1:4" x14ac:dyDescent="0.35">
      <c r="A7" s="10" t="s">
        <v>209</v>
      </c>
      <c r="B7" s="28">
        <f>Cash_Forecast_12M!L5</f>
        <v>77612689.545094043</v>
      </c>
      <c r="C7" s="29">
        <f>Stress_Test!K6</f>
        <v>5451814.2548253089</v>
      </c>
      <c r="D7" s="30">
        <f>Stress_Test!L22</f>
        <v>405451814.25482535</v>
      </c>
    </row>
    <row r="8" spans="1:4" x14ac:dyDescent="0.35">
      <c r="A8" s="10" t="s">
        <v>264</v>
      </c>
      <c r="B8" s="28">
        <f>Cash_Forecast_12M!L6</f>
        <v>86476506.977199048</v>
      </c>
      <c r="C8" s="29">
        <f>Stress_Test!K7</f>
        <v>4916078.8630485982</v>
      </c>
      <c r="D8" s="30">
        <f>Stress_Test!L23</f>
        <v>404916078.86304867</v>
      </c>
    </row>
    <row r="9" spans="1:4" x14ac:dyDescent="0.35">
      <c r="A9" s="10" t="s">
        <v>212</v>
      </c>
      <c r="B9" s="28">
        <f>Cash_Forecast_12M!L7</f>
        <v>86638632.650282383</v>
      </c>
      <c r="C9" s="29">
        <f>Stress_Test!K8</f>
        <v>-4556337.108346805</v>
      </c>
      <c r="D9" s="30">
        <f>Stress_Test!L24</f>
        <v>395443662.8916533</v>
      </c>
    </row>
    <row r="10" spans="1:4" x14ac:dyDescent="0.35">
      <c r="A10" s="10" t="s">
        <v>265</v>
      </c>
      <c r="B10" s="28">
        <f>Cash_Forecast_12M!L8</f>
        <v>96920570.824030653</v>
      </c>
      <c r="C10" s="29">
        <f>Stress_Test!K9</f>
        <v>-4149804.1201892495</v>
      </c>
      <c r="D10" s="30">
        <f>Stress_Test!L25</f>
        <v>395850195.87981087</v>
      </c>
    </row>
    <row r="11" spans="1:4" x14ac:dyDescent="0.35">
      <c r="A11" s="10" t="s">
        <v>266</v>
      </c>
      <c r="B11" s="28">
        <f>Cash_Forecast_12M!L9</f>
        <v>107944411.92326652</v>
      </c>
      <c r="C11" s="29">
        <f>Stress_Test!K10</f>
        <v>-3248253.3361838907</v>
      </c>
      <c r="D11" s="30">
        <f>Stress_Test!L26</f>
        <v>396751746.66381621</v>
      </c>
    </row>
    <row r="12" spans="1:4" x14ac:dyDescent="0.35">
      <c r="A12" s="10" t="s">
        <v>214</v>
      </c>
      <c r="B12" s="28">
        <f>Cash_Forecast_12M!L10</f>
        <v>91732847.774780914</v>
      </c>
      <c r="C12" s="29">
        <f>Stress_Test!K11</f>
        <v>-29835165.057780758</v>
      </c>
      <c r="D12" s="30">
        <f>Stress_Test!L27</f>
        <v>370164834.94221938</v>
      </c>
    </row>
    <row r="13" spans="1:4" x14ac:dyDescent="0.35">
      <c r="A13" s="10" t="s">
        <v>267</v>
      </c>
      <c r="B13" s="28">
        <f>Cash_Forecast_12M!L11</f>
        <v>104309187.23207833</v>
      </c>
      <c r="C13" s="29">
        <f>Stress_Test!K12</f>
        <v>-27893556.862922356</v>
      </c>
      <c r="D13" s="30">
        <f>Stress_Test!L28</f>
        <v>372106443.13707781</v>
      </c>
    </row>
    <row r="14" spans="1:4" x14ac:dyDescent="0.35">
      <c r="A14" s="10" t="s">
        <v>268</v>
      </c>
      <c r="B14" s="28">
        <f>Cash_Forecast_12M!L12</f>
        <v>117697372.19781731</v>
      </c>
      <c r="C14" s="29">
        <f>Stress_Test!K13</f>
        <v>-25405971.441183358</v>
      </c>
      <c r="D14" s="30">
        <f>Stress_Test!L29</f>
        <v>374594028.55881679</v>
      </c>
    </row>
    <row r="15" spans="1:4" x14ac:dyDescent="0.35">
      <c r="A15" s="10" t="s">
        <v>269</v>
      </c>
      <c r="B15" s="28">
        <f>Cash_Forecast_12M!L13</f>
        <v>131921994.053973</v>
      </c>
      <c r="C15" s="29">
        <f>Stress_Test!K14</f>
        <v>-22354464.117627665</v>
      </c>
      <c r="D15" s="30">
        <f>Stress_Test!L30</f>
        <v>377645535.8823725</v>
      </c>
    </row>
    <row r="18" spans="1:2" x14ac:dyDescent="0.35">
      <c r="A18" s="17" t="s">
        <v>287</v>
      </c>
      <c r="B18" t="str">
        <f>Runway!D10</f>
        <v>12+ months — cash stays positive</v>
      </c>
    </row>
    <row r="19" spans="1:2" x14ac:dyDescent="0.35">
      <c r="A19" s="17" t="s">
        <v>288</v>
      </c>
      <c r="B19">
        <f>Runway!D12</f>
        <v>6</v>
      </c>
    </row>
    <row r="20" spans="1:2" x14ac:dyDescent="0.35">
      <c r="A20" s="17" t="s">
        <v>289</v>
      </c>
      <c r="B20" t="str">
        <f>Runway!D14</f>
        <v>12+ months — cash stays positive</v>
      </c>
    </row>
    <row r="22" spans="1:2" ht="294" x14ac:dyDescent="0.35">
      <c r="A22" s="12" t="s">
        <v>298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Historical_Monthly</vt:lpstr>
      <vt:lpstr>AR_Aging</vt:lpstr>
      <vt:lpstr>AP_Schedule</vt:lpstr>
      <vt:lpstr>Loans</vt:lpstr>
      <vt:lpstr>CapEx_Plan</vt:lpstr>
      <vt:lpstr>Tax_Calendar</vt:lpstr>
      <vt:lpstr>Assumptions</vt:lpstr>
      <vt:lpstr>Cash_Forecast_12M</vt:lpstr>
      <vt:lpstr>Runway</vt:lpstr>
      <vt:lpstr>Stress_Test</vt:lpstr>
      <vt:lpstr>Board_View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2026-04-20T13:56:59Z</dcterms:created>
  <dcterms:modified xsi:type="dcterms:W3CDTF">2026-05-27T23:46:58Z</dcterms:modified>
  <cp:category/>
</cp:coreProperties>
</file>